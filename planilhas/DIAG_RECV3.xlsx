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Ativo" sheetId="1" state="visible" r:id="rId1"/>
    <sheet xmlns:r="http://schemas.openxmlformats.org/officeDocument/2006/relationships" name="NE7_Imobilizado" sheetId="2" state="visible" r:id="rId2"/>
    <sheet xmlns:r="http://schemas.openxmlformats.org/officeDocument/2006/relationships" name="BPA_con" sheetId="3" state="visible" r:id="rId3"/>
    <sheet xmlns:r="http://schemas.openxmlformats.org/officeDocument/2006/relationships" name="BPP_con" sheetId="4" state="visible" r:id="rId4"/>
    <sheet xmlns:r="http://schemas.openxmlformats.org/officeDocument/2006/relationships" name="DRE_con" sheetId="5" state="visible" r:id="rId5"/>
    <sheet xmlns:r="http://schemas.openxmlformats.org/officeDocument/2006/relationships" name="DRA_con" sheetId="6" state="visible" r:id="rId6"/>
    <sheet xmlns:r="http://schemas.openxmlformats.org/officeDocument/2006/relationships" name="DFC_MI_con" sheetId="7" state="visible" r:id="rId7"/>
    <sheet xmlns:r="http://schemas.openxmlformats.org/officeDocument/2006/relationships" name="DVA_con" sheetId="8" state="visible" r:id="rId8"/>
    <sheet xmlns:r="http://schemas.openxmlformats.org/officeDocument/2006/relationships" name="BPA_ind" sheetId="9" state="visible" r:id="rId9"/>
    <sheet xmlns:r="http://schemas.openxmlformats.org/officeDocument/2006/relationships" name="BPP_ind" sheetId="10" state="visible" r:id="rId10"/>
    <sheet xmlns:r="http://schemas.openxmlformats.org/officeDocument/2006/relationships" name="DRE_ind" sheetId="11" state="visible" r:id="rId11"/>
    <sheet xmlns:r="http://schemas.openxmlformats.org/officeDocument/2006/relationships" name="DRA_ind" sheetId="12" state="visible" r:id="rId12"/>
    <sheet xmlns:r="http://schemas.openxmlformats.org/officeDocument/2006/relationships" name="DFC_MI_ind" sheetId="13" state="visible" r:id="rId13"/>
    <sheet xmlns:r="http://schemas.openxmlformats.org/officeDocument/2006/relationships" name="DVA_ind" sheetId="14" state="visible" r:id="rId14"/>
    <sheet xmlns:r="http://schemas.openxmlformats.org/officeDocument/2006/relationships" name="Comparativos_2024" sheetId="15" state="visible" r:id="rId15"/>
    <sheet xmlns:r="http://schemas.openxmlformats.org/officeDocument/2006/relationships" name="NE9_Debentures" sheetId="16" state="visible" r:id="rId16"/>
    <sheet xmlns:r="http://schemas.openxmlformats.org/officeDocument/2006/relationships" name="Estimativas" sheetId="17" state="visible" r:id="rId17"/>
    <sheet xmlns:r="http://schemas.openxmlformats.org/officeDocument/2006/relationships" name="Litigios_PR_Receita" sheetId="18" state="visible" r:id="rId18"/>
    <sheet xmlns:r="http://schemas.openxmlformats.org/officeDocument/2006/relationships" name="Indicadores" sheetId="19" state="visible" r:id="rId19"/>
    <sheet xmlns:r="http://schemas.openxmlformats.org/officeDocument/2006/relationships" name="Grupo_Componentes" sheetId="20" state="visible" r:id="rId20"/>
    <sheet xmlns:r="http://schemas.openxmlformats.org/officeDocument/2006/relationships" name="Achados_Prelimina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%"/>
    <numFmt numFmtId="166" formatCode="0.0&quot;x&quot;"/>
    <numFmt numFmtId="167" formatCode="0.00&quot;x&quot;"/>
    <numFmt numFmtId="168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65" fontId="4" fillId="0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</cols>
  <sheetData>
    <row r="1">
      <c r="A1" s="1" t="inlineStr">
        <is>
          <t>Ranking das rubricas do ativo consolidado em 31/12/2025 - escolha da conta da base simulada (item 3 do enunciado)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#</t>
        </is>
      </c>
      <c r="B4" s="3" t="inlineStr">
        <is>
          <t>Rubrica do balanco (F01 p.51)</t>
        </is>
      </c>
      <c r="C4" s="3" t="inlineStr">
        <is>
          <t>Nota</t>
        </is>
      </c>
      <c r="D4" s="3" t="inlineStr">
        <is>
          <t>31/12/2025</t>
        </is>
      </c>
      <c r="E4" s="3" t="inlineStr">
        <is>
          <t>% ativo total</t>
        </is>
      </c>
      <c r="F4" s="3" t="inlineStr">
        <is>
          <t>31/12/2024</t>
        </is>
      </c>
      <c r="G4" s="3" t="inlineStr">
        <is>
          <t>% ativo total 2024</t>
        </is>
      </c>
      <c r="H4" s="3" t="inlineStr">
        <is>
          <t>Multiplo s/ 2a maior</t>
        </is>
      </c>
    </row>
    <row r="5">
      <c r="A5" s="4" t="n">
        <v>1</v>
      </c>
      <c r="B5" s="4" t="inlineStr">
        <is>
          <t>Imobilizado e intangivel</t>
        </is>
      </c>
      <c r="C5" s="4" t="inlineStr">
        <is>
          <t>7</t>
        </is>
      </c>
      <c r="D5" s="5" t="n">
        <v>6254225</v>
      </c>
      <c r="E5" s="6">
        <f>D5/D$21</f>
        <v/>
      </c>
      <c r="F5" s="5" t="n">
        <v>5561314</v>
      </c>
      <c r="G5" s="6">
        <f>F5/F$21</f>
        <v/>
      </c>
      <c r="H5" s="7">
        <f>D5/D$6</f>
        <v/>
      </c>
    </row>
    <row r="6">
      <c r="A6" t="n">
        <v>2</v>
      </c>
      <c r="B6" t="inlineStr">
        <is>
          <t>Aplicacoes financeiras (CP)</t>
        </is>
      </c>
      <c r="C6" t="inlineStr">
        <is>
          <t>4</t>
        </is>
      </c>
      <c r="D6" s="8" t="n">
        <v>1395510</v>
      </c>
      <c r="E6" s="9">
        <f>D6/D$21</f>
        <v/>
      </c>
      <c r="F6" s="8" t="n">
        <v>761939</v>
      </c>
      <c r="G6" s="9">
        <f>F6/F$21</f>
        <v/>
      </c>
      <c r="H6" s="10">
        <f>D6/D$6</f>
        <v/>
      </c>
    </row>
    <row r="7">
      <c r="A7" t="n">
        <v>3</v>
      </c>
      <c r="B7" t="inlineStr">
        <is>
          <t>Contas a receber de clientes (CP)</t>
        </is>
      </c>
      <c r="C7" t="inlineStr">
        <is>
          <t>5</t>
        </is>
      </c>
      <c r="D7" s="8" t="n">
        <v>253967</v>
      </c>
      <c r="E7" s="9">
        <f>D7/D$21</f>
        <v/>
      </c>
      <c r="F7" s="8" t="n">
        <v>361095</v>
      </c>
      <c r="G7" s="9">
        <f>F7/F$21</f>
        <v/>
      </c>
      <c r="H7" s="10">
        <f>D7/D$6</f>
        <v/>
      </c>
    </row>
    <row r="8">
      <c r="A8" t="n">
        <v>4</v>
      </c>
      <c r="B8" t="inlineStr">
        <is>
          <t>Caixa e equivalentes de caixa</t>
        </is>
      </c>
      <c r="C8" t="inlineStr">
        <is>
          <t>4</t>
        </is>
      </c>
      <c r="D8" s="8" t="n">
        <v>229508</v>
      </c>
      <c r="E8" s="9">
        <f>D8/D$21</f>
        <v/>
      </c>
      <c r="F8" s="8" t="n">
        <v>295548</v>
      </c>
      <c r="G8" s="9">
        <f>F8/F$21</f>
        <v/>
      </c>
      <c r="H8" s="10">
        <f>D8/D$6</f>
        <v/>
      </c>
    </row>
    <row r="9">
      <c r="A9" t="n">
        <v>5</v>
      </c>
      <c r="B9" t="inlineStr">
        <is>
          <t>Tributos a recuperar (CP)</t>
        </is>
      </c>
      <c r="C9" t="inlineStr">
        <is>
          <t>-</t>
        </is>
      </c>
      <c r="D9" s="8" t="n">
        <v>146817</v>
      </c>
      <c r="E9" s="9">
        <f>D9/D$21</f>
        <v/>
      </c>
      <c r="F9" s="8" t="n">
        <v>96616</v>
      </c>
      <c r="G9" s="9">
        <f>F9/F$21</f>
        <v/>
      </c>
      <c r="H9" s="10">
        <f>D9/D$6</f>
        <v/>
      </c>
    </row>
    <row r="10">
      <c r="A10" t="n">
        <v>6</v>
      </c>
      <c r="B10" t="inlineStr">
        <is>
          <t>Outros ativos (CP)</t>
        </is>
      </c>
      <c r="C10" t="inlineStr">
        <is>
          <t>-</t>
        </is>
      </c>
      <c r="D10" s="8" t="n">
        <v>92524</v>
      </c>
      <c r="E10" s="9">
        <f>D10/D$21</f>
        <v/>
      </c>
      <c r="F10" s="8" t="n">
        <v>43886</v>
      </c>
      <c r="G10" s="9">
        <f>F10/F$21</f>
        <v/>
      </c>
      <c r="H10" s="10">
        <f>D10/D$6</f>
        <v/>
      </c>
    </row>
    <row r="11">
      <c r="A11" t="n">
        <v>7</v>
      </c>
      <c r="B11" t="inlineStr">
        <is>
          <t>Outros ativos (LP)</t>
        </is>
      </c>
      <c r="C11" t="inlineStr">
        <is>
          <t>-</t>
        </is>
      </c>
      <c r="D11" s="8" t="n">
        <v>81912</v>
      </c>
      <c r="E11" s="9">
        <f>D11/D$21</f>
        <v/>
      </c>
      <c r="F11" s="8" t="n">
        <v>46540</v>
      </c>
      <c r="G11" s="9">
        <f>F11/F$21</f>
        <v/>
      </c>
      <c r="H11" s="10">
        <f>D11/D$6</f>
        <v/>
      </c>
    </row>
    <row r="12">
      <c r="A12" t="n">
        <v>8</v>
      </c>
      <c r="B12" t="inlineStr">
        <is>
          <t>Tributos a recuperar (LP)</t>
        </is>
      </c>
      <c r="C12" t="inlineStr">
        <is>
          <t>-</t>
        </is>
      </c>
      <c r="D12" s="8" t="n">
        <v>69109</v>
      </c>
      <c r="E12" s="9">
        <f>D12/D$21</f>
        <v/>
      </c>
      <c r="F12" s="8" t="n">
        <v>66820</v>
      </c>
      <c r="G12" s="9">
        <f>F12/F$21</f>
        <v/>
      </c>
      <c r="H12" s="10">
        <f>D12/D$6</f>
        <v/>
      </c>
    </row>
    <row r="13">
      <c r="A13" t="n">
        <v>9</v>
      </c>
      <c r="B13" t="inlineStr">
        <is>
          <t>Contas a receber de clientes (LP)</t>
        </is>
      </c>
      <c r="C13" t="inlineStr">
        <is>
          <t>5</t>
        </is>
      </c>
      <c r="D13" s="8" t="n">
        <v>65231</v>
      </c>
      <c r="E13" s="9">
        <f>D13/D$21</f>
        <v/>
      </c>
      <c r="F13" s="8" t="n">
        <v>58145</v>
      </c>
      <c r="G13" s="9">
        <f>F13/F$21</f>
        <v/>
      </c>
      <c r="H13" s="10">
        <f>D13/D$6</f>
        <v/>
      </c>
    </row>
    <row r="14">
      <c r="A14" t="n">
        <v>10</v>
      </c>
      <c r="B14" t="inlineStr">
        <is>
          <t>Instrumentos financeiros derivativos (CP)</t>
        </is>
      </c>
      <c r="C14" t="inlineStr">
        <is>
          <t>14</t>
        </is>
      </c>
      <c r="D14" s="8" t="n">
        <v>33771</v>
      </c>
      <c r="E14" s="9">
        <f>D14/D$21</f>
        <v/>
      </c>
      <c r="F14" s="8" t="n">
        <v>575</v>
      </c>
      <c r="G14" s="9">
        <f>F14/F$21</f>
        <v/>
      </c>
      <c r="H14" s="10">
        <f>D14/D$6</f>
        <v/>
      </c>
    </row>
    <row r="15">
      <c r="A15" t="n">
        <v>11</v>
      </c>
      <c r="B15" t="inlineStr">
        <is>
          <t>Direito de uso em arrendamento</t>
        </is>
      </c>
      <c r="C15" t="inlineStr">
        <is>
          <t>-</t>
        </is>
      </c>
      <c r="D15" s="8" t="n">
        <v>24883</v>
      </c>
      <c r="E15" s="9">
        <f>D15/D$21</f>
        <v/>
      </c>
      <c r="F15" s="8" t="n">
        <v>22338</v>
      </c>
      <c r="G15" s="9">
        <f>F15/F$21</f>
        <v/>
      </c>
      <c r="H15" s="10">
        <f>D15/D$6</f>
        <v/>
      </c>
    </row>
    <row r="16">
      <c r="A16" t="n">
        <v>12</v>
      </c>
      <c r="B16" t="inlineStr">
        <is>
          <t>Tributos diferidos</t>
        </is>
      </c>
      <c r="C16" t="inlineStr">
        <is>
          <t>10</t>
        </is>
      </c>
      <c r="D16" s="8" t="n">
        <v>8113</v>
      </c>
      <c r="E16" s="9">
        <f>D16/D$21</f>
        <v/>
      </c>
      <c r="F16" s="8" t="n">
        <v>97025</v>
      </c>
      <c r="G16" s="9">
        <f>F16/F$21</f>
        <v/>
      </c>
      <c r="H16" s="10">
        <f>D16/D$6</f>
        <v/>
      </c>
    </row>
    <row r="17">
      <c r="A17" t="n">
        <v>13</v>
      </c>
      <c r="B17" t="inlineStr">
        <is>
          <t>Estoques</t>
        </is>
      </c>
      <c r="C17" t="inlineStr">
        <is>
          <t>-</t>
        </is>
      </c>
      <c r="D17" s="8" t="n">
        <v>6139</v>
      </c>
      <c r="E17" s="9">
        <f>D17/D$21</f>
        <v/>
      </c>
      <c r="F17" s="8" t="n">
        <v>9766</v>
      </c>
      <c r="G17" s="9">
        <f>F17/F$21</f>
        <v/>
      </c>
      <c r="H17" s="10">
        <f>D17/D$6</f>
        <v/>
      </c>
    </row>
    <row r="18">
      <c r="A18" t="n">
        <v>14</v>
      </c>
      <c r="B18" t="inlineStr">
        <is>
          <t>Aplicacoes financeiras (LP)</t>
        </is>
      </c>
      <c r="C18" t="inlineStr">
        <is>
          <t>4</t>
        </is>
      </c>
      <c r="D18" s="8" t="n">
        <v>5022</v>
      </c>
      <c r="E18" s="9">
        <f>D18/D$21</f>
        <v/>
      </c>
      <c r="F18" s="8" t="n">
        <v>15964</v>
      </c>
      <c r="G18" s="9">
        <f>F18/F$21</f>
        <v/>
      </c>
      <c r="H18" s="10">
        <f>D18/D$6</f>
        <v/>
      </c>
    </row>
    <row r="19">
      <c r="A19" t="n">
        <v>15</v>
      </c>
      <c r="B19" t="inlineStr">
        <is>
          <t>Instrumentos financeiros derivativos (LP)</t>
        </is>
      </c>
      <c r="C19" t="inlineStr">
        <is>
          <t>14</t>
        </is>
      </c>
      <c r="D19" s="8" t="n">
        <v>1284</v>
      </c>
      <c r="E19" s="9">
        <f>D19/D$21</f>
        <v/>
      </c>
      <c r="F19" s="8" t="n">
        <v>0</v>
      </c>
      <c r="G19" s="9">
        <f>F19/F$21</f>
        <v/>
      </c>
      <c r="H19" s="10">
        <f>D19/D$6</f>
        <v/>
      </c>
    </row>
    <row r="20">
      <c r="A20" t="inlineStr"/>
      <c r="B20" t="inlineStr">
        <is>
          <t>Soma das rubricas</t>
        </is>
      </c>
      <c r="C20" t="inlineStr"/>
      <c r="D20" s="8">
        <f>SUM(D5:D19)</f>
        <v/>
      </c>
      <c r="E20" s="9">
        <f>D20/D21</f>
        <v/>
      </c>
      <c r="F20" s="8">
        <f>SUM(F5:F19)</f>
        <v/>
      </c>
      <c r="G20" s="9">
        <f>F20/F21</f>
        <v/>
      </c>
      <c r="H20" t="inlineStr"/>
    </row>
    <row r="21">
      <c r="A21" t="inlineStr"/>
      <c r="B21" t="inlineStr">
        <is>
          <t>TOTAL DO ATIVO (F01 p.51; CVM conta 1)</t>
        </is>
      </c>
      <c r="C21" t="inlineStr"/>
      <c r="D21" s="8" t="n">
        <v>8668015</v>
      </c>
      <c r="E21" s="9" t="inlineStr"/>
      <c r="F21" s="8" t="n">
        <v>7437571</v>
      </c>
      <c r="G21" s="9" t="inlineStr"/>
      <c r="H21" t="inlineStr"/>
    </row>
    <row r="22">
      <c r="A22" t="inlineStr"/>
      <c r="B22" t="inlineStr">
        <is>
          <t>Checagem (soma - total) - deve ser zero</t>
        </is>
      </c>
      <c r="C22" t="inlineStr"/>
      <c r="D22" s="8">
        <f>D20-D21</f>
        <v/>
      </c>
      <c r="E22" s="9" t="inlineStr"/>
      <c r="F22" s="8">
        <f>F20-F21</f>
        <v/>
      </c>
      <c r="G22" s="9" t="inlineStr"/>
      <c r="H22" t="inlineStr"/>
    </row>
    <row r="24">
      <c r="B24" t="inlineStr">
        <is>
          <t>Conclusao: Imobilizado e intangivel (NE 7) e a rubrica de maior materialidade do ativo: 72,2% do ativo total consolidado (74,8% em 2024),</t>
        </is>
      </c>
    </row>
    <row r="25">
      <c r="B25" t="inlineStr">
        <is>
          <t>cerca de 4,5 vezes a segunda maior rubrica (aplicacoes financeiras). O intangivel (software) e residual (R$ 83.384; CVM 1.02.04):</t>
        </is>
      </c>
    </row>
    <row r="26">
      <c r="B26" t="inlineStr">
        <is>
          <t>o imobilizado (CVM 1.02.03 = R$ 6.170.841) responde por 98,7% da rubrica. A base simulada sera o subrazao analitico do imobilizado (aba NE7_Imobilizado).</t>
        </is>
      </c>
    </row>
    <row r="27">
      <c r="B27" t="inlineStr">
        <is>
          <t>Mesma conclusao na controladora: imobilizado e intangivel R$ 5.689.089 = 66,2% do ativo total de R$ 8.597.497.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  <col width="14" customWidth="1" min="8" max="8"/>
    <col width="8" customWidth="1" min="9" max="9"/>
    <col width="16" customWidth="1" min="10" max="10"/>
    <col width="15" customWidth="1" min="11" max="11"/>
    <col width="12" customWidth="1" min="12" max="12"/>
    <col width="14" customWidth="1" min="13" max="13"/>
  </cols>
  <sheetData>
    <row r="1">
      <c r="A1" s="1" t="inlineStr">
        <is>
          <t>NE 7.1 - Imobilizado e intangivel consolidado: composicao e movimentacao 2025 (F01 p.69) - transcricao + recalculo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Classe</t>
        </is>
      </c>
      <c r="B4" s="3" t="inlineStr">
        <is>
          <t>Custo 31/12/2024</t>
        </is>
      </c>
      <c r="C4" s="3" t="inlineStr">
        <is>
          <t>Adicoes</t>
        </is>
      </c>
      <c r="D4" s="3" t="inlineStr">
        <is>
          <t>Baixas</t>
        </is>
      </c>
      <c r="E4" s="3" t="inlineStr">
        <is>
          <t>Transferencias</t>
        </is>
      </c>
      <c r="F4" s="3" t="inlineStr">
        <is>
          <t>UPGN Guamare</t>
        </is>
      </c>
      <c r="G4" s="3" t="inlineStr">
        <is>
          <t>Custo 31/12/2025 (NE)</t>
        </is>
      </c>
      <c r="H4" s="3" t="inlineStr">
        <is>
          <t>Custo final recalculado</t>
        </is>
      </c>
      <c r="I4" s="3" t="inlineStr">
        <is>
          <t>Dif.</t>
        </is>
      </c>
      <c r="J4" s="3" t="inlineStr">
        <is>
          <t>Deprec./deplecao acum. 31/12/2025 (NE)</t>
        </is>
      </c>
      <c r="K4" s="3" t="inlineStr">
        <is>
          <t>Valor liquido 31/12/2025</t>
        </is>
      </c>
      <c r="L4" s="3" t="inlineStr">
        <is>
          <t>% do imobilizado liquido</t>
        </is>
      </c>
      <c r="M4" s="3" t="inlineStr">
        <is>
          <t>Metodo (NE 7.2)</t>
        </is>
      </c>
    </row>
    <row r="5">
      <c r="A5" t="inlineStr">
        <is>
          <t>Maquinas e equipamentos</t>
        </is>
      </c>
      <c r="B5" s="8" t="n">
        <v>309092</v>
      </c>
      <c r="C5" s="8" t="n">
        <v>1989</v>
      </c>
      <c r="D5" s="8" t="n">
        <v>0</v>
      </c>
      <c r="E5" s="8" t="n">
        <v>122441</v>
      </c>
      <c r="F5" s="8" t="n">
        <v>284999</v>
      </c>
      <c r="G5" s="8" t="n">
        <v>718521</v>
      </c>
      <c r="H5" s="8">
        <f>SUM(B5:F5)</f>
        <v/>
      </c>
      <c r="I5" s="8">
        <f>G5-H5</f>
        <v/>
      </c>
      <c r="J5" s="8" t="n">
        <v>-103788</v>
      </c>
      <c r="K5" s="8">
        <f>G5+J5</f>
        <v/>
      </c>
      <c r="L5" s="9">
        <f>K5/K$15</f>
        <v/>
      </c>
      <c r="M5" t="inlineStr">
        <is>
          <t>10% a.a.</t>
        </is>
      </c>
    </row>
    <row r="6">
      <c r="A6" t="inlineStr">
        <is>
          <t>UPGN Guamare (conta transitoria)</t>
        </is>
      </c>
      <c r="B6" s="8" t="n">
        <v>0</v>
      </c>
      <c r="C6" s="8" t="n">
        <v>312790</v>
      </c>
      <c r="D6" s="8" t="n">
        <v>0</v>
      </c>
      <c r="E6" s="8" t="n">
        <v>36849</v>
      </c>
      <c r="F6" s="8" t="n">
        <v>-349639</v>
      </c>
      <c r="G6" s="8" t="n">
        <v>0</v>
      </c>
      <c r="H6" s="8">
        <f>SUM(B6:F6)</f>
        <v/>
      </c>
      <c r="I6" s="8">
        <f>G6-H6</f>
        <v/>
      </c>
      <c r="J6" s="8" t="n">
        <v>0</v>
      </c>
      <c r="K6" s="8">
        <f>G6+J6</f>
        <v/>
      </c>
      <c r="L6" s="9">
        <f>K6/K$15</f>
        <v/>
      </c>
      <c r="M6" t="inlineStr">
        <is>
          <t>-</t>
        </is>
      </c>
    </row>
    <row r="7">
      <c r="A7" t="inlineStr">
        <is>
          <t>Imobilizados em andamento</t>
        </is>
      </c>
      <c r="B7" s="8" t="n">
        <v>141241</v>
      </c>
      <c r="C7" s="8" t="n">
        <v>88691</v>
      </c>
      <c r="D7" s="8" t="n">
        <v>-9212</v>
      </c>
      <c r="E7" s="8" t="n">
        <v>-158390</v>
      </c>
      <c r="F7" s="8" t="n">
        <v>9841</v>
      </c>
      <c r="G7" s="8" t="n">
        <v>72171</v>
      </c>
      <c r="H7" s="8">
        <f>SUM(B7:F7)</f>
        <v/>
      </c>
      <c r="I7" s="8">
        <f>G7-H7</f>
        <v/>
      </c>
      <c r="J7" s="8" t="n">
        <v>0</v>
      </c>
      <c r="K7" s="8">
        <f>G7+J7</f>
        <v/>
      </c>
      <c r="L7" s="9">
        <f>K7/K$15</f>
        <v/>
      </c>
      <c r="M7" t="inlineStr">
        <is>
          <t>nao deprecia</t>
        </is>
      </c>
    </row>
    <row r="8">
      <c r="A8" t="inlineStr">
        <is>
          <t>Direito de producao de oleo e gas</t>
        </is>
      </c>
      <c r="B8" s="8" t="n">
        <v>2973528</v>
      </c>
      <c r="C8" s="8" t="n">
        <v>0</v>
      </c>
      <c r="D8" s="8" t="n">
        <v>-42199</v>
      </c>
      <c r="E8" s="8" t="n">
        <v>0</v>
      </c>
      <c r="F8" s="8" t="n">
        <v>0</v>
      </c>
      <c r="G8" s="8" t="n">
        <v>2931329</v>
      </c>
      <c r="H8" s="8">
        <f>SUM(B8:F8)</f>
        <v/>
      </c>
      <c r="I8" s="8">
        <f>G8-H8</f>
        <v/>
      </c>
      <c r="J8" s="8" t="n">
        <v>-922414</v>
      </c>
      <c r="K8" s="8">
        <f>G8+J8</f>
        <v/>
      </c>
      <c r="L8" s="9">
        <f>K8/K$15</f>
        <v/>
      </c>
      <c r="M8" t="inlineStr">
        <is>
          <t>UoP (reservas 1P)</t>
        </is>
      </c>
    </row>
    <row r="9">
      <c r="A9" t="inlineStr">
        <is>
          <t>Desenvolvimento de campos</t>
        </is>
      </c>
      <c r="B9" s="8" t="n">
        <v>4180242</v>
      </c>
      <c r="C9" s="8" t="n">
        <v>1006863</v>
      </c>
      <c r="D9" s="8" t="n">
        <v>-5545</v>
      </c>
      <c r="E9" s="8" t="n">
        <v>5116</v>
      </c>
      <c r="F9" s="8" t="n">
        <v>0</v>
      </c>
      <c r="G9" s="8" t="n">
        <v>5186676</v>
      </c>
      <c r="H9" s="8">
        <f>SUM(B9:F9)</f>
        <v/>
      </c>
      <c r="I9" s="8">
        <f>G9-H9</f>
        <v/>
      </c>
      <c r="J9" s="8" t="n">
        <v>-2422704</v>
      </c>
      <c r="K9" s="8">
        <f>G9+J9</f>
        <v/>
      </c>
      <c r="L9" s="9">
        <f>K9/K$15</f>
        <v/>
      </c>
      <c r="M9" t="inlineStr">
        <is>
          <t>UoP (reservas PDP)</t>
        </is>
      </c>
    </row>
    <row r="10">
      <c r="A10" t="inlineStr">
        <is>
          <t>Blocos exploratorios</t>
        </is>
      </c>
      <c r="B10" s="8" t="n">
        <v>20037</v>
      </c>
      <c r="C10" s="8" t="n">
        <v>120</v>
      </c>
      <c r="D10" s="8" t="n">
        <v>0</v>
      </c>
      <c r="E10" s="8" t="n">
        <v>0</v>
      </c>
      <c r="F10" s="8" t="n">
        <v>0</v>
      </c>
      <c r="G10" s="8" t="n">
        <v>20157</v>
      </c>
      <c r="H10" s="8">
        <f>SUM(B10:F10)</f>
        <v/>
      </c>
      <c r="I10" s="8">
        <f>G10-H10</f>
        <v/>
      </c>
      <c r="J10" s="8" t="n">
        <v>0</v>
      </c>
      <c r="K10" s="8">
        <f>G10+J10</f>
        <v/>
      </c>
      <c r="L10" s="9">
        <f>K10/K$15</f>
        <v/>
      </c>
      <c r="M10" t="inlineStr">
        <is>
          <t>nao depleta</t>
        </is>
      </c>
    </row>
    <row r="11">
      <c r="A11" t="inlineStr">
        <is>
          <t>Abandono de poco (ativo ARO)</t>
        </is>
      </c>
      <c r="B11" s="8" t="n">
        <v>79091</v>
      </c>
      <c r="C11" s="8" t="n">
        <v>8340</v>
      </c>
      <c r="D11" s="8" t="n">
        <v>-8128</v>
      </c>
      <c r="E11" s="8" t="n">
        <v>0</v>
      </c>
      <c r="F11" s="8" t="n">
        <v>0</v>
      </c>
      <c r="G11" s="8" t="n">
        <v>79303</v>
      </c>
      <c r="H11" s="8">
        <f>SUM(B11:F11)</f>
        <v/>
      </c>
      <c r="I11" s="8">
        <f>G11-H11</f>
        <v/>
      </c>
      <c r="J11" s="8" t="n">
        <v>-41848</v>
      </c>
      <c r="K11" s="8">
        <f>G11+J11</f>
        <v/>
      </c>
      <c r="L11" s="9">
        <f>K11/K$15</f>
        <v/>
      </c>
      <c r="M11" t="inlineStr">
        <is>
          <t>UoP</t>
        </is>
      </c>
    </row>
    <row r="12">
      <c r="A12" t="inlineStr">
        <is>
          <t>Almoxarifado para inversoes fixas</t>
        </is>
      </c>
      <c r="B12" s="8" t="n">
        <v>502638</v>
      </c>
      <c r="C12" s="8" t="n">
        <v>223654</v>
      </c>
      <c r="D12" s="8" t="n">
        <v>-166296</v>
      </c>
      <c r="E12" s="8" t="n">
        <v>-82345</v>
      </c>
      <c r="F12" s="8" t="n">
        <v>0</v>
      </c>
      <c r="G12" s="8" t="n">
        <v>477651</v>
      </c>
      <c r="H12" s="8">
        <f>SUM(B12:F12)</f>
        <v/>
      </c>
      <c r="I12" s="8">
        <f>G12-H12</f>
        <v/>
      </c>
      <c r="J12" s="8" t="n">
        <v>0</v>
      </c>
      <c r="K12" s="8">
        <f>G12+J12</f>
        <v/>
      </c>
      <c r="L12" s="9">
        <f>K12/K$15</f>
        <v/>
      </c>
      <c r="M12" t="inlineStr">
        <is>
          <t>nao deprecia</t>
        </is>
      </c>
    </row>
    <row r="13">
      <c r="A13" t="inlineStr">
        <is>
          <t>Adiantamentos</t>
        </is>
      </c>
      <c r="B13" s="8" t="n">
        <v>46219</v>
      </c>
      <c r="C13" s="8" t="n">
        <v>32906</v>
      </c>
      <c r="D13" s="8" t="n">
        <v>-8051</v>
      </c>
      <c r="E13" s="8" t="n">
        <v>-52655</v>
      </c>
      <c r="F13" s="8" t="n">
        <v>0</v>
      </c>
      <c r="G13" s="8" t="n">
        <v>18419</v>
      </c>
      <c r="H13" s="8">
        <f>SUM(B13:F13)</f>
        <v/>
      </c>
      <c r="I13" s="8">
        <f>G13-H13</f>
        <v/>
      </c>
      <c r="J13" s="8" t="n">
        <v>0</v>
      </c>
      <c r="K13" s="8">
        <f>G13+J13</f>
        <v/>
      </c>
      <c r="L13" s="9">
        <f>K13/K$15</f>
        <v/>
      </c>
      <c r="M13" t="inlineStr">
        <is>
          <t>-</t>
        </is>
      </c>
    </row>
    <row r="14">
      <c r="A14" t="inlineStr">
        <is>
          <t>Outros</t>
        </is>
      </c>
      <c r="B14" s="8" t="n">
        <v>105066</v>
      </c>
      <c r="C14" s="8" t="n">
        <v>735</v>
      </c>
      <c r="D14" s="8" t="n">
        <v>-300</v>
      </c>
      <c r="E14" s="8" t="n">
        <v>47594</v>
      </c>
      <c r="F14" s="8" t="n">
        <v>46230</v>
      </c>
      <c r="G14" s="8" t="n">
        <v>199325</v>
      </c>
      <c r="H14" s="8">
        <f>SUM(B14:F14)</f>
        <v/>
      </c>
      <c r="I14" s="8">
        <f>G14-H14</f>
        <v/>
      </c>
      <c r="J14" s="8" t="n">
        <v>-41957</v>
      </c>
      <c r="K14" s="8">
        <f>G14+J14</f>
        <v/>
      </c>
      <c r="L14" s="9">
        <f>K14/K$15</f>
        <v/>
      </c>
      <c r="M14" t="inlineStr">
        <is>
          <t>4% a 25% a.a.</t>
        </is>
      </c>
    </row>
    <row r="15">
      <c r="A15" s="11" t="inlineStr">
        <is>
          <t>Total imobilizado</t>
        </is>
      </c>
      <c r="B15" s="12">
        <f>SUM(B5:B14)</f>
        <v/>
      </c>
      <c r="C15" s="12">
        <f>SUM(C5:C14)</f>
        <v/>
      </c>
      <c r="D15" s="12">
        <f>SUM(D5:D14)</f>
        <v/>
      </c>
      <c r="E15" s="12">
        <f>SUM(E5:E14)</f>
        <v/>
      </c>
      <c r="F15" s="12">
        <f>SUM(F5:F14)</f>
        <v/>
      </c>
      <c r="G15" s="12">
        <f>SUM(G5:G14)</f>
        <v/>
      </c>
      <c r="H15" s="12">
        <f>SUM(H5:H14)</f>
        <v/>
      </c>
      <c r="I15" s="12">
        <f>G15-H15</f>
        <v/>
      </c>
      <c r="J15" s="12">
        <f>SUM(J5:J14)</f>
        <v/>
      </c>
      <c r="K15" s="12">
        <f>SUM(K5:K14)</f>
        <v/>
      </c>
      <c r="L15" s="13">
        <f>K15/K15</f>
        <v/>
      </c>
      <c r="M15" s="11" t="inlineStr"/>
    </row>
    <row r="16">
      <c r="A16" t="inlineStr">
        <is>
          <t>Imobilizado liquido - CVM conta 1.02.03 (F03)</t>
        </is>
      </c>
      <c r="B16" s="8" t="inlineStr"/>
      <c r="C16" s="8" t="inlineStr"/>
      <c r="D16" s="8" t="inlineStr"/>
      <c r="E16" s="8" t="inlineStr"/>
      <c r="F16" s="8" t="inlineStr"/>
      <c r="G16" s="8" t="n">
        <v>9703552</v>
      </c>
      <c r="H16" s="8" t="inlineStr"/>
      <c r="I16" s="8" t="inlineStr"/>
      <c r="J16" s="8" t="n">
        <v>-3532711</v>
      </c>
      <c r="K16" s="8" t="n">
        <v>6170841</v>
      </c>
      <c r="L16" t="inlineStr"/>
      <c r="M16" t="inlineStr"/>
    </row>
    <row r="17">
      <c r="A17" t="inlineStr">
        <is>
          <t>Diferenca (calculado - fonte)</t>
        </is>
      </c>
      <c r="B17" s="8" t="inlineStr"/>
      <c r="C17" s="8" t="inlineStr"/>
      <c r="D17" s="8" t="inlineStr"/>
      <c r="E17" s="8" t="inlineStr"/>
      <c r="F17" s="8" t="inlineStr"/>
      <c r="G17" s="8">
        <f>G15-G16</f>
        <v/>
      </c>
      <c r="H17" s="8" t="inlineStr"/>
      <c r="I17" s="8" t="inlineStr"/>
      <c r="J17" s="8">
        <f>J15-J16</f>
        <v/>
      </c>
      <c r="K17" s="8">
        <f>K15-K16</f>
        <v/>
      </c>
      <c r="L17" t="inlineStr"/>
      <c r="M17" t="inlineStr"/>
    </row>
    <row r="18">
      <c r="A18" t="inlineStr">
        <is>
          <t>Intangivel - software</t>
        </is>
      </c>
      <c r="B18" s="8" t="n">
        <v>32955</v>
      </c>
      <c r="C18" s="8" t="n">
        <v>3639</v>
      </c>
      <c r="D18" s="8" t="n">
        <v>0</v>
      </c>
      <c r="E18" s="8" t="n">
        <v>67878</v>
      </c>
      <c r="F18" s="8" t="n">
        <v>8570</v>
      </c>
      <c r="G18" s="8" t="n">
        <v>113042</v>
      </c>
      <c r="H18" s="8">
        <f>SUM(B18:F18)</f>
        <v/>
      </c>
      <c r="I18" s="8">
        <f>G18-H18</f>
        <v/>
      </c>
      <c r="J18" s="8" t="n">
        <v>-29658</v>
      </c>
      <c r="K18" s="8">
        <f>G18+J18</f>
        <v/>
      </c>
      <c r="L18" t="inlineStr"/>
      <c r="M18" t="inlineStr">
        <is>
          <t>20% a.a.</t>
        </is>
      </c>
    </row>
    <row r="19">
      <c r="A19" t="inlineStr">
        <is>
          <t>Total imobilizado e intangivel (calculado)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>
        <f>K15+K18</f>
        <v/>
      </c>
      <c r="L19" t="inlineStr"/>
      <c r="M19" t="inlineStr"/>
    </row>
    <row r="20">
      <c r="A20" t="inlineStr">
        <is>
          <t>Saldo no balanco (F01 p.51)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n">
        <v>6254225</v>
      </c>
      <c r="L20" t="inlineStr"/>
      <c r="M20" t="inlineStr"/>
    </row>
    <row r="21">
      <c r="A21" t="inlineStr">
        <is>
          <t>Diferenca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>
        <f>K19-K20</f>
        <v/>
      </c>
      <c r="L21" t="inlineStr"/>
      <c r="M21" t="inlineStr"/>
    </row>
    <row r="23">
      <c r="A23" t="inlineStr">
        <is>
          <t>Custo total 31/12/2025 na NE 7.1 consolidada = 9.703.552 e depreciacao acumulada = (3.532.711) (F01 p.69).</t>
        </is>
      </c>
    </row>
    <row r="24">
      <c r="A24" t="inlineStr">
        <is>
          <t>D&amp;A 2025 (NE 7.1 consolidada): imobilizado (671.868) + intangivel (16.802) = (688.670); NE 19/DFC: D&amp;A total 721.077 (inclui direito de uso) - conciliar no PT 520.</t>
        </is>
      </c>
    </row>
    <row r="25">
      <c r="A25" t="inlineStr">
        <is>
          <t>Custo de aquisicao por polo (NE 7.1 ii, p.70): Remanso 95.629; Remanso BT-REC 1.248; Miranga 1.247.506; Potiguar 1.507.572; Tieta 79.374 = 2.931.329.</t>
        </is>
      </c>
    </row>
    <row r="26">
      <c r="A26" t="inlineStr">
        <is>
          <t>Transferencias nao zeram (custo -81.390; deprec. -62.640): a nota (a) atribui a transferencias de creditos tributarios e itens de alto giro, sem quantificar - investigar (PT 500/520).</t>
        </is>
      </c>
    </row>
    <row r="27">
      <c r="A27" t="inlineStr">
        <is>
          <t>Farm-out Mandacaru (NE 7.4, p.71): 50% de 7 concessoes por US$ 5 milhoes; politica: manter os ativos no imobilizado - julgamento contabil relevante.</t>
        </is>
      </c>
    </row>
    <row r="28">
      <c r="A28" t="inlineStr">
        <is>
          <t>Impairment (NE 3.4, p.62): administracao nao identificou indicativos, embora valor de mercado (R$ 3,3 bi; RA p.28) &lt; PL (R$ 4,33 bi) - ver aba Achados_Preliminares.</t>
        </is>
      </c>
    </row>
    <row r="29">
      <c r="A29" t="inlineStr">
        <is>
          <t>Garantia (NE 7.3, p.70): uma sonda de perfuracao dada em garantia de execucao fiscal.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Balanco - Ativo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1</t>
        </is>
      </c>
      <c r="B5" s="11" t="inlineStr">
        <is>
          <t>Ativo Total</t>
        </is>
      </c>
      <c r="C5" s="12" t="n">
        <v>8668015</v>
      </c>
      <c r="D5" s="12" t="n">
        <v>7437571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1.01</t>
        </is>
      </c>
      <c r="B6" s="11" t="inlineStr">
        <is>
          <t xml:space="preserve">   Ativo Circulante</t>
        </is>
      </c>
      <c r="C6" s="12" t="n">
        <v>2158236</v>
      </c>
      <c r="D6" s="12" t="n">
        <v>1569425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1.01.01</t>
        </is>
      </c>
      <c r="B7" t="inlineStr">
        <is>
          <t xml:space="preserve">      Caixa e Equivalentes de Caixa</t>
        </is>
      </c>
      <c r="C7" s="8" t="n">
        <v>229508</v>
      </c>
      <c r="D7" s="8" t="n">
        <v>295548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t="inlineStr">
        <is>
          <t>1.01.02</t>
        </is>
      </c>
      <c r="B8" t="inlineStr">
        <is>
          <t xml:space="preserve">      Aplicações Financeiras</t>
        </is>
      </c>
      <c r="C8" s="8" t="n">
        <v>1395510</v>
      </c>
      <c r="D8" s="8" t="n">
        <v>761939</v>
      </c>
      <c r="E8" s="9">
        <f>IFERROR(C8/C$5,"")</f>
        <v/>
      </c>
      <c r="F8" s="9">
        <f>IFERROR(D8/D$5,"")</f>
        <v/>
      </c>
      <c r="G8" s="8">
        <f>C8-D8</f>
        <v/>
      </c>
      <c r="H8" s="9">
        <f>IFERROR(C8/D8-1,"")</f>
        <v/>
      </c>
    </row>
    <row r="9">
      <c r="A9" t="inlineStr">
        <is>
          <t>1.01.02.03</t>
        </is>
      </c>
      <c r="B9" t="inlineStr">
        <is>
          <t xml:space="preserve">         Aplicações Financeiras Avaliadas ao Custo Amortizado</t>
        </is>
      </c>
      <c r="C9" s="8" t="n">
        <v>1395510</v>
      </c>
      <c r="D9" s="8" t="n">
        <v>761939</v>
      </c>
      <c r="E9" s="9">
        <f>IFERROR(C9/C$5,"")</f>
        <v/>
      </c>
      <c r="F9" s="9">
        <f>IFERROR(D9/D$5,"")</f>
        <v/>
      </c>
      <c r="G9" s="8">
        <f>C9-D9</f>
        <v/>
      </c>
      <c r="H9" s="9">
        <f>IFERROR(C9/D9-1,"")</f>
        <v/>
      </c>
    </row>
    <row r="10">
      <c r="A10" t="inlineStr">
        <is>
          <t>1.01.03</t>
        </is>
      </c>
      <c r="B10" t="inlineStr">
        <is>
          <t xml:space="preserve">      Contas a Receber</t>
        </is>
      </c>
      <c r="C10" s="8" t="n">
        <v>253967</v>
      </c>
      <c r="D10" s="8" t="n">
        <v>361095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1.01.03.01</t>
        </is>
      </c>
      <c r="B11" t="inlineStr">
        <is>
          <t xml:space="preserve">         Clientes</t>
        </is>
      </c>
      <c r="C11" s="8" t="n">
        <v>253967</v>
      </c>
      <c r="D11" s="8" t="n">
        <v>361095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1.01.03.01.01</t>
        </is>
      </c>
      <c r="B12" t="inlineStr">
        <is>
          <t xml:space="preserve">            Contas a Receber de Clientes</t>
        </is>
      </c>
      <c r="C12" s="8" t="n">
        <v>253967</v>
      </c>
      <c r="D12" s="8" t="n">
        <v>361095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1.01.04</t>
        </is>
      </c>
      <c r="B13" t="inlineStr">
        <is>
          <t xml:space="preserve">      Estoques</t>
        </is>
      </c>
      <c r="C13" s="8" t="n">
        <v>6139</v>
      </c>
      <c r="D13" s="8" t="n">
        <v>9766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t="inlineStr">
        <is>
          <t>1.01.04.01</t>
        </is>
      </c>
      <c r="B14" t="inlineStr">
        <is>
          <t xml:space="preserve">         Estoques</t>
        </is>
      </c>
      <c r="C14" s="8" t="n">
        <v>6139</v>
      </c>
      <c r="D14" s="8" t="n">
        <v>9766</v>
      </c>
      <c r="E14" s="9">
        <f>IFERROR(C14/C$5,"")</f>
        <v/>
      </c>
      <c r="F14" s="9">
        <f>IFERROR(D14/D$5,"")</f>
        <v/>
      </c>
      <c r="G14" s="8">
        <f>C14-D14</f>
        <v/>
      </c>
      <c r="H14" s="9">
        <f>IFERROR(C14/D14-1,"")</f>
        <v/>
      </c>
    </row>
    <row r="15">
      <c r="A15" t="inlineStr">
        <is>
          <t>1.01.06</t>
        </is>
      </c>
      <c r="B15" t="inlineStr">
        <is>
          <t xml:space="preserve">      Tributos a Recuperar</t>
        </is>
      </c>
      <c r="C15" s="8" t="n">
        <v>146817</v>
      </c>
      <c r="D15" s="8" t="n">
        <v>96616</v>
      </c>
      <c r="E15" s="9">
        <f>IFERROR(C15/C$5,"")</f>
        <v/>
      </c>
      <c r="F15" s="9">
        <f>IFERROR(D15/D$5,"")</f>
        <v/>
      </c>
      <c r="G15" s="8">
        <f>C15-D15</f>
        <v/>
      </c>
      <c r="H15" s="9">
        <f>IFERROR(C15/D15-1,"")</f>
        <v/>
      </c>
    </row>
    <row r="16">
      <c r="A16" t="inlineStr">
        <is>
          <t>1.01.06.01</t>
        </is>
      </c>
      <c r="B16" t="inlineStr">
        <is>
          <t xml:space="preserve">         Tributos Correntes a Recuperar</t>
        </is>
      </c>
      <c r="C16" s="8" t="n">
        <v>146817</v>
      </c>
      <c r="D16" s="8" t="n">
        <v>96616</v>
      </c>
      <c r="E16" s="9">
        <f>IFERROR(C16/C$5,"")</f>
        <v/>
      </c>
      <c r="F16" s="9">
        <f>IFERROR(D16/D$5,"")</f>
        <v/>
      </c>
      <c r="G16" s="8">
        <f>C16-D16</f>
        <v/>
      </c>
      <c r="H16" s="9">
        <f>IFERROR(C16/D16-1,"")</f>
        <v/>
      </c>
    </row>
    <row r="17">
      <c r="A17" t="inlineStr">
        <is>
          <t>1.01.06.01.01</t>
        </is>
      </c>
      <c r="B17" t="inlineStr">
        <is>
          <t xml:space="preserve">            Impostos a Recuperar</t>
        </is>
      </c>
      <c r="C17" s="8" t="n">
        <v>146817</v>
      </c>
      <c r="D17" s="8" t="n">
        <v>96616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t="inlineStr">
        <is>
          <t>1.01.08</t>
        </is>
      </c>
      <c r="B18" t="inlineStr">
        <is>
          <t xml:space="preserve">      Outros Ativos Circulantes</t>
        </is>
      </c>
      <c r="C18" s="8" t="n">
        <v>126295</v>
      </c>
      <c r="D18" s="8" t="n">
        <v>44461</v>
      </c>
      <c r="E18" s="9">
        <f>IFERROR(C18/C$5,"")</f>
        <v/>
      </c>
      <c r="F18" s="9">
        <f>IFERROR(D18/D$5,"")</f>
        <v/>
      </c>
      <c r="G18" s="8">
        <f>C18-D18</f>
        <v/>
      </c>
      <c r="H18" s="9">
        <f>IFERROR(C18/D18-1,"")</f>
        <v/>
      </c>
    </row>
    <row r="19">
      <c r="A19" t="inlineStr">
        <is>
          <t>1.01.08.03</t>
        </is>
      </c>
      <c r="B19" t="inlineStr">
        <is>
          <t xml:space="preserve">         Outros</t>
        </is>
      </c>
      <c r="C19" s="8" t="n">
        <v>126295</v>
      </c>
      <c r="D19" s="8" t="n">
        <v>44461</v>
      </c>
      <c r="E19" s="9">
        <f>IFERROR(C19/C$5,"")</f>
        <v/>
      </c>
      <c r="F19" s="9">
        <f>IFERROR(D19/D$5,"")</f>
        <v/>
      </c>
      <c r="G19" s="8">
        <f>C19-D19</f>
        <v/>
      </c>
      <c r="H19" s="9">
        <f>IFERROR(C19/D19-1,"")</f>
        <v/>
      </c>
    </row>
    <row r="20">
      <c r="A20" t="inlineStr">
        <is>
          <t>1.01.08.03.01</t>
        </is>
      </c>
      <c r="B20" t="inlineStr">
        <is>
          <t xml:space="preserve">            Instrumentos Financeiros Derivativos</t>
        </is>
      </c>
      <c r="C20" s="8" t="n">
        <v>33771</v>
      </c>
      <c r="D20" s="8" t="n">
        <v>575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t="inlineStr">
        <is>
          <t>1.01.08.03.03</t>
        </is>
      </c>
      <c r="B21" t="inlineStr">
        <is>
          <t xml:space="preserve">            Outro Ativos</t>
        </is>
      </c>
      <c r="C21" s="8" t="n">
        <v>92524</v>
      </c>
      <c r="D21" s="8" t="n">
        <v>43886</v>
      </c>
      <c r="E21" s="9">
        <f>IFERROR(C21/C$5,"")</f>
        <v/>
      </c>
      <c r="F21" s="9">
        <f>IFERROR(D21/D$5,"")</f>
        <v/>
      </c>
      <c r="G21" s="8">
        <f>C21-D21</f>
        <v/>
      </c>
      <c r="H21" s="9">
        <f>IFERROR(C21/D21-1,"")</f>
        <v/>
      </c>
    </row>
    <row r="22">
      <c r="A22" s="11" t="inlineStr">
        <is>
          <t>1.02</t>
        </is>
      </c>
      <c r="B22" s="11" t="inlineStr">
        <is>
          <t xml:space="preserve">   Ativo Não Circulante</t>
        </is>
      </c>
      <c r="C22" s="12" t="n">
        <v>6509779</v>
      </c>
      <c r="D22" s="12" t="n">
        <v>5868146</v>
      </c>
      <c r="E22" s="13">
        <f>IFERROR(C22/C$5,"")</f>
        <v/>
      </c>
      <c r="F22" s="13">
        <f>IFERROR(D22/D$5,"")</f>
        <v/>
      </c>
      <c r="G22" s="12">
        <f>C22-D22</f>
        <v/>
      </c>
      <c r="H22" s="13">
        <f>IFERROR(C22/D22-1,"")</f>
        <v/>
      </c>
    </row>
    <row r="23">
      <c r="A23" t="inlineStr">
        <is>
          <t>1.02.01</t>
        </is>
      </c>
      <c r="B23" t="inlineStr">
        <is>
          <t xml:space="preserve">      Ativo Realizável a Longo Prazo</t>
        </is>
      </c>
      <c r="C23" s="8" t="n">
        <v>255554</v>
      </c>
      <c r="D23" s="8" t="n">
        <v>306832</v>
      </c>
      <c r="E23" s="9">
        <f>IFERROR(C23/C$5,"")</f>
        <v/>
      </c>
      <c r="F23" s="9">
        <f>IFERROR(D23/D$5,"")</f>
        <v/>
      </c>
      <c r="G23" s="8">
        <f>C23-D23</f>
        <v/>
      </c>
      <c r="H23" s="9">
        <f>IFERROR(C23/D23-1,"")</f>
        <v/>
      </c>
    </row>
    <row r="24">
      <c r="A24" t="inlineStr">
        <is>
          <t>1.02.01.03</t>
        </is>
      </c>
      <c r="B24" t="inlineStr">
        <is>
          <t xml:space="preserve">         Aplicações Financeiras Avaliadas ao Custo Amortizado</t>
        </is>
      </c>
      <c r="C24" s="8" t="n">
        <v>5022</v>
      </c>
      <c r="D24" s="8" t="n">
        <v>15964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5">
      <c r="A25" t="inlineStr">
        <is>
          <t>1.02.01.04</t>
        </is>
      </c>
      <c r="B25" t="inlineStr">
        <is>
          <t xml:space="preserve">         Contas a Receber</t>
        </is>
      </c>
      <c r="C25" s="8" t="n">
        <v>65231</v>
      </c>
      <c r="D25" s="8" t="n">
        <v>58145</v>
      </c>
      <c r="E25" s="9">
        <f>IFERROR(C25/C$5,"")</f>
        <v/>
      </c>
      <c r="F25" s="9">
        <f>IFERROR(D25/D$5,"")</f>
        <v/>
      </c>
      <c r="G25" s="8">
        <f>C25-D25</f>
        <v/>
      </c>
      <c r="H25" s="9">
        <f>IFERROR(C25/D25-1,"")</f>
        <v/>
      </c>
    </row>
    <row r="26">
      <c r="A26" t="inlineStr">
        <is>
          <t>1.02.01.04.01</t>
        </is>
      </c>
      <c r="B26" t="inlineStr">
        <is>
          <t xml:space="preserve">            Clientes</t>
        </is>
      </c>
      <c r="C26" s="8" t="n">
        <v>65231</v>
      </c>
      <c r="D26" s="8" t="n">
        <v>58145</v>
      </c>
      <c r="E26" s="9">
        <f>IFERROR(C26/C$5,"")</f>
        <v/>
      </c>
      <c r="F26" s="9">
        <f>IFERROR(D26/D$5,"")</f>
        <v/>
      </c>
      <c r="G26" s="8">
        <f>C26-D26</f>
        <v/>
      </c>
      <c r="H26" s="9">
        <f>IFERROR(C26/D26-1,"")</f>
        <v/>
      </c>
    </row>
    <row r="27">
      <c r="A27" t="inlineStr">
        <is>
          <t>1.02.01.07</t>
        </is>
      </c>
      <c r="B27" t="inlineStr">
        <is>
          <t xml:space="preserve">         Tributos Diferidos</t>
        </is>
      </c>
      <c r="C27" s="8" t="n">
        <v>8113</v>
      </c>
      <c r="D27" s="8" t="n">
        <v>97025</v>
      </c>
      <c r="E27" s="9">
        <f>IFERROR(C27/C$5,"")</f>
        <v/>
      </c>
      <c r="F27" s="9">
        <f>IFERROR(D27/D$5,"")</f>
        <v/>
      </c>
      <c r="G27" s="8">
        <f>C27-D27</f>
        <v/>
      </c>
      <c r="H27" s="9">
        <f>IFERROR(C27/D27-1,"")</f>
        <v/>
      </c>
    </row>
    <row r="28">
      <c r="A28" t="inlineStr">
        <is>
          <t>1.02.01.07.01</t>
        </is>
      </c>
      <c r="B28" t="inlineStr">
        <is>
          <t xml:space="preserve">            Imposto de Renda e Contribuição Social Diferidos</t>
        </is>
      </c>
      <c r="C28" s="8" t="n">
        <v>8113</v>
      </c>
      <c r="D28" s="8" t="n">
        <v>97025</v>
      </c>
      <c r="E28" s="9">
        <f>IFERROR(C28/C$5,"")</f>
        <v/>
      </c>
      <c r="F28" s="9">
        <f>IFERROR(D28/D$5,"")</f>
        <v/>
      </c>
      <c r="G28" s="8">
        <f>C28-D28</f>
        <v/>
      </c>
      <c r="H28" s="9">
        <f>IFERROR(C28/D28-1,"")</f>
        <v/>
      </c>
    </row>
    <row r="29">
      <c r="A29" t="inlineStr">
        <is>
          <t>1.02.01.10</t>
        </is>
      </c>
      <c r="B29" t="inlineStr">
        <is>
          <t xml:space="preserve">         Outros Ativos Não Circulantes</t>
        </is>
      </c>
      <c r="C29" s="8" t="n">
        <v>177188</v>
      </c>
      <c r="D29" s="8" t="n">
        <v>135698</v>
      </c>
      <c r="E29" s="9">
        <f>IFERROR(C29/C$5,"")</f>
        <v/>
      </c>
      <c r="F29" s="9">
        <f>IFERROR(D29/D$5,"")</f>
        <v/>
      </c>
      <c r="G29" s="8">
        <f>C29-D29</f>
        <v/>
      </c>
      <c r="H29" s="9">
        <f>IFERROR(C29/D29-1,"")</f>
        <v/>
      </c>
    </row>
    <row r="30">
      <c r="A30" t="inlineStr">
        <is>
          <t>1.02.01.10.03</t>
        </is>
      </c>
      <c r="B30" t="inlineStr">
        <is>
          <t xml:space="preserve">            Instrumentos Financeiros Derivativos</t>
        </is>
      </c>
      <c r="C30" s="8" t="n">
        <v>1284</v>
      </c>
      <c r="D30" s="8" t="n">
        <v>0</v>
      </c>
      <c r="E30" s="9">
        <f>IFERROR(C30/C$5,"")</f>
        <v/>
      </c>
      <c r="F30" s="9">
        <f>IFERROR(D30/D$5,"")</f>
        <v/>
      </c>
      <c r="G30" s="8">
        <f>C30-D30</f>
        <v/>
      </c>
      <c r="H30" s="9">
        <f>IFERROR(C30/D30-1,"")</f>
        <v/>
      </c>
    </row>
    <row r="31">
      <c r="A31" t="inlineStr">
        <is>
          <t>1.02.01.10.05</t>
        </is>
      </c>
      <c r="B31" t="inlineStr">
        <is>
          <t xml:space="preserve">            Impostos a Recuperar</t>
        </is>
      </c>
      <c r="C31" s="8" t="n">
        <v>69109</v>
      </c>
      <c r="D31" s="8" t="n">
        <v>66820</v>
      </c>
      <c r="E31" s="9">
        <f>IFERROR(C31/C$5,"")</f>
        <v/>
      </c>
      <c r="F31" s="9">
        <f>IFERROR(D31/D$5,"")</f>
        <v/>
      </c>
      <c r="G31" s="8">
        <f>C31-D31</f>
        <v/>
      </c>
      <c r="H31" s="9">
        <f>IFERROR(C31/D31-1,"")</f>
        <v/>
      </c>
    </row>
    <row r="32">
      <c r="A32" t="inlineStr">
        <is>
          <t>1.02.01.10.06</t>
        </is>
      </c>
      <c r="B32" t="inlineStr">
        <is>
          <t xml:space="preserve">            Outros Ativos</t>
        </is>
      </c>
      <c r="C32" s="8" t="n">
        <v>81912</v>
      </c>
      <c r="D32" s="8" t="n">
        <v>46540</v>
      </c>
      <c r="E32" s="9">
        <f>IFERROR(C32/C$5,"")</f>
        <v/>
      </c>
      <c r="F32" s="9">
        <f>IFERROR(D32/D$5,"")</f>
        <v/>
      </c>
      <c r="G32" s="8">
        <f>C32-D32</f>
        <v/>
      </c>
      <c r="H32" s="9">
        <f>IFERROR(C32/D32-1,"")</f>
        <v/>
      </c>
    </row>
    <row r="33">
      <c r="A33" t="inlineStr">
        <is>
          <t>1.02.01.10.07</t>
        </is>
      </c>
      <c r="B33" t="inlineStr">
        <is>
          <t xml:space="preserve">            Direito de Uso em Arrendamento</t>
        </is>
      </c>
      <c r="C33" s="8" t="n">
        <v>24883</v>
      </c>
      <c r="D33" s="8" t="n">
        <v>22338</v>
      </c>
      <c r="E33" s="9">
        <f>IFERROR(C33/C$5,"")</f>
        <v/>
      </c>
      <c r="F33" s="9">
        <f>IFERROR(D33/D$5,"")</f>
        <v/>
      </c>
      <c r="G33" s="8">
        <f>C33-D33</f>
        <v/>
      </c>
      <c r="H33" s="9">
        <f>IFERROR(C33/D33-1,"")</f>
        <v/>
      </c>
    </row>
    <row r="34">
      <c r="A34" t="inlineStr">
        <is>
          <t>1.02.03</t>
        </is>
      </c>
      <c r="B34" t="inlineStr">
        <is>
          <t xml:space="preserve">      Imobilizado</t>
        </is>
      </c>
      <c r="C34" s="8" t="n">
        <v>6170841</v>
      </c>
      <c r="D34" s="8" t="n">
        <v>5540758</v>
      </c>
      <c r="E34" s="9">
        <f>IFERROR(C34/C$5,"")</f>
        <v/>
      </c>
      <c r="F34" s="9">
        <f>IFERROR(D34/D$5,"")</f>
        <v/>
      </c>
      <c r="G34" s="8">
        <f>C34-D34</f>
        <v/>
      </c>
      <c r="H34" s="9">
        <f>IFERROR(C34/D34-1,"")</f>
        <v/>
      </c>
    </row>
    <row r="35">
      <c r="A35" t="inlineStr">
        <is>
          <t>1.02.03.01</t>
        </is>
      </c>
      <c r="B35" t="inlineStr">
        <is>
          <t xml:space="preserve">         Imobilizado em Operação</t>
        </is>
      </c>
      <c r="C35" s="8" t="n">
        <v>6098670</v>
      </c>
      <c r="D35" s="8" t="n">
        <v>5399517</v>
      </c>
      <c r="E35" s="9">
        <f>IFERROR(C35/C$5,"")</f>
        <v/>
      </c>
      <c r="F35" s="9">
        <f>IFERROR(D35/D$5,"")</f>
        <v/>
      </c>
      <c r="G35" s="8">
        <f>C35-D35</f>
        <v/>
      </c>
      <c r="H35" s="9">
        <f>IFERROR(C35/D35-1,"")</f>
        <v/>
      </c>
    </row>
    <row r="36">
      <c r="A36" t="inlineStr">
        <is>
          <t>1.02.03.01.01</t>
        </is>
      </c>
      <c r="B36" t="inlineStr">
        <is>
          <t xml:space="preserve">            Imobilizado em Operação</t>
        </is>
      </c>
      <c r="C36" s="8" t="n">
        <v>6098670</v>
      </c>
      <c r="D36" s="8" t="n">
        <v>5399517</v>
      </c>
      <c r="E36" s="9">
        <f>IFERROR(C36/C$5,"")</f>
        <v/>
      </c>
      <c r="F36" s="9">
        <f>IFERROR(D36/D$5,"")</f>
        <v/>
      </c>
      <c r="G36" s="8">
        <f>C36-D36</f>
        <v/>
      </c>
      <c r="H36" s="9">
        <f>IFERROR(C36/D36-1,"")</f>
        <v/>
      </c>
    </row>
    <row r="37">
      <c r="A37" t="inlineStr">
        <is>
          <t>1.02.03.03</t>
        </is>
      </c>
      <c r="B37" t="inlineStr">
        <is>
          <t xml:space="preserve">         Imobilizado em Andamento</t>
        </is>
      </c>
      <c r="C37" s="8" t="n">
        <v>72171</v>
      </c>
      <c r="D37" s="8" t="n">
        <v>141241</v>
      </c>
      <c r="E37" s="9">
        <f>IFERROR(C37/C$5,"")</f>
        <v/>
      </c>
      <c r="F37" s="9">
        <f>IFERROR(D37/D$5,"")</f>
        <v/>
      </c>
      <c r="G37" s="8">
        <f>C37-D37</f>
        <v/>
      </c>
      <c r="H37" s="9">
        <f>IFERROR(C37/D37-1,"")</f>
        <v/>
      </c>
    </row>
    <row r="38">
      <c r="A38" t="inlineStr">
        <is>
          <t>1.02.04</t>
        </is>
      </c>
      <c r="B38" t="inlineStr">
        <is>
          <t xml:space="preserve">      Intangível</t>
        </is>
      </c>
      <c r="C38" s="8" t="n">
        <v>83384</v>
      </c>
      <c r="D38" s="8" t="n">
        <v>20556</v>
      </c>
      <c r="E38" s="9">
        <f>IFERROR(C38/C$5,"")</f>
        <v/>
      </c>
      <c r="F38" s="9">
        <f>IFERROR(D38/D$5,"")</f>
        <v/>
      </c>
      <c r="G38" s="8">
        <f>C38-D38</f>
        <v/>
      </c>
      <c r="H38" s="9">
        <f>IFERROR(C38/D38-1,"")</f>
        <v/>
      </c>
    </row>
    <row r="39">
      <c r="A39" t="inlineStr">
        <is>
          <t>1.02.04.01</t>
        </is>
      </c>
      <c r="B39" t="inlineStr">
        <is>
          <t xml:space="preserve">         Intangíveis</t>
        </is>
      </c>
      <c r="C39" s="8" t="n">
        <v>83384</v>
      </c>
      <c r="D39" s="8" t="n">
        <v>20556</v>
      </c>
      <c r="E39" s="9">
        <f>IFERROR(C39/C$5,"")</f>
        <v/>
      </c>
      <c r="F39" s="9">
        <f>IFERROR(D39/D$5,"")</f>
        <v/>
      </c>
      <c r="G39" s="8">
        <f>C39-D39</f>
        <v/>
      </c>
      <c r="H39" s="9">
        <f>IFERROR(C39/D39-1,"")</f>
        <v/>
      </c>
    </row>
    <row r="40">
      <c r="A40" t="inlineStr">
        <is>
          <t>1.02.04.01.02</t>
        </is>
      </c>
      <c r="B40" t="inlineStr">
        <is>
          <t xml:space="preserve">            Intangível</t>
        </is>
      </c>
      <c r="C40" s="8" t="n">
        <v>83384</v>
      </c>
      <c r="D40" s="8" t="n">
        <v>20556</v>
      </c>
      <c r="E40" s="9">
        <f>IFERROR(C40/C$5,"")</f>
        <v/>
      </c>
      <c r="F40" s="9">
        <f>IFERROR(D40/D$5,"")</f>
        <v/>
      </c>
      <c r="G40" s="8">
        <f>C40-D40</f>
        <v/>
      </c>
      <c r="H40" s="9">
        <f>IFERROR(C40/D40-1,"")</f>
        <v/>
      </c>
    </row>
    <row r="42">
      <c r="A42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Balanco - Passivo e PL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2</t>
        </is>
      </c>
      <c r="B5" s="11" t="inlineStr">
        <is>
          <t>Passivo Total</t>
        </is>
      </c>
      <c r="C5" s="12" t="n">
        <v>8668015</v>
      </c>
      <c r="D5" s="12" t="n">
        <v>7437571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2.01</t>
        </is>
      </c>
      <c r="B6" s="11" t="inlineStr">
        <is>
          <t xml:space="preserve">   Passivo Circulante</t>
        </is>
      </c>
      <c r="C6" s="12" t="n">
        <v>619377</v>
      </c>
      <c r="D6" s="12" t="n">
        <v>732356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2.01.01</t>
        </is>
      </c>
      <c r="B7" t="inlineStr">
        <is>
          <t xml:space="preserve">      Obrigações Sociais e Trabalhistas</t>
        </is>
      </c>
      <c r="C7" s="8" t="n">
        <v>88753</v>
      </c>
      <c r="D7" s="8" t="n">
        <v>93929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t="inlineStr">
        <is>
          <t>2.01.01.02</t>
        </is>
      </c>
      <c r="B8" t="inlineStr">
        <is>
          <t xml:space="preserve">         Obrigações Trabalhistas</t>
        </is>
      </c>
      <c r="C8" s="8" t="n">
        <v>88753</v>
      </c>
      <c r="D8" s="8" t="n">
        <v>93929</v>
      </c>
      <c r="E8" s="9">
        <f>IFERROR(C8/C$5,"")</f>
        <v/>
      </c>
      <c r="F8" s="9">
        <f>IFERROR(D8/D$5,"")</f>
        <v/>
      </c>
      <c r="G8" s="8">
        <f>C8-D8</f>
        <v/>
      </c>
      <c r="H8" s="9">
        <f>IFERROR(C8/D8-1,"")</f>
        <v/>
      </c>
    </row>
    <row r="9">
      <c r="A9" t="inlineStr">
        <is>
          <t>2.01.02</t>
        </is>
      </c>
      <c r="B9" t="inlineStr">
        <is>
          <t xml:space="preserve">      Fornecedores</t>
        </is>
      </c>
      <c r="C9" s="8" t="n">
        <v>265879</v>
      </c>
      <c r="D9" s="8" t="n">
        <v>299110</v>
      </c>
      <c r="E9" s="9">
        <f>IFERROR(C9/C$5,"")</f>
        <v/>
      </c>
      <c r="F9" s="9">
        <f>IFERROR(D9/D$5,"")</f>
        <v/>
      </c>
      <c r="G9" s="8">
        <f>C9-D9</f>
        <v/>
      </c>
      <c r="H9" s="9">
        <f>IFERROR(C9/D9-1,"")</f>
        <v/>
      </c>
    </row>
    <row r="10">
      <c r="A10" t="inlineStr">
        <is>
          <t>2.01.02.01</t>
        </is>
      </c>
      <c r="B10" t="inlineStr">
        <is>
          <t xml:space="preserve">         Fornecedores Nacionais</t>
        </is>
      </c>
      <c r="C10" s="8" t="n">
        <v>260844</v>
      </c>
      <c r="D10" s="8" t="n">
        <v>296244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2.01.02.02</t>
        </is>
      </c>
      <c r="B11" t="inlineStr">
        <is>
          <t xml:space="preserve">         Fornecedores Estrangeiros</t>
        </is>
      </c>
      <c r="C11" s="8" t="n">
        <v>5035</v>
      </c>
      <c r="D11" s="8" t="n">
        <v>2866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2.01.03</t>
        </is>
      </c>
      <c r="B12" t="inlineStr">
        <is>
          <t xml:space="preserve">      Obrigações Fiscais</t>
        </is>
      </c>
      <c r="C12" s="8" t="n">
        <v>50549</v>
      </c>
      <c r="D12" s="8" t="n">
        <v>74193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2.01.03.01</t>
        </is>
      </c>
      <c r="B13" t="inlineStr">
        <is>
          <t xml:space="preserve">         Obrigações Fiscais Federais</t>
        </is>
      </c>
      <c r="C13" s="8" t="n">
        <v>39063</v>
      </c>
      <c r="D13" s="8" t="n">
        <v>58218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t="inlineStr">
        <is>
          <t>2.01.03.01.02</t>
        </is>
      </c>
      <c r="B14" t="inlineStr">
        <is>
          <t xml:space="preserve">            Tributos a Recolher</t>
        </is>
      </c>
      <c r="C14" s="8" t="n">
        <v>39063</v>
      </c>
      <c r="D14" s="8" t="n">
        <v>58218</v>
      </c>
      <c r="E14" s="9">
        <f>IFERROR(C14/C$5,"")</f>
        <v/>
      </c>
      <c r="F14" s="9">
        <f>IFERROR(D14/D$5,"")</f>
        <v/>
      </c>
      <c r="G14" s="8">
        <f>C14-D14</f>
        <v/>
      </c>
      <c r="H14" s="9">
        <f>IFERROR(C14/D14-1,"")</f>
        <v/>
      </c>
    </row>
    <row r="15">
      <c r="A15" t="inlineStr">
        <is>
          <t>2.01.03.02</t>
        </is>
      </c>
      <c r="B15" t="inlineStr">
        <is>
          <t xml:space="preserve">         Obrigações Fiscais Estaduais</t>
        </is>
      </c>
      <c r="C15" s="8" t="n">
        <v>8784</v>
      </c>
      <c r="D15" s="8" t="n">
        <v>12194</v>
      </c>
      <c r="E15" s="9">
        <f>IFERROR(C15/C$5,"")</f>
        <v/>
      </c>
      <c r="F15" s="9">
        <f>IFERROR(D15/D$5,"")</f>
        <v/>
      </c>
      <c r="G15" s="8">
        <f>C15-D15</f>
        <v/>
      </c>
      <c r="H15" s="9">
        <f>IFERROR(C15/D15-1,"")</f>
        <v/>
      </c>
    </row>
    <row r="16">
      <c r="A16" t="inlineStr">
        <is>
          <t>2.01.03.03</t>
        </is>
      </c>
      <c r="B16" t="inlineStr">
        <is>
          <t xml:space="preserve">         Obrigações Fiscais Municipais</t>
        </is>
      </c>
      <c r="C16" s="8" t="n">
        <v>2702</v>
      </c>
      <c r="D16" s="8" t="n">
        <v>3781</v>
      </c>
      <c r="E16" s="9">
        <f>IFERROR(C16/C$5,"")</f>
        <v/>
      </c>
      <c r="F16" s="9">
        <f>IFERROR(D16/D$5,"")</f>
        <v/>
      </c>
      <c r="G16" s="8">
        <f>C16-D16</f>
        <v/>
      </c>
      <c r="H16" s="9">
        <f>IFERROR(C16/D16-1,"")</f>
        <v/>
      </c>
    </row>
    <row r="17">
      <c r="A17" t="inlineStr">
        <is>
          <t>2.01.04</t>
        </is>
      </c>
      <c r="B17" t="inlineStr">
        <is>
          <t xml:space="preserve">      Empréstimos e Financiamentos</t>
        </is>
      </c>
      <c r="C17" s="8" t="n">
        <v>64914</v>
      </c>
      <c r="D17" s="8" t="n">
        <v>20907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t="inlineStr">
        <is>
          <t>2.01.04.02</t>
        </is>
      </c>
      <c r="B18" t="inlineStr">
        <is>
          <t xml:space="preserve">         Debêntures</t>
        </is>
      </c>
      <c r="C18" s="8" t="n">
        <v>64914</v>
      </c>
      <c r="D18" s="8" t="n">
        <v>20907</v>
      </c>
      <c r="E18" s="9">
        <f>IFERROR(C18/C$5,"")</f>
        <v/>
      </c>
      <c r="F18" s="9">
        <f>IFERROR(D18/D$5,"")</f>
        <v/>
      </c>
      <c r="G18" s="8">
        <f>C18-D18</f>
        <v/>
      </c>
      <c r="H18" s="9">
        <f>IFERROR(C18/D18-1,"")</f>
        <v/>
      </c>
    </row>
    <row r="19">
      <c r="A19" t="inlineStr">
        <is>
          <t>2.01.05</t>
        </is>
      </c>
      <c r="B19" t="inlineStr">
        <is>
          <t xml:space="preserve">      Outras Obrigações</t>
        </is>
      </c>
      <c r="C19" s="8" t="n">
        <v>144554</v>
      </c>
      <c r="D19" s="8" t="n">
        <v>243875</v>
      </c>
      <c r="E19" s="9">
        <f>IFERROR(C19/C$5,"")</f>
        <v/>
      </c>
      <c r="F19" s="9">
        <f>IFERROR(D19/D$5,"")</f>
        <v/>
      </c>
      <c r="G19" s="8">
        <f>C19-D19</f>
        <v/>
      </c>
      <c r="H19" s="9">
        <f>IFERROR(C19/D19-1,"")</f>
        <v/>
      </c>
    </row>
    <row r="20">
      <c r="A20" t="inlineStr">
        <is>
          <t>2.01.05.02</t>
        </is>
      </c>
      <c r="B20" t="inlineStr">
        <is>
          <t xml:space="preserve">         Outros</t>
        </is>
      </c>
      <c r="C20" s="8" t="n">
        <v>144554</v>
      </c>
      <c r="D20" s="8" t="n">
        <v>243875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t="inlineStr">
        <is>
          <t>2.01.05.02.01</t>
        </is>
      </c>
      <c r="B21" t="inlineStr">
        <is>
          <t xml:space="preserve">            Dividendos e JCP a Pagar</t>
        </is>
      </c>
      <c r="C21" s="8" t="n">
        <v>100000</v>
      </c>
      <c r="D21" s="8" t="n">
        <v>0</v>
      </c>
      <c r="E21" s="9">
        <f>IFERROR(C21/C$5,"")</f>
        <v/>
      </c>
      <c r="F21" s="9">
        <f>IFERROR(D21/D$5,"")</f>
        <v/>
      </c>
      <c r="G21" s="8">
        <f>C21-D21</f>
        <v/>
      </c>
      <c r="H21" s="9">
        <f>IFERROR(C21/D21-1,"")</f>
        <v/>
      </c>
    </row>
    <row r="22">
      <c r="A22" t="inlineStr">
        <is>
          <t>2.01.05.02.04</t>
        </is>
      </c>
      <c r="B22" t="inlineStr">
        <is>
          <t xml:space="preserve">            Valores a Pagar de Arrendamentos</t>
        </is>
      </c>
      <c r="C22" s="8" t="n">
        <v>19173</v>
      </c>
      <c r="D22" s="8" t="n">
        <v>17138</v>
      </c>
      <c r="E22" s="9">
        <f>IFERROR(C22/C$5,"")</f>
        <v/>
      </c>
      <c r="F22" s="9">
        <f>IFERROR(D22/D$5,"")</f>
        <v/>
      </c>
      <c r="G22" s="8">
        <f>C22-D22</f>
        <v/>
      </c>
      <c r="H22" s="9">
        <f>IFERROR(C22/D22-1,"")</f>
        <v/>
      </c>
    </row>
    <row r="23">
      <c r="A23" t="inlineStr">
        <is>
          <t>2.01.05.02.05</t>
        </is>
      </c>
      <c r="B23" t="inlineStr">
        <is>
          <t xml:space="preserve">            Instrumentos Financeiros Derivativos</t>
        </is>
      </c>
      <c r="C23" s="8" t="n">
        <v>0</v>
      </c>
      <c r="D23" s="8" t="n">
        <v>1003</v>
      </c>
      <c r="E23" s="9">
        <f>IFERROR(C23/C$5,"")</f>
        <v/>
      </c>
      <c r="F23" s="9">
        <f>IFERROR(D23/D$5,"")</f>
        <v/>
      </c>
      <c r="G23" s="8">
        <f>C23-D23</f>
        <v/>
      </c>
      <c r="H23" s="9">
        <f>IFERROR(C23/D23-1,"")</f>
        <v/>
      </c>
    </row>
    <row r="24">
      <c r="A24" t="inlineStr">
        <is>
          <t>2.01.05.02.06</t>
        </is>
      </c>
      <c r="B24" t="inlineStr">
        <is>
          <t xml:space="preserve">            Outras Contas a Pagar</t>
        </is>
      </c>
      <c r="C24" s="8" t="n">
        <v>6866</v>
      </c>
      <c r="D24" s="8" t="n">
        <v>12657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5">
      <c r="A25" t="inlineStr">
        <is>
          <t>2.01.05.02.07</t>
        </is>
      </c>
      <c r="B25" t="inlineStr">
        <is>
          <t xml:space="preserve">            Valor a pagar por Aquisições</t>
        </is>
      </c>
      <c r="C25" s="8" t="n">
        <v>18515</v>
      </c>
      <c r="D25" s="8" t="n">
        <v>213077</v>
      </c>
      <c r="E25" s="9">
        <f>IFERROR(C25/C$5,"")</f>
        <v/>
      </c>
      <c r="F25" s="9">
        <f>IFERROR(D25/D$5,"")</f>
        <v/>
      </c>
      <c r="G25" s="8">
        <f>C25-D25</f>
        <v/>
      </c>
      <c r="H25" s="9">
        <f>IFERROR(C25/D25-1,"")</f>
        <v/>
      </c>
    </row>
    <row r="26">
      <c r="A26" t="inlineStr">
        <is>
          <t>2.01.06</t>
        </is>
      </c>
      <c r="B26" t="inlineStr">
        <is>
          <t xml:space="preserve">      Provisões</t>
        </is>
      </c>
      <c r="C26" s="8" t="n">
        <v>4728</v>
      </c>
      <c r="D26" s="8" t="n">
        <v>342</v>
      </c>
      <c r="E26" s="9">
        <f>IFERROR(C26/C$5,"")</f>
        <v/>
      </c>
      <c r="F26" s="9">
        <f>IFERROR(D26/D$5,"")</f>
        <v/>
      </c>
      <c r="G26" s="8">
        <f>C26-D26</f>
        <v/>
      </c>
      <c r="H26" s="9">
        <f>IFERROR(C26/D26-1,"")</f>
        <v/>
      </c>
    </row>
    <row r="27">
      <c r="A27" t="inlineStr">
        <is>
          <t>2.01.06.02</t>
        </is>
      </c>
      <c r="B27" t="inlineStr">
        <is>
          <t xml:space="preserve">         Outras Provisões</t>
        </is>
      </c>
      <c r="C27" s="8" t="n">
        <v>4728</v>
      </c>
      <c r="D27" s="8" t="n">
        <v>342</v>
      </c>
      <c r="E27" s="9">
        <f>IFERROR(C27/C$5,"")</f>
        <v/>
      </c>
      <c r="F27" s="9">
        <f>IFERROR(D27/D$5,"")</f>
        <v/>
      </c>
      <c r="G27" s="8">
        <f>C27-D27</f>
        <v/>
      </c>
      <c r="H27" s="9">
        <f>IFERROR(C27/D27-1,"")</f>
        <v/>
      </c>
    </row>
    <row r="28">
      <c r="A28" t="inlineStr">
        <is>
          <t>2.01.06.02.04</t>
        </is>
      </c>
      <c r="B28" t="inlineStr">
        <is>
          <t xml:space="preserve">            Provisão para Fechamento de Poços</t>
        </is>
      </c>
      <c r="C28" s="8" t="n">
        <v>4728</v>
      </c>
      <c r="D28" s="8" t="n">
        <v>342</v>
      </c>
      <c r="E28" s="9">
        <f>IFERROR(C28/C$5,"")</f>
        <v/>
      </c>
      <c r="F28" s="9">
        <f>IFERROR(D28/D$5,"")</f>
        <v/>
      </c>
      <c r="G28" s="8">
        <f>C28-D28</f>
        <v/>
      </c>
      <c r="H28" s="9">
        <f>IFERROR(C28/D28-1,"")</f>
        <v/>
      </c>
    </row>
    <row r="29">
      <c r="A29" s="11" t="inlineStr">
        <is>
          <t>2.02</t>
        </is>
      </c>
      <c r="B29" s="11" t="inlineStr">
        <is>
          <t xml:space="preserve">   Passivo Não Circulante</t>
        </is>
      </c>
      <c r="C29" s="12" t="n">
        <v>3717922</v>
      </c>
      <c r="D29" s="12" t="n">
        <v>2469938</v>
      </c>
      <c r="E29" s="13">
        <f>IFERROR(C29/C$5,"")</f>
        <v/>
      </c>
      <c r="F29" s="13">
        <f>IFERROR(D29/D$5,"")</f>
        <v/>
      </c>
      <c r="G29" s="12">
        <f>C29-D29</f>
        <v/>
      </c>
      <c r="H29" s="13">
        <f>IFERROR(C29/D29-1,"")</f>
        <v/>
      </c>
    </row>
    <row r="30">
      <c r="A30" t="inlineStr">
        <is>
          <t>2.02.01</t>
        </is>
      </c>
      <c r="B30" t="inlineStr">
        <is>
          <t xml:space="preserve">      Empréstimos e Financiamentos</t>
        </is>
      </c>
      <c r="C30" s="8" t="n">
        <v>3040102</v>
      </c>
      <c r="D30" s="8" t="n">
        <v>1771414</v>
      </c>
      <c r="E30" s="9">
        <f>IFERROR(C30/C$5,"")</f>
        <v/>
      </c>
      <c r="F30" s="9">
        <f>IFERROR(D30/D$5,"")</f>
        <v/>
      </c>
      <c r="G30" s="8">
        <f>C30-D30</f>
        <v/>
      </c>
      <c r="H30" s="9">
        <f>IFERROR(C30/D30-1,"")</f>
        <v/>
      </c>
    </row>
    <row r="31">
      <c r="A31" t="inlineStr">
        <is>
          <t>2.02.01.02</t>
        </is>
      </c>
      <c r="B31" t="inlineStr">
        <is>
          <t xml:space="preserve">         Debêntures</t>
        </is>
      </c>
      <c r="C31" s="8" t="n">
        <v>3040102</v>
      </c>
      <c r="D31" s="8" t="n">
        <v>1771414</v>
      </c>
      <c r="E31" s="9">
        <f>IFERROR(C31/C$5,"")</f>
        <v/>
      </c>
      <c r="F31" s="9">
        <f>IFERROR(D31/D$5,"")</f>
        <v/>
      </c>
      <c r="G31" s="8">
        <f>C31-D31</f>
        <v/>
      </c>
      <c r="H31" s="9">
        <f>IFERROR(C31/D31-1,"")</f>
        <v/>
      </c>
    </row>
    <row r="32">
      <c r="A32" t="inlineStr">
        <is>
          <t>2.02.02</t>
        </is>
      </c>
      <c r="B32" t="inlineStr">
        <is>
          <t xml:space="preserve">      Outras Obrigações</t>
        </is>
      </c>
      <c r="C32" s="8" t="n">
        <v>429086</v>
      </c>
      <c r="D32" s="8" t="n">
        <v>513971</v>
      </c>
      <c r="E32" s="9">
        <f>IFERROR(C32/C$5,"")</f>
        <v/>
      </c>
      <c r="F32" s="9">
        <f>IFERROR(D32/D$5,"")</f>
        <v/>
      </c>
      <c r="G32" s="8">
        <f>C32-D32</f>
        <v/>
      </c>
      <c r="H32" s="9">
        <f>IFERROR(C32/D32-1,"")</f>
        <v/>
      </c>
    </row>
    <row r="33">
      <c r="A33" t="inlineStr">
        <is>
          <t>2.02.02.02</t>
        </is>
      </c>
      <c r="B33" t="inlineStr">
        <is>
          <t xml:space="preserve">         Outros</t>
        </is>
      </c>
      <c r="C33" s="8" t="n">
        <v>429086</v>
      </c>
      <c r="D33" s="8" t="n">
        <v>513971</v>
      </c>
      <c r="E33" s="9">
        <f>IFERROR(C33/C$5,"")</f>
        <v/>
      </c>
      <c r="F33" s="9">
        <f>IFERROR(D33/D$5,"")</f>
        <v/>
      </c>
      <c r="G33" s="8">
        <f>C33-D33</f>
        <v/>
      </c>
      <c r="H33" s="9">
        <f>IFERROR(C33/D33-1,"")</f>
        <v/>
      </c>
    </row>
    <row r="34">
      <c r="A34" t="inlineStr">
        <is>
          <t>2.02.02.02.03</t>
        </is>
      </c>
      <c r="B34" t="inlineStr">
        <is>
          <t xml:space="preserve">            Valores a Pagar de Arrendamentos</t>
        </is>
      </c>
      <c r="C34" s="8" t="n">
        <v>7122</v>
      </c>
      <c r="D34" s="8" t="n">
        <v>5099</v>
      </c>
      <c r="E34" s="9">
        <f>IFERROR(C34/C$5,"")</f>
        <v/>
      </c>
      <c r="F34" s="9">
        <f>IFERROR(D34/D$5,"")</f>
        <v/>
      </c>
      <c r="G34" s="8">
        <f>C34-D34</f>
        <v/>
      </c>
      <c r="H34" s="9">
        <f>IFERROR(C34/D34-1,"")</f>
        <v/>
      </c>
    </row>
    <row r="35">
      <c r="A35" t="inlineStr">
        <is>
          <t>2.02.02.02.04</t>
        </is>
      </c>
      <c r="B35" t="inlineStr">
        <is>
          <t xml:space="preserve">            Instrumentos Financeiros Derivativos</t>
        </is>
      </c>
      <c r="C35" s="8" t="n">
        <v>88449</v>
      </c>
      <c r="D35" s="8" t="n">
        <v>367837</v>
      </c>
      <c r="E35" s="9">
        <f>IFERROR(C35/C$5,"")</f>
        <v/>
      </c>
      <c r="F35" s="9">
        <f>IFERROR(D35/D$5,"")</f>
        <v/>
      </c>
      <c r="G35" s="8">
        <f>C35-D35</f>
        <v/>
      </c>
      <c r="H35" s="9">
        <f>IFERROR(C35/D35-1,"")</f>
        <v/>
      </c>
    </row>
    <row r="36">
      <c r="A36" t="inlineStr">
        <is>
          <t>2.02.02.02.06</t>
        </is>
      </c>
      <c r="B36" t="inlineStr">
        <is>
          <t xml:space="preserve">            Outras Contas a Pagar</t>
        </is>
      </c>
      <c r="C36" s="8" t="n">
        <v>3039</v>
      </c>
      <c r="D36" s="8" t="n">
        <v>10559</v>
      </c>
      <c r="E36" s="9">
        <f>IFERROR(C36/C$5,"")</f>
        <v/>
      </c>
      <c r="F36" s="9">
        <f>IFERROR(D36/D$5,"")</f>
        <v/>
      </c>
      <c r="G36" s="8">
        <f>C36-D36</f>
        <v/>
      </c>
      <c r="H36" s="9">
        <f>IFERROR(C36/D36-1,"")</f>
        <v/>
      </c>
    </row>
    <row r="37">
      <c r="A37" t="inlineStr">
        <is>
          <t>2.02.02.02.07</t>
        </is>
      </c>
      <c r="B37" t="inlineStr">
        <is>
          <t xml:space="preserve">            Fornecedores</t>
        </is>
      </c>
      <c r="C37" s="8" t="n">
        <v>130476</v>
      </c>
      <c r="D37" s="8" t="n">
        <v>130476</v>
      </c>
      <c r="E37" s="9">
        <f>IFERROR(C37/C$5,"")</f>
        <v/>
      </c>
      <c r="F37" s="9">
        <f>IFERROR(D37/D$5,"")</f>
        <v/>
      </c>
      <c r="G37" s="8">
        <f>C37-D37</f>
        <v/>
      </c>
      <c r="H37" s="9">
        <f>IFERROR(C37/D37-1,"")</f>
        <v/>
      </c>
    </row>
    <row r="38">
      <c r="A38" t="inlineStr">
        <is>
          <t>2.02.02.02.08</t>
        </is>
      </c>
      <c r="B38" t="inlineStr">
        <is>
          <t xml:space="preserve">            Dividendos a pagar</t>
        </is>
      </c>
      <c r="C38" s="8" t="n">
        <v>200000</v>
      </c>
      <c r="D38" s="8" t="n">
        <v>0</v>
      </c>
      <c r="E38" s="9">
        <f>IFERROR(C38/C$5,"")</f>
        <v/>
      </c>
      <c r="F38" s="9">
        <f>IFERROR(D38/D$5,"")</f>
        <v/>
      </c>
      <c r="G38" s="8">
        <f>C38-D38</f>
        <v/>
      </c>
      <c r="H38" s="9">
        <f>IFERROR(C38/D38-1,"")</f>
        <v/>
      </c>
    </row>
    <row r="39">
      <c r="A39" t="inlineStr">
        <is>
          <t>2.02.03</t>
        </is>
      </c>
      <c r="B39" t="inlineStr">
        <is>
          <t xml:space="preserve">      Tributos Diferidos</t>
        </is>
      </c>
      <c r="C39" s="8" t="n">
        <v>60324</v>
      </c>
      <c r="D39" s="8" t="n">
        <v>0</v>
      </c>
      <c r="E39" s="9">
        <f>IFERROR(C39/C$5,"")</f>
        <v/>
      </c>
      <c r="F39" s="9">
        <f>IFERROR(D39/D$5,"")</f>
        <v/>
      </c>
      <c r="G39" s="8">
        <f>C39-D39</f>
        <v/>
      </c>
      <c r="H39" s="9">
        <f>IFERROR(C39/D39-1,"")</f>
        <v/>
      </c>
    </row>
    <row r="40">
      <c r="A40" t="inlineStr">
        <is>
          <t>2.02.03.01</t>
        </is>
      </c>
      <c r="B40" t="inlineStr">
        <is>
          <t xml:space="preserve">         Imposto de Renda e Contribuição Social Diferidos</t>
        </is>
      </c>
      <c r="C40" s="8" t="n">
        <v>60324</v>
      </c>
      <c r="D40" s="8" t="n">
        <v>0</v>
      </c>
      <c r="E40" s="9">
        <f>IFERROR(C40/C$5,"")</f>
        <v/>
      </c>
      <c r="F40" s="9">
        <f>IFERROR(D40/D$5,"")</f>
        <v/>
      </c>
      <c r="G40" s="8">
        <f>C40-D40</f>
        <v/>
      </c>
      <c r="H40" s="9">
        <f>IFERROR(C40/D40-1,"")</f>
        <v/>
      </c>
    </row>
    <row r="41">
      <c r="A41" t="inlineStr">
        <is>
          <t>2.02.03.01.01</t>
        </is>
      </c>
      <c r="B41" t="inlineStr">
        <is>
          <t xml:space="preserve">            Imposto de Renda e Contribuição Social Diferidos</t>
        </is>
      </c>
      <c r="C41" s="8" t="n">
        <v>60324</v>
      </c>
      <c r="D41" s="8" t="n">
        <v>0</v>
      </c>
      <c r="E41" s="9">
        <f>IFERROR(C41/C$5,"")</f>
        <v/>
      </c>
      <c r="F41" s="9">
        <f>IFERROR(D41/D$5,"")</f>
        <v/>
      </c>
      <c r="G41" s="8">
        <f>C41-D41</f>
        <v/>
      </c>
      <c r="H41" s="9">
        <f>IFERROR(C41/D41-1,"")</f>
        <v/>
      </c>
    </row>
    <row r="42">
      <c r="A42" t="inlineStr">
        <is>
          <t>2.02.04</t>
        </is>
      </c>
      <c r="B42" t="inlineStr">
        <is>
          <t xml:space="preserve">      Provisões</t>
        </is>
      </c>
      <c r="C42" s="8" t="n">
        <v>188410</v>
      </c>
      <c r="D42" s="8" t="n">
        <v>184553</v>
      </c>
      <c r="E42" s="9">
        <f>IFERROR(C42/C$5,"")</f>
        <v/>
      </c>
      <c r="F42" s="9">
        <f>IFERROR(D42/D$5,"")</f>
        <v/>
      </c>
      <c r="G42" s="8">
        <f>C42-D42</f>
        <v/>
      </c>
      <c r="H42" s="9">
        <f>IFERROR(C42/D42-1,"")</f>
        <v/>
      </c>
    </row>
    <row r="43">
      <c r="A43" t="inlineStr">
        <is>
          <t>2.02.04.01</t>
        </is>
      </c>
      <c r="B43" t="inlineStr">
        <is>
          <t xml:space="preserve">         Provisões Fiscais Previdenciárias Trabalhistas e Cíveis</t>
        </is>
      </c>
      <c r="C43" s="8" t="n">
        <v>47946</v>
      </c>
      <c r="D43" s="8" t="n">
        <v>47923</v>
      </c>
      <c r="E43" s="9">
        <f>IFERROR(C43/C$5,"")</f>
        <v/>
      </c>
      <c r="F43" s="9">
        <f>IFERROR(D43/D$5,"")</f>
        <v/>
      </c>
      <c r="G43" s="8">
        <f>C43-D43</f>
        <v/>
      </c>
      <c r="H43" s="9">
        <f>IFERROR(C43/D43-1,"")</f>
        <v/>
      </c>
    </row>
    <row r="44">
      <c r="A44" t="inlineStr">
        <is>
          <t>2.02.04.01.01</t>
        </is>
      </c>
      <c r="B44" t="inlineStr">
        <is>
          <t xml:space="preserve">            Provisões Fiscais</t>
        </is>
      </c>
      <c r="C44" s="8" t="n">
        <v>1698</v>
      </c>
      <c r="D44" s="8" t="n">
        <v>1472</v>
      </c>
      <c r="E44" s="9">
        <f>IFERROR(C44/C$5,"")</f>
        <v/>
      </c>
      <c r="F44" s="9">
        <f>IFERROR(D44/D$5,"")</f>
        <v/>
      </c>
      <c r="G44" s="8">
        <f>C44-D44</f>
        <v/>
      </c>
      <c r="H44" s="9">
        <f>IFERROR(C44/D44-1,"")</f>
        <v/>
      </c>
    </row>
    <row r="45">
      <c r="A45" t="inlineStr">
        <is>
          <t>2.02.04.01.02</t>
        </is>
      </c>
      <c r="B45" t="inlineStr">
        <is>
          <t xml:space="preserve">            Provisões Previdenciárias e Trabalhistas</t>
        </is>
      </c>
      <c r="C45" s="8" t="n">
        <v>3214</v>
      </c>
      <c r="D45" s="8" t="n">
        <v>4810</v>
      </c>
      <c r="E45" s="9">
        <f>IFERROR(C45/C$5,"")</f>
        <v/>
      </c>
      <c r="F45" s="9">
        <f>IFERROR(D45/D$5,"")</f>
        <v/>
      </c>
      <c r="G45" s="8">
        <f>C45-D45</f>
        <v/>
      </c>
      <c r="H45" s="9">
        <f>IFERROR(C45/D45-1,"")</f>
        <v/>
      </c>
    </row>
    <row r="46">
      <c r="A46" t="inlineStr">
        <is>
          <t>2.02.04.01.05</t>
        </is>
      </c>
      <c r="B46" t="inlineStr">
        <is>
          <t xml:space="preserve">            Provisões Regulatórias</t>
        </is>
      </c>
      <c r="C46" s="8" t="n">
        <v>43034</v>
      </c>
      <c r="D46" s="8" t="n">
        <v>41641</v>
      </c>
      <c r="E46" s="9">
        <f>IFERROR(C46/C$5,"")</f>
        <v/>
      </c>
      <c r="F46" s="9">
        <f>IFERROR(D46/D$5,"")</f>
        <v/>
      </c>
      <c r="G46" s="8">
        <f>C46-D46</f>
        <v/>
      </c>
      <c r="H46" s="9">
        <f>IFERROR(C46/D46-1,"")</f>
        <v/>
      </c>
    </row>
    <row r="47">
      <c r="A47" t="inlineStr">
        <is>
          <t>2.02.04.02</t>
        </is>
      </c>
      <c r="B47" t="inlineStr">
        <is>
          <t xml:space="preserve">         Outras Provisões</t>
        </is>
      </c>
      <c r="C47" s="8" t="n">
        <v>140464</v>
      </c>
      <c r="D47" s="8" t="n">
        <v>136630</v>
      </c>
      <c r="E47" s="9">
        <f>IFERROR(C47/C$5,"")</f>
        <v/>
      </c>
      <c r="F47" s="9">
        <f>IFERROR(D47/D$5,"")</f>
        <v/>
      </c>
      <c r="G47" s="8">
        <f>C47-D47</f>
        <v/>
      </c>
      <c r="H47" s="9">
        <f>IFERROR(C47/D47-1,"")</f>
        <v/>
      </c>
    </row>
    <row r="48">
      <c r="A48" t="inlineStr">
        <is>
          <t>2.02.04.02.04</t>
        </is>
      </c>
      <c r="B48" t="inlineStr">
        <is>
          <t xml:space="preserve">            Provisão para Abandono de Poços</t>
        </is>
      </c>
      <c r="C48" s="8" t="n">
        <v>140464</v>
      </c>
      <c r="D48" s="8" t="n">
        <v>136630</v>
      </c>
      <c r="E48" s="9">
        <f>IFERROR(C48/C$5,"")</f>
        <v/>
      </c>
      <c r="F48" s="9">
        <f>IFERROR(D48/D$5,"")</f>
        <v/>
      </c>
      <c r="G48" s="8">
        <f>C48-D48</f>
        <v/>
      </c>
      <c r="H48" s="9">
        <f>IFERROR(C48/D48-1,"")</f>
        <v/>
      </c>
    </row>
    <row r="49">
      <c r="A49" s="11" t="inlineStr">
        <is>
          <t>2.03</t>
        </is>
      </c>
      <c r="B49" s="11" t="inlineStr">
        <is>
          <t xml:space="preserve">   Patrimônio Líquido Consolidado</t>
        </is>
      </c>
      <c r="C49" s="12" t="n">
        <v>4330716</v>
      </c>
      <c r="D49" s="12" t="n">
        <v>4235277</v>
      </c>
      <c r="E49" s="13">
        <f>IFERROR(C49/C$5,"")</f>
        <v/>
      </c>
      <c r="F49" s="13">
        <f>IFERROR(D49/D$5,"")</f>
        <v/>
      </c>
      <c r="G49" s="12">
        <f>C49-D49</f>
        <v/>
      </c>
      <c r="H49" s="13">
        <f>IFERROR(C49/D49-1,"")</f>
        <v/>
      </c>
    </row>
    <row r="50">
      <c r="A50" t="inlineStr">
        <is>
          <t>2.03.01</t>
        </is>
      </c>
      <c r="B50" t="inlineStr">
        <is>
          <t xml:space="preserve">      Capital Social Realizado</t>
        </is>
      </c>
      <c r="C50" s="8" t="n">
        <v>2832624</v>
      </c>
      <c r="D50" s="8" t="n">
        <v>2832476</v>
      </c>
      <c r="E50" s="9">
        <f>IFERROR(C50/C$5,"")</f>
        <v/>
      </c>
      <c r="F50" s="9">
        <f>IFERROR(D50/D$5,"")</f>
        <v/>
      </c>
      <c r="G50" s="8">
        <f>C50-D50</f>
        <v/>
      </c>
      <c r="H50" s="9">
        <f>IFERROR(C50/D50-1,"")</f>
        <v/>
      </c>
    </row>
    <row r="51">
      <c r="A51" t="inlineStr">
        <is>
          <t>2.03.01.01</t>
        </is>
      </c>
      <c r="B51" t="inlineStr">
        <is>
          <t xml:space="preserve">         Capital Social</t>
        </is>
      </c>
      <c r="C51" s="8" t="n">
        <v>2832624</v>
      </c>
      <c r="D51" s="8" t="n">
        <v>2832476</v>
      </c>
      <c r="E51" s="9">
        <f>IFERROR(C51/C$5,"")</f>
        <v/>
      </c>
      <c r="F51" s="9">
        <f>IFERROR(D51/D$5,"")</f>
        <v/>
      </c>
      <c r="G51" s="8">
        <f>C51-D51</f>
        <v/>
      </c>
      <c r="H51" s="9">
        <f>IFERROR(C51/D51-1,"")</f>
        <v/>
      </c>
    </row>
    <row r="52">
      <c r="A52" t="inlineStr">
        <is>
          <t>2.03.02</t>
        </is>
      </c>
      <c r="B52" t="inlineStr">
        <is>
          <t xml:space="preserve">      Reservas de Capital</t>
        </is>
      </c>
      <c r="C52" s="8" t="n">
        <v>56174</v>
      </c>
      <c r="D52" s="8" t="n">
        <v>49375</v>
      </c>
      <c r="E52" s="9">
        <f>IFERROR(C52/C$5,"")</f>
        <v/>
      </c>
      <c r="F52" s="9">
        <f>IFERROR(D52/D$5,"")</f>
        <v/>
      </c>
      <c r="G52" s="8">
        <f>C52-D52</f>
        <v/>
      </c>
      <c r="H52" s="9">
        <f>IFERROR(C52/D52-1,"")</f>
        <v/>
      </c>
    </row>
    <row r="53">
      <c r="A53" t="inlineStr">
        <is>
          <t>2.03.02.05</t>
        </is>
      </c>
      <c r="B53" t="inlineStr">
        <is>
          <t xml:space="preserve">         Ações em Tesouraria</t>
        </is>
      </c>
      <c r="C53" s="8" t="n">
        <v>-7884</v>
      </c>
      <c r="D53" s="8" t="n">
        <v>-7035</v>
      </c>
      <c r="E53" s="9">
        <f>IFERROR(C53/C$5,"")</f>
        <v/>
      </c>
      <c r="F53" s="9">
        <f>IFERROR(D53/D$5,"")</f>
        <v/>
      </c>
      <c r="G53" s="8">
        <f>C53-D53</f>
        <v/>
      </c>
      <c r="H53" s="9">
        <f>IFERROR(C53/D53-1,"")</f>
        <v/>
      </c>
    </row>
    <row r="54">
      <c r="A54" t="inlineStr">
        <is>
          <t>2.03.02.07</t>
        </is>
      </c>
      <c r="B54" t="inlineStr">
        <is>
          <t xml:space="preserve">         Incentivo Fiscal de Redução de Imposto de Renda</t>
        </is>
      </c>
      <c r="C54" s="8" t="n">
        <v>18501</v>
      </c>
      <c r="D54" s="8" t="n">
        <v>18501</v>
      </c>
      <c r="E54" s="9">
        <f>IFERROR(C54/C$5,"")</f>
        <v/>
      </c>
      <c r="F54" s="9">
        <f>IFERROR(D54/D$5,"")</f>
        <v/>
      </c>
      <c r="G54" s="8">
        <f>C54-D54</f>
        <v/>
      </c>
      <c r="H54" s="9">
        <f>IFERROR(C54/D54-1,"")</f>
        <v/>
      </c>
    </row>
    <row r="55">
      <c r="A55" t="inlineStr">
        <is>
          <t>2.03.02.08</t>
        </is>
      </c>
      <c r="B55" t="inlineStr">
        <is>
          <t xml:space="preserve">         Ações e Opções de Compra de Ações Outorgadas</t>
        </is>
      </c>
      <c r="C55" s="8" t="n">
        <v>45557</v>
      </c>
      <c r="D55" s="8" t="n">
        <v>37909</v>
      </c>
      <c r="E55" s="9">
        <f>IFERROR(C55/C$5,"")</f>
        <v/>
      </c>
      <c r="F55" s="9">
        <f>IFERROR(D55/D$5,"")</f>
        <v/>
      </c>
      <c r="G55" s="8">
        <f>C55-D55</f>
        <v/>
      </c>
      <c r="H55" s="9">
        <f>IFERROR(C55/D55-1,"")</f>
        <v/>
      </c>
    </row>
    <row r="56">
      <c r="A56" t="inlineStr">
        <is>
          <t>2.03.04</t>
        </is>
      </c>
      <c r="B56" t="inlineStr">
        <is>
          <t xml:space="preserve">      Reservas de Lucros</t>
        </is>
      </c>
      <c r="C56" s="8" t="n">
        <v>1393897</v>
      </c>
      <c r="D56" s="8" t="n">
        <v>1318945</v>
      </c>
      <c r="E56" s="9">
        <f>IFERROR(C56/C$5,"")</f>
        <v/>
      </c>
      <c r="F56" s="9">
        <f>IFERROR(D56/D$5,"")</f>
        <v/>
      </c>
      <c r="G56" s="8">
        <f>C56-D56</f>
        <v/>
      </c>
      <c r="H56" s="9">
        <f>IFERROR(C56/D56-1,"")</f>
        <v/>
      </c>
    </row>
    <row r="57">
      <c r="A57" t="inlineStr">
        <is>
          <t>2.03.04.01</t>
        </is>
      </c>
      <c r="B57" t="inlineStr">
        <is>
          <t xml:space="preserve">         Reserva Legal</t>
        </is>
      </c>
      <c r="C57" s="8" t="n">
        <v>178942</v>
      </c>
      <c r="D57" s="8" t="n">
        <v>147024</v>
      </c>
      <c r="E57" s="9">
        <f>IFERROR(C57/C$5,"")</f>
        <v/>
      </c>
      <c r="F57" s="9">
        <f>IFERROR(D57/D$5,"")</f>
        <v/>
      </c>
      <c r="G57" s="8">
        <f>C57-D57</f>
        <v/>
      </c>
      <c r="H57" s="9">
        <f>IFERROR(C57/D57-1,"")</f>
        <v/>
      </c>
    </row>
    <row r="58">
      <c r="A58" t="inlineStr">
        <is>
          <t>2.03.04.07</t>
        </is>
      </c>
      <c r="B58" t="inlineStr">
        <is>
          <t xml:space="preserve">         Reserva de Incentivos Fiscais</t>
        </is>
      </c>
      <c r="C58" s="8" t="n">
        <v>149345</v>
      </c>
      <c r="D58" s="8" t="n">
        <v>126110</v>
      </c>
      <c r="E58" s="9">
        <f>IFERROR(C58/C$5,"")</f>
        <v/>
      </c>
      <c r="F58" s="9">
        <f>IFERROR(D58/D$5,"")</f>
        <v/>
      </c>
      <c r="G58" s="8">
        <f>C58-D58</f>
        <v/>
      </c>
      <c r="H58" s="9">
        <f>IFERROR(C58/D58-1,"")</f>
        <v/>
      </c>
    </row>
    <row r="59">
      <c r="A59" t="inlineStr">
        <is>
          <t>2.03.04.12</t>
        </is>
      </c>
      <c r="B59" t="inlineStr">
        <is>
          <t xml:space="preserve">         Reserva para Investimento e Expansão</t>
        </is>
      </c>
      <c r="C59" s="8" t="n">
        <v>1065610</v>
      </c>
      <c r="D59" s="8" t="n">
        <v>1045811</v>
      </c>
      <c r="E59" s="9">
        <f>IFERROR(C59/C$5,"")</f>
        <v/>
      </c>
      <c r="F59" s="9">
        <f>IFERROR(D59/D$5,"")</f>
        <v/>
      </c>
      <c r="G59" s="8">
        <f>C59-D59</f>
        <v/>
      </c>
      <c r="H59" s="9">
        <f>IFERROR(C59/D59-1,"")</f>
        <v/>
      </c>
    </row>
    <row r="60">
      <c r="A60" t="inlineStr">
        <is>
          <t>2.03.06</t>
        </is>
      </c>
      <c r="B60" t="inlineStr">
        <is>
          <t xml:space="preserve">      Ajustes de Avaliação Patrimonial</t>
        </is>
      </c>
      <c r="C60" s="8" t="n">
        <v>13540</v>
      </c>
      <c r="D60" s="8" t="n">
        <v>0</v>
      </c>
      <c r="E60" s="9">
        <f>IFERROR(C60/C$5,"")</f>
        <v/>
      </c>
      <c r="F60" s="9">
        <f>IFERROR(D60/D$5,"")</f>
        <v/>
      </c>
      <c r="G60" s="8">
        <f>C60-D60</f>
        <v/>
      </c>
      <c r="H60" s="9">
        <f>IFERROR(C60/D60-1,"")</f>
        <v/>
      </c>
    </row>
    <row r="61">
      <c r="A61" t="inlineStr">
        <is>
          <t>2.03.06.01</t>
        </is>
      </c>
      <c r="B61" t="inlineStr">
        <is>
          <t xml:space="preserve">         Ajustes de Avaliação Patrimonial</t>
        </is>
      </c>
      <c r="C61" s="8" t="n">
        <v>13540</v>
      </c>
      <c r="D61" s="8" t="n">
        <v>0</v>
      </c>
      <c r="E61" s="9">
        <f>IFERROR(C61/C$5,"")</f>
        <v/>
      </c>
      <c r="F61" s="9">
        <f>IFERROR(D61/D$5,"")</f>
        <v/>
      </c>
      <c r="G61" s="8">
        <f>C61-D61</f>
        <v/>
      </c>
      <c r="H61" s="9">
        <f>IFERROR(C61/D61-1,"")</f>
        <v/>
      </c>
    </row>
    <row r="62">
      <c r="A62" t="inlineStr">
        <is>
          <t>2.03.08</t>
        </is>
      </c>
      <c r="B62" t="inlineStr">
        <is>
          <t xml:space="preserve">      Outros Resultados Abrangentes</t>
        </is>
      </c>
      <c r="C62" s="8" t="n">
        <v>34481</v>
      </c>
      <c r="D62" s="8" t="n">
        <v>34481</v>
      </c>
      <c r="E62" s="9">
        <f>IFERROR(C62/C$5,"")</f>
        <v/>
      </c>
      <c r="F62" s="9">
        <f>IFERROR(D62/D$5,"")</f>
        <v/>
      </c>
      <c r="G62" s="8">
        <f>C62-D62</f>
        <v/>
      </c>
      <c r="H62" s="9">
        <f>IFERROR(C62/D62-1,"")</f>
        <v/>
      </c>
    </row>
    <row r="63">
      <c r="A63" t="inlineStr">
        <is>
          <t>2.03.08.01</t>
        </is>
      </c>
      <c r="B63" t="inlineStr">
        <is>
          <t xml:space="preserve">         Transação de Capital</t>
        </is>
      </c>
      <c r="C63" s="8" t="n">
        <v>34481</v>
      </c>
      <c r="D63" s="8" t="n">
        <v>34481</v>
      </c>
      <c r="E63" s="9">
        <f>IFERROR(C63/C$5,"")</f>
        <v/>
      </c>
      <c r="F63" s="9">
        <f>IFERROR(D63/D$5,"")</f>
        <v/>
      </c>
      <c r="G63" s="8">
        <f>C63-D63</f>
        <v/>
      </c>
      <c r="H63" s="9">
        <f>IFERROR(C63/D63-1,"")</f>
        <v/>
      </c>
    </row>
    <row r="65">
      <c r="A65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Resultado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3.01</t>
        </is>
      </c>
      <c r="B5" s="11" t="inlineStr">
        <is>
          <t xml:space="preserve">   Receita de Venda de Bens e/ou Serviços</t>
        </is>
      </c>
      <c r="C5" s="12" t="n">
        <v>3157609</v>
      </c>
      <c r="D5" s="12" t="n">
        <v>3264554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3.02</t>
        </is>
      </c>
      <c r="B6" s="11" t="inlineStr">
        <is>
          <t xml:space="preserve">   Custo dos Bens e/ou Serviços Vendidos</t>
        </is>
      </c>
      <c r="C6" s="12" t="n">
        <v>-2136173</v>
      </c>
      <c r="D6" s="12" t="n">
        <v>-2072805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3.02.01</t>
        </is>
      </c>
      <c r="B7" t="inlineStr">
        <is>
          <t xml:space="preserve">      Custo dos Bens e/ou Serviços Vendidos</t>
        </is>
      </c>
      <c r="C7" s="8" t="n">
        <v>-2136173</v>
      </c>
      <c r="D7" s="8" t="n">
        <v>-2072805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s="11" t="inlineStr">
        <is>
          <t>3.03</t>
        </is>
      </c>
      <c r="B8" s="11" t="inlineStr">
        <is>
          <t xml:space="preserve">   Resultado Bruto</t>
        </is>
      </c>
      <c r="C8" s="12" t="n">
        <v>1021436</v>
      </c>
      <c r="D8" s="12" t="n">
        <v>1191749</v>
      </c>
      <c r="E8" s="13">
        <f>IFERROR(C8/C$5,"")</f>
        <v/>
      </c>
      <c r="F8" s="13">
        <f>IFERROR(D8/D$5,"")</f>
        <v/>
      </c>
      <c r="G8" s="12">
        <f>C8-D8</f>
        <v/>
      </c>
      <c r="H8" s="13">
        <f>IFERROR(C8/D8-1,"")</f>
        <v/>
      </c>
    </row>
    <row r="9">
      <c r="A9" s="11" t="inlineStr">
        <is>
          <t>3.04</t>
        </is>
      </c>
      <c r="B9" s="11" t="inlineStr">
        <is>
          <t xml:space="preserve">   Despesas/Receitas Operacionais</t>
        </is>
      </c>
      <c r="C9" s="12" t="n">
        <v>-299857</v>
      </c>
      <c r="D9" s="12" t="n">
        <v>-243529</v>
      </c>
      <c r="E9" s="13">
        <f>IFERROR(C9/C$5,"")</f>
        <v/>
      </c>
      <c r="F9" s="13">
        <f>IFERROR(D9/D$5,"")</f>
        <v/>
      </c>
      <c r="G9" s="12">
        <f>C9-D9</f>
        <v/>
      </c>
      <c r="H9" s="13">
        <f>IFERROR(C9/D9-1,"")</f>
        <v/>
      </c>
    </row>
    <row r="10">
      <c r="A10" t="inlineStr">
        <is>
          <t>3.04.02</t>
        </is>
      </c>
      <c r="B10" t="inlineStr">
        <is>
          <t xml:space="preserve">      Despesas Gerais e Administrativas</t>
        </is>
      </c>
      <c r="C10" s="8" t="n">
        <v>-239996</v>
      </c>
      <c r="D10" s="8" t="n">
        <v>-208715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3.04.02.01</t>
        </is>
      </c>
      <c r="B11" t="inlineStr">
        <is>
          <t xml:space="preserve">         Despesas Gerais e Administrativas</t>
        </is>
      </c>
      <c r="C11" s="8" t="n">
        <v>-239996</v>
      </c>
      <c r="D11" s="8" t="n">
        <v>-208715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3.04.05</t>
        </is>
      </c>
      <c r="B12" t="inlineStr">
        <is>
          <t xml:space="preserve">      Outras Despesas Operacionais</t>
        </is>
      </c>
      <c r="C12" s="8" t="n">
        <v>-59861</v>
      </c>
      <c r="D12" s="8" t="n">
        <v>-34814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3.04.05.02</t>
        </is>
      </c>
      <c r="B13" t="inlineStr">
        <is>
          <t xml:space="preserve">         Outras Despesas Operacionais</t>
        </is>
      </c>
      <c r="C13" s="8" t="n">
        <v>-59861</v>
      </c>
      <c r="D13" s="8" t="n">
        <v>-34814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s="11" t="inlineStr">
        <is>
          <t>3.05</t>
        </is>
      </c>
      <c r="B14" s="11" t="inlineStr">
        <is>
          <t xml:space="preserve">   Resultado Antes do Resultado Financeiro e dos Tributos</t>
        </is>
      </c>
      <c r="C14" s="12" t="n">
        <v>721579</v>
      </c>
      <c r="D14" s="12" t="n">
        <v>948220</v>
      </c>
      <c r="E14" s="13">
        <f>IFERROR(C14/C$5,"")</f>
        <v/>
      </c>
      <c r="F14" s="13">
        <f>IFERROR(D14/D$5,"")</f>
        <v/>
      </c>
      <c r="G14" s="12">
        <f>C14-D14</f>
        <v/>
      </c>
      <c r="H14" s="13">
        <f>IFERROR(C14/D14-1,"")</f>
        <v/>
      </c>
    </row>
    <row r="15">
      <c r="A15" s="11" t="inlineStr">
        <is>
          <t>3.06</t>
        </is>
      </c>
      <c r="B15" s="11" t="inlineStr">
        <is>
          <t xml:space="preserve">   Resultado Financeiro</t>
        </is>
      </c>
      <c r="C15" s="12" t="n">
        <v>54615</v>
      </c>
      <c r="D15" s="12" t="n">
        <v>-584815</v>
      </c>
      <c r="E15" s="13">
        <f>IFERROR(C15/C$5,"")</f>
        <v/>
      </c>
      <c r="F15" s="13">
        <f>IFERROR(D15/D$5,"")</f>
        <v/>
      </c>
      <c r="G15" s="12">
        <f>C15-D15</f>
        <v/>
      </c>
      <c r="H15" s="13">
        <f>IFERROR(C15/D15-1,"")</f>
        <v/>
      </c>
    </row>
    <row r="16">
      <c r="A16" t="inlineStr">
        <is>
          <t>3.06.01</t>
        </is>
      </c>
      <c r="B16" t="inlineStr">
        <is>
          <t xml:space="preserve">      Receitas Financeiras</t>
        </is>
      </c>
      <c r="C16" s="8" t="n">
        <v>715081</v>
      </c>
      <c r="D16" s="8" t="n">
        <v>289862</v>
      </c>
      <c r="E16" s="9">
        <f>IFERROR(C16/C$5,"")</f>
        <v/>
      </c>
      <c r="F16" s="9">
        <f>IFERROR(D16/D$5,"")</f>
        <v/>
      </c>
      <c r="G16" s="8">
        <f>C16-D16</f>
        <v/>
      </c>
      <c r="H16" s="9">
        <f>IFERROR(C16/D16-1,"")</f>
        <v/>
      </c>
    </row>
    <row r="17">
      <c r="A17" t="inlineStr">
        <is>
          <t>3.06.02</t>
        </is>
      </c>
      <c r="B17" t="inlineStr">
        <is>
          <t xml:space="preserve">      Despesas Financeiras</t>
        </is>
      </c>
      <c r="C17" s="8" t="n">
        <v>-660466</v>
      </c>
      <c r="D17" s="8" t="n">
        <v>-874677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s="11" t="inlineStr">
        <is>
          <t>3.07</t>
        </is>
      </c>
      <c r="B18" s="11" t="inlineStr">
        <is>
          <t xml:space="preserve">   Resultado Antes dos Tributos sobre o Lucro</t>
        </is>
      </c>
      <c r="C18" s="12" t="n">
        <v>776194</v>
      </c>
      <c r="D18" s="12" t="n">
        <v>363405</v>
      </c>
      <c r="E18" s="13">
        <f>IFERROR(C18/C$5,"")</f>
        <v/>
      </c>
      <c r="F18" s="13">
        <f>IFERROR(D18/D$5,"")</f>
        <v/>
      </c>
      <c r="G18" s="12">
        <f>C18-D18</f>
        <v/>
      </c>
      <c r="H18" s="13">
        <f>IFERROR(C18/D18-1,"")</f>
        <v/>
      </c>
    </row>
    <row r="19">
      <c r="A19" s="11" t="inlineStr">
        <is>
          <t>3.08</t>
        </is>
      </c>
      <c r="B19" s="11" t="inlineStr">
        <is>
          <t xml:space="preserve">   Imposto de Renda e Contribuição Social sobre o Lucro</t>
        </is>
      </c>
      <c r="C19" s="12" t="n">
        <v>-137842</v>
      </c>
      <c r="D19" s="12" t="n">
        <v>74093</v>
      </c>
      <c r="E19" s="13">
        <f>IFERROR(C19/C$5,"")</f>
        <v/>
      </c>
      <c r="F19" s="13">
        <f>IFERROR(D19/D$5,"")</f>
        <v/>
      </c>
      <c r="G19" s="12">
        <f>C19-D19</f>
        <v/>
      </c>
      <c r="H19" s="13">
        <f>IFERROR(C19/D19-1,"")</f>
        <v/>
      </c>
    </row>
    <row r="20">
      <c r="A20" t="inlineStr">
        <is>
          <t>3.08.01</t>
        </is>
      </c>
      <c r="B20" t="inlineStr">
        <is>
          <t xml:space="preserve">      Corrente</t>
        </is>
      </c>
      <c r="C20" s="8" t="n">
        <v>-13636</v>
      </c>
      <c r="D20" s="8" t="n">
        <v>-11188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t="inlineStr">
        <is>
          <t>3.08.02</t>
        </is>
      </c>
      <c r="B21" t="inlineStr">
        <is>
          <t xml:space="preserve">      Diferido</t>
        </is>
      </c>
      <c r="C21" s="8" t="n">
        <v>-124206</v>
      </c>
      <c r="D21" s="8" t="n">
        <v>85281</v>
      </c>
      <c r="E21" s="9">
        <f>IFERROR(C21/C$5,"")</f>
        <v/>
      </c>
      <c r="F21" s="9">
        <f>IFERROR(D21/D$5,"")</f>
        <v/>
      </c>
      <c r="G21" s="8">
        <f>C21-D21</f>
        <v/>
      </c>
      <c r="H21" s="9">
        <f>IFERROR(C21/D21-1,"")</f>
        <v/>
      </c>
    </row>
    <row r="22">
      <c r="A22" s="11" t="inlineStr">
        <is>
          <t>3.09</t>
        </is>
      </c>
      <c r="B22" s="11" t="inlineStr">
        <is>
          <t xml:space="preserve">   Resultado Líquido das Operações Continuadas</t>
        </is>
      </c>
      <c r="C22" s="12" t="n">
        <v>638352</v>
      </c>
      <c r="D22" s="12" t="n">
        <v>437498</v>
      </c>
      <c r="E22" s="13">
        <f>IFERROR(C22/C$5,"")</f>
        <v/>
      </c>
      <c r="F22" s="13">
        <f>IFERROR(D22/D$5,"")</f>
        <v/>
      </c>
      <c r="G22" s="12">
        <f>C22-D22</f>
        <v/>
      </c>
      <c r="H22" s="13">
        <f>IFERROR(C22/D22-1,"")</f>
        <v/>
      </c>
    </row>
    <row r="23">
      <c r="A23" s="11" t="inlineStr">
        <is>
          <t>3.11</t>
        </is>
      </c>
      <c r="B23" s="11" t="inlineStr">
        <is>
          <t xml:space="preserve">   Lucro/Prejuízo Consolidado do Período</t>
        </is>
      </c>
      <c r="C23" s="12" t="n">
        <v>638352</v>
      </c>
      <c r="D23" s="12" t="n">
        <v>437498</v>
      </c>
      <c r="E23" s="13">
        <f>IFERROR(C23/C$5,"")</f>
        <v/>
      </c>
      <c r="F23" s="13">
        <f>IFERROR(D23/D$5,"")</f>
        <v/>
      </c>
      <c r="G23" s="12">
        <f>C23-D23</f>
        <v/>
      </c>
      <c r="H23" s="13">
        <f>IFERROR(C23/D23-1,"")</f>
        <v/>
      </c>
    </row>
    <row r="24">
      <c r="A24" t="inlineStr">
        <is>
          <t>3.11.01</t>
        </is>
      </c>
      <c r="B24" t="inlineStr">
        <is>
          <t xml:space="preserve">      Atribuído a Sócios da Empresa Controladora</t>
        </is>
      </c>
      <c r="C24" s="8" t="n">
        <v>638352</v>
      </c>
      <c r="D24" s="8" t="n">
        <v>437498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6">
      <c r="A26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Resultado abrangente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4.01</t>
        </is>
      </c>
      <c r="B5" s="11" t="inlineStr">
        <is>
          <t xml:space="preserve">   Lucro Líquido Consolidado do Período</t>
        </is>
      </c>
      <c r="C5" s="12" t="n">
        <v>638352</v>
      </c>
      <c r="D5" s="12" t="n">
        <v>437498</v>
      </c>
      <c r="E5" s="13" t="n"/>
      <c r="F5" s="13" t="n"/>
      <c r="G5" s="12">
        <f>C5-D5</f>
        <v/>
      </c>
      <c r="H5" s="13">
        <f>IFERROR(C5/D5-1,"")</f>
        <v/>
      </c>
    </row>
    <row r="6">
      <c r="A6" s="11" t="inlineStr">
        <is>
          <t>4.02</t>
        </is>
      </c>
      <c r="B6" s="11" t="inlineStr">
        <is>
          <t xml:space="preserve">   Outros Resultados Abrangentes</t>
        </is>
      </c>
      <c r="C6" s="12" t="n">
        <v>13540</v>
      </c>
      <c r="D6" s="12" t="n">
        <v>65626</v>
      </c>
      <c r="E6" s="13" t="n"/>
      <c r="F6" s="13" t="n"/>
      <c r="G6" s="12">
        <f>C6-D6</f>
        <v/>
      </c>
      <c r="H6" s="13">
        <f>IFERROR(C6/D6-1,"")</f>
        <v/>
      </c>
    </row>
    <row r="7">
      <c r="A7" t="inlineStr">
        <is>
          <t>4.02.01</t>
        </is>
      </c>
      <c r="B7" t="inlineStr">
        <is>
          <t xml:space="preserve">      Instrumentos financeiros de proteção - NDF</t>
        </is>
      </c>
      <c r="C7" s="8" t="n">
        <v>20515</v>
      </c>
      <c r="D7" s="8" t="n">
        <v>99433</v>
      </c>
      <c r="E7" s="9" t="n"/>
      <c r="F7" s="9" t="n"/>
      <c r="G7" s="8">
        <f>C7-D7</f>
        <v/>
      </c>
      <c r="H7" s="9">
        <f>IFERROR(C7/D7-1,"")</f>
        <v/>
      </c>
    </row>
    <row r="8">
      <c r="A8" t="inlineStr">
        <is>
          <t>4.02.02</t>
        </is>
      </c>
      <c r="B8" t="inlineStr">
        <is>
          <t xml:space="preserve">      Tributos diferidos sobre instrumentos financeiros - NDF</t>
        </is>
      </c>
      <c r="C8" s="8" t="n">
        <v>-6975</v>
      </c>
      <c r="D8" s="8" t="n">
        <v>-33807</v>
      </c>
      <c r="E8" s="9" t="n"/>
      <c r="F8" s="9" t="n"/>
      <c r="G8" s="8">
        <f>C8-D8</f>
        <v/>
      </c>
      <c r="H8" s="9">
        <f>IFERROR(C8/D8-1,"")</f>
        <v/>
      </c>
    </row>
    <row r="9">
      <c r="A9" s="11" t="inlineStr">
        <is>
          <t>4.03</t>
        </is>
      </c>
      <c r="B9" s="11" t="inlineStr">
        <is>
          <t xml:space="preserve">   Resultado Abrangente Consolidado do Período</t>
        </is>
      </c>
      <c r="C9" s="12" t="n">
        <v>651892</v>
      </c>
      <c r="D9" s="12" t="n">
        <v>503124</v>
      </c>
      <c r="E9" s="13" t="n"/>
      <c r="F9" s="13" t="n"/>
      <c r="G9" s="12">
        <f>C9-D9</f>
        <v/>
      </c>
      <c r="H9" s="13">
        <f>IFERROR(C9/D9-1,"")</f>
        <v/>
      </c>
    </row>
    <row r="10">
      <c r="A10" t="inlineStr">
        <is>
          <t>4.03.01</t>
        </is>
      </c>
      <c r="B10" t="inlineStr">
        <is>
          <t xml:space="preserve">      Atribuído a Sócios da Empresa Controladora</t>
        </is>
      </c>
      <c r="C10" s="8" t="n">
        <v>651892</v>
      </c>
      <c r="D10" s="8" t="n">
        <v>503124</v>
      </c>
      <c r="E10" s="9" t="n"/>
      <c r="F10" s="9" t="n"/>
      <c r="G10" s="8">
        <f>C10-D10</f>
        <v/>
      </c>
      <c r="H10" s="9">
        <f>IFERROR(C10/D10-1,"")</f>
        <v/>
      </c>
    </row>
    <row r="12">
      <c r="A12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Fluxo de caixa (metodo indireto)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6.01</t>
        </is>
      </c>
      <c r="B5" s="11" t="inlineStr">
        <is>
          <t xml:space="preserve">   Caixa Líquido Atividades Operacionais</t>
        </is>
      </c>
      <c r="C5" s="12" t="n">
        <v>1504449</v>
      </c>
      <c r="D5" s="12" t="n">
        <v>2219127</v>
      </c>
      <c r="E5" s="13" t="n"/>
      <c r="F5" s="13" t="n"/>
      <c r="G5" s="12">
        <f>C5-D5</f>
        <v/>
      </c>
      <c r="H5" s="13">
        <f>IFERROR(C5/D5-1,"")</f>
        <v/>
      </c>
    </row>
    <row r="6">
      <c r="A6" t="inlineStr">
        <is>
          <t>6.01.01</t>
        </is>
      </c>
      <c r="B6" t="inlineStr">
        <is>
          <t xml:space="preserve">      Caixa Gerado nas Operações</t>
        </is>
      </c>
      <c r="C6" s="8" t="n">
        <v>1660180</v>
      </c>
      <c r="D6" s="8" t="n">
        <v>2360823</v>
      </c>
      <c r="E6" s="9" t="n"/>
      <c r="F6" s="9" t="n"/>
      <c r="G6" s="8">
        <f>C6-D6</f>
        <v/>
      </c>
      <c r="H6" s="9">
        <f>IFERROR(C6/D6-1,"")</f>
        <v/>
      </c>
    </row>
    <row r="7">
      <c r="A7" t="inlineStr">
        <is>
          <t>6.01.01.01</t>
        </is>
      </c>
      <c r="B7" t="inlineStr">
        <is>
          <t xml:space="preserve">         Lucro (Prejuízo) antes dos impostos sobre o lucro</t>
        </is>
      </c>
      <c r="C7" s="8" t="n">
        <v>776194</v>
      </c>
      <c r="D7" s="8" t="n">
        <v>363405</v>
      </c>
      <c r="E7" s="9" t="n"/>
      <c r="F7" s="9" t="n"/>
      <c r="G7" s="8">
        <f>C7-D7</f>
        <v/>
      </c>
      <c r="H7" s="9">
        <f>IFERROR(C7/D7-1,"")</f>
        <v/>
      </c>
    </row>
    <row r="8">
      <c r="A8" t="inlineStr">
        <is>
          <t>6.01.01.02</t>
        </is>
      </c>
      <c r="B8" t="inlineStr">
        <is>
          <t xml:space="preserve">         Juros, amortização de captação e variações cambiais líquidas</t>
        </is>
      </c>
      <c r="C8" s="8" t="n">
        <v>314456</v>
      </c>
      <c r="D8" s="8" t="n">
        <v>387561</v>
      </c>
      <c r="E8" s="9" t="n"/>
      <c r="F8" s="9" t="n"/>
      <c r="G8" s="8">
        <f>C8-D8</f>
        <v/>
      </c>
      <c r="H8" s="9">
        <f>IFERROR(C8/D8-1,"")</f>
        <v/>
      </c>
    </row>
    <row r="9">
      <c r="A9" t="inlineStr">
        <is>
          <t>6.01.01.03</t>
        </is>
      </c>
      <c r="B9" t="inlineStr">
        <is>
          <t xml:space="preserve">         Contraprestação de parcela contingente de valores a pagar de aquisições</t>
        </is>
      </c>
      <c r="C9" s="8" t="n">
        <v>0</v>
      </c>
      <c r="D9" s="8" t="n">
        <v>22033</v>
      </c>
      <c r="E9" s="9" t="n"/>
      <c r="F9" s="9" t="n"/>
      <c r="G9" s="8">
        <f>C9-D9</f>
        <v/>
      </c>
      <c r="H9" s="9">
        <f>IFERROR(C9/D9-1,"")</f>
        <v/>
      </c>
    </row>
    <row r="10">
      <c r="A10" t="inlineStr">
        <is>
          <t>6.01.01.04</t>
        </is>
      </c>
      <c r="B10" t="inlineStr">
        <is>
          <t xml:space="preserve">         Depreciação, amortização e depleção</t>
        </is>
      </c>
      <c r="C10" s="8" t="n">
        <v>721077</v>
      </c>
      <c r="D10" s="8" t="n">
        <v>694816</v>
      </c>
      <c r="E10" s="9" t="n"/>
      <c r="F10" s="9" t="n"/>
      <c r="G10" s="8">
        <f>C10-D10</f>
        <v/>
      </c>
      <c r="H10" s="9">
        <f>IFERROR(C10/D10-1,"")</f>
        <v/>
      </c>
    </row>
    <row r="11">
      <c r="A11" t="inlineStr">
        <is>
          <t>6.01.01.06</t>
        </is>
      </c>
      <c r="B11" t="inlineStr">
        <is>
          <t xml:space="preserve">         Provisões, perdas estimadas e outros</t>
        </is>
      </c>
      <c r="C11" s="8" t="n">
        <v>151</v>
      </c>
      <c r="D11" s="8" t="n">
        <v>59805</v>
      </c>
      <c r="E11" s="9" t="n"/>
      <c r="F11" s="9" t="n"/>
      <c r="G11" s="8">
        <f>C11-D11</f>
        <v/>
      </c>
      <c r="H11" s="9">
        <f>IFERROR(C11/D11-1,"")</f>
        <v/>
      </c>
    </row>
    <row r="12">
      <c r="A12" t="inlineStr">
        <is>
          <t>6.01.01.07</t>
        </is>
      </c>
      <c r="B12" t="inlineStr">
        <is>
          <t xml:space="preserve">         Atualização da provisão  para abandono de poços</t>
        </is>
      </c>
      <c r="C12" s="8" t="n">
        <v>14958</v>
      </c>
      <c r="D12" s="8" t="n">
        <v>18262</v>
      </c>
      <c r="E12" s="9" t="n"/>
      <c r="F12" s="9" t="n"/>
      <c r="G12" s="8">
        <f>C12-D12</f>
        <v/>
      </c>
      <c r="H12" s="9">
        <f>IFERROR(C12/D12-1,"")</f>
        <v/>
      </c>
    </row>
    <row r="13">
      <c r="A13" t="inlineStr">
        <is>
          <t>6.01.01.08</t>
        </is>
      </c>
      <c r="B13" t="inlineStr">
        <is>
          <t xml:space="preserve">         Baixas do imobilizado, arrendamentos e outras</t>
        </is>
      </c>
      <c r="C13" s="8" t="n">
        <v>201287</v>
      </c>
      <c r="D13" s="8" t="n">
        <v>319182</v>
      </c>
      <c r="E13" s="9" t="n"/>
      <c r="F13" s="9" t="n"/>
      <c r="G13" s="8">
        <f>C13-D13</f>
        <v/>
      </c>
      <c r="H13" s="9">
        <f>IFERROR(C13/D13-1,"")</f>
        <v/>
      </c>
    </row>
    <row r="14">
      <c r="A14" t="inlineStr">
        <is>
          <t>6.01.01.09</t>
        </is>
      </c>
      <c r="B14" t="inlineStr">
        <is>
          <t xml:space="preserve">         Valor justo dos instrumentos financeiros derivativos no resultado</t>
        </is>
      </c>
      <c r="C14" s="8" t="n">
        <v>-367678</v>
      </c>
      <c r="D14" s="8" t="n">
        <v>495759</v>
      </c>
      <c r="E14" s="9" t="n"/>
      <c r="F14" s="9" t="n"/>
      <c r="G14" s="8">
        <f>C14-D14</f>
        <v/>
      </c>
      <c r="H14" s="9">
        <f>IFERROR(C14/D14-1,"")</f>
        <v/>
      </c>
    </row>
    <row r="15">
      <c r="A15" t="inlineStr">
        <is>
          <t>6.01.01.11</t>
        </is>
      </c>
      <c r="B15" t="inlineStr">
        <is>
          <t xml:space="preserve">         Reversão para provisão de abandono de poços</t>
        </is>
      </c>
      <c r="C15" s="8" t="n">
        <v>-265</v>
      </c>
      <c r="D15" s="8" t="n">
        <v>0</v>
      </c>
      <c r="E15" s="9" t="n"/>
      <c r="F15" s="9" t="n"/>
      <c r="G15" s="8">
        <f>C15-D15</f>
        <v/>
      </c>
      <c r="H15" s="9">
        <f>IFERROR(C15/D15-1,"")</f>
        <v/>
      </c>
    </row>
    <row r="16">
      <c r="A16" t="inlineStr">
        <is>
          <t>6.01.02</t>
        </is>
      </c>
      <c r="B16" t="inlineStr">
        <is>
          <t xml:space="preserve">      Variações nos Ativos e Passivos</t>
        </is>
      </c>
      <c r="C16" s="8" t="n">
        <v>-14866</v>
      </c>
      <c r="D16" s="8" t="n">
        <v>145366</v>
      </c>
      <c r="E16" s="9" t="n"/>
      <c r="F16" s="9" t="n"/>
      <c r="G16" s="8">
        <f>C16-D16</f>
        <v/>
      </c>
      <c r="H16" s="9">
        <f>IFERROR(C16/D16-1,"")</f>
        <v/>
      </c>
    </row>
    <row r="17">
      <c r="A17" t="inlineStr">
        <is>
          <t>6.01.02.01</t>
        </is>
      </c>
      <c r="B17" t="inlineStr">
        <is>
          <t xml:space="preserve">         Contas a receber de clientes</t>
        </is>
      </c>
      <c r="C17" s="8" t="n">
        <v>100042</v>
      </c>
      <c r="D17" s="8" t="n">
        <v>-2712</v>
      </c>
      <c r="E17" s="9" t="n"/>
      <c r="F17" s="9" t="n"/>
      <c r="G17" s="8">
        <f>C17-D17</f>
        <v/>
      </c>
      <c r="H17" s="9">
        <f>IFERROR(C17/D17-1,"")</f>
        <v/>
      </c>
    </row>
    <row r="18">
      <c r="A18" t="inlineStr">
        <is>
          <t>6.01.02.02</t>
        </is>
      </c>
      <c r="B18" t="inlineStr">
        <is>
          <t xml:space="preserve">         Estoques</t>
        </is>
      </c>
      <c r="C18" s="8" t="n">
        <v>3532</v>
      </c>
      <c r="D18" s="8" t="n">
        <v>4344</v>
      </c>
      <c r="E18" s="9" t="n"/>
      <c r="F18" s="9" t="n"/>
      <c r="G18" s="8">
        <f>C18-D18</f>
        <v/>
      </c>
      <c r="H18" s="9">
        <f>IFERROR(C18/D18-1,"")</f>
        <v/>
      </c>
    </row>
    <row r="19">
      <c r="A19" t="inlineStr">
        <is>
          <t>6.01.02.03</t>
        </is>
      </c>
      <c r="B19" t="inlineStr">
        <is>
          <t xml:space="preserve">         Impostos a recuperar</t>
        </is>
      </c>
      <c r="C19" s="8" t="n">
        <v>-20677</v>
      </c>
      <c r="D19" s="8" t="n">
        <v>148540</v>
      </c>
      <c r="E19" s="9" t="n"/>
      <c r="F19" s="9" t="n"/>
      <c r="G19" s="8">
        <f>C19-D19</f>
        <v/>
      </c>
      <c r="H19" s="9">
        <f>IFERROR(C19/D19-1,"")</f>
        <v/>
      </c>
    </row>
    <row r="20">
      <c r="A20" t="inlineStr">
        <is>
          <t>6.01.02.04</t>
        </is>
      </c>
      <c r="B20" t="inlineStr">
        <is>
          <t xml:space="preserve">         Outros ativos</t>
        </is>
      </c>
      <c r="C20" s="8" t="n">
        <v>-32250</v>
      </c>
      <c r="D20" s="8" t="n">
        <v>-46431</v>
      </c>
      <c r="E20" s="9" t="n"/>
      <c r="F20" s="9" t="n"/>
      <c r="G20" s="8">
        <f>C20-D20</f>
        <v/>
      </c>
      <c r="H20" s="9">
        <f>IFERROR(C20/D20-1,"")</f>
        <v/>
      </c>
    </row>
    <row r="21">
      <c r="A21" t="inlineStr">
        <is>
          <t>6.01.02.05</t>
        </is>
      </c>
      <c r="B21" t="inlineStr">
        <is>
          <t xml:space="preserve">         Fornecedores</t>
        </is>
      </c>
      <c r="C21" s="8" t="n">
        <v>-47416</v>
      </c>
      <c r="D21" s="8" t="n">
        <v>45100</v>
      </c>
      <c r="E21" s="9" t="n"/>
      <c r="F21" s="9" t="n"/>
      <c r="G21" s="8">
        <f>C21-D21</f>
        <v/>
      </c>
      <c r="H21" s="9">
        <f>IFERROR(C21/D21-1,"")</f>
        <v/>
      </c>
    </row>
    <row r="22">
      <c r="A22" t="inlineStr">
        <is>
          <t>6.01.02.06</t>
        </is>
      </c>
      <c r="B22" t="inlineStr">
        <is>
          <t xml:space="preserve">         Salários e encargos sociais</t>
        </is>
      </c>
      <c r="C22" s="8" t="n">
        <v>1299</v>
      </c>
      <c r="D22" s="8" t="n">
        <v>18541</v>
      </c>
      <c r="E22" s="9" t="n"/>
      <c r="F22" s="9" t="n"/>
      <c r="G22" s="8">
        <f>C22-D22</f>
        <v/>
      </c>
      <c r="H22" s="9">
        <f>IFERROR(C22/D22-1,"")</f>
        <v/>
      </c>
    </row>
    <row r="23">
      <c r="A23" t="inlineStr">
        <is>
          <t>6.01.02.07</t>
        </is>
      </c>
      <c r="B23" t="inlineStr">
        <is>
          <t xml:space="preserve">         Impostos a recolher</t>
        </is>
      </c>
      <c r="C23" s="8" t="n">
        <v>-48018</v>
      </c>
      <c r="D23" s="8" t="n">
        <v>39</v>
      </c>
      <c r="E23" s="9" t="n"/>
      <c r="F23" s="9" t="n"/>
      <c r="G23" s="8">
        <f>C23-D23</f>
        <v/>
      </c>
      <c r="H23" s="9">
        <f>IFERROR(C23/D23-1,"")</f>
        <v/>
      </c>
    </row>
    <row r="24">
      <c r="A24" t="inlineStr">
        <is>
          <t>6.01.02.08</t>
        </is>
      </c>
      <c r="B24" t="inlineStr">
        <is>
          <t xml:space="preserve">         Outras contas a pagar</t>
        </is>
      </c>
      <c r="C24" s="8" t="n">
        <v>28622</v>
      </c>
      <c r="D24" s="8" t="n">
        <v>-22055</v>
      </c>
      <c r="E24" s="9" t="n"/>
      <c r="F24" s="9" t="n"/>
      <c r="G24" s="8">
        <f>C24-D24</f>
        <v/>
      </c>
      <c r="H24" s="9">
        <f>IFERROR(C24/D24-1,"")</f>
        <v/>
      </c>
    </row>
    <row r="25">
      <c r="A25" t="inlineStr">
        <is>
          <t>6.01.03</t>
        </is>
      </c>
      <c r="B25" t="inlineStr">
        <is>
          <t xml:space="preserve">      Outros</t>
        </is>
      </c>
      <c r="C25" s="8" t="n">
        <v>-140865</v>
      </c>
      <c r="D25" s="8" t="n">
        <v>-287062</v>
      </c>
      <c r="E25" s="9" t="n"/>
      <c r="F25" s="9" t="n"/>
      <c r="G25" s="8">
        <f>C25-D25</f>
        <v/>
      </c>
      <c r="H25" s="9">
        <f>IFERROR(C25/D25-1,"")</f>
        <v/>
      </c>
    </row>
    <row r="26">
      <c r="A26" t="inlineStr">
        <is>
          <t>6.01.03.01</t>
        </is>
      </c>
      <c r="B26" t="inlineStr">
        <is>
          <t xml:space="preserve">         Juros pagos</t>
        </is>
      </c>
      <c r="C26" s="8" t="n">
        <v>-199683</v>
      </c>
      <c r="D26" s="8" t="n">
        <v>-140901</v>
      </c>
      <c r="E26" s="9" t="n"/>
      <c r="F26" s="9" t="n"/>
      <c r="G26" s="8">
        <f>C26-D26</f>
        <v/>
      </c>
      <c r="H26" s="9">
        <f>IFERROR(C26/D26-1,"")</f>
        <v/>
      </c>
    </row>
    <row r="27">
      <c r="A27" t="inlineStr">
        <is>
          <t>6.01.03.02</t>
        </is>
      </c>
      <c r="B27" t="inlineStr">
        <is>
          <t xml:space="preserve">         Imposto de renda e contribuição social pagos</t>
        </is>
      </c>
      <c r="C27" s="8" t="n">
        <v>-14504</v>
      </c>
      <c r="D27" s="8" t="n">
        <v>-18622</v>
      </c>
      <c r="E27" s="9" t="n"/>
      <c r="F27" s="9" t="n"/>
      <c r="G27" s="8">
        <f>C27-D27</f>
        <v/>
      </c>
      <c r="H27" s="9">
        <f>IFERROR(C27/D27-1,"")</f>
        <v/>
      </c>
    </row>
    <row r="28">
      <c r="A28" t="inlineStr">
        <is>
          <t>6.01.03.04</t>
        </is>
      </c>
      <c r="B28" t="inlineStr">
        <is>
          <t xml:space="preserve">         Pagamento (recebimento) de contratos de hedge</t>
        </is>
      </c>
      <c r="C28" s="8" t="n">
        <v>73322</v>
      </c>
      <c r="D28" s="8" t="n">
        <v>-127539</v>
      </c>
      <c r="E28" s="9" t="n"/>
      <c r="F28" s="9" t="n"/>
      <c r="G28" s="8">
        <f>C28-D28</f>
        <v/>
      </c>
      <c r="H28" s="9">
        <f>IFERROR(C28/D28-1,"")</f>
        <v/>
      </c>
    </row>
    <row r="29">
      <c r="A29" s="11" t="inlineStr">
        <is>
          <t>6.02</t>
        </is>
      </c>
      <c r="B29" s="11" t="inlineStr">
        <is>
          <t xml:space="preserve">   Caixa Líquido Atividades de Investimento</t>
        </is>
      </c>
      <c r="C29" s="12" t="n">
        <v>-2282109</v>
      </c>
      <c r="D29" s="12" t="n">
        <v>-1602586</v>
      </c>
      <c r="E29" s="13" t="n"/>
      <c r="F29" s="13" t="n"/>
      <c r="G29" s="12">
        <f>C29-D29</f>
        <v/>
      </c>
      <c r="H29" s="13">
        <f>IFERROR(C29/D29-1,"")</f>
        <v/>
      </c>
    </row>
    <row r="30">
      <c r="A30" t="inlineStr">
        <is>
          <t>6.02.01</t>
        </is>
      </c>
      <c r="B30" t="inlineStr">
        <is>
          <t xml:space="preserve">      Aplicações financeiras</t>
        </is>
      </c>
      <c r="C30" s="8" t="n">
        <v>-642746</v>
      </c>
      <c r="D30" s="8" t="n">
        <v>-417179</v>
      </c>
      <c r="E30" s="9" t="n"/>
      <c r="F30" s="9" t="n"/>
      <c r="G30" s="8">
        <f>C30-D30</f>
        <v/>
      </c>
      <c r="H30" s="9">
        <f>IFERROR(C30/D30-1,"")</f>
        <v/>
      </c>
    </row>
    <row r="31">
      <c r="A31" t="inlineStr">
        <is>
          <t>6.02.02</t>
        </is>
      </c>
      <c r="B31" t="inlineStr">
        <is>
          <t xml:space="preserve">      Adições ao imobilizado e intangível</t>
        </is>
      </c>
      <c r="C31" s="8" t="n">
        <v>-1639363</v>
      </c>
      <c r="D31" s="8" t="n">
        <v>-1185407</v>
      </c>
      <c r="E31" s="9" t="n"/>
      <c r="F31" s="9" t="n"/>
      <c r="G31" s="8">
        <f>C31-D31</f>
        <v/>
      </c>
      <c r="H31" s="9">
        <f>IFERROR(C31/D31-1,"")</f>
        <v/>
      </c>
    </row>
    <row r="32">
      <c r="A32" s="11" t="inlineStr">
        <is>
          <t>6.03</t>
        </is>
      </c>
      <c r="B32" s="11" t="inlineStr">
        <is>
          <t xml:space="preserve">   Caixa Líquido Atividades de Financiamento</t>
        </is>
      </c>
      <c r="C32" s="12" t="n">
        <v>711620</v>
      </c>
      <c r="D32" s="12" t="n">
        <v>-518177</v>
      </c>
      <c r="E32" s="13" t="n"/>
      <c r="F32" s="13" t="n"/>
      <c r="G32" s="12">
        <f>C32-D32</f>
        <v/>
      </c>
      <c r="H32" s="13">
        <f>IFERROR(C32/D32-1,"")</f>
        <v/>
      </c>
    </row>
    <row r="33">
      <c r="A33" t="inlineStr">
        <is>
          <t>6.03.02</t>
        </is>
      </c>
      <c r="B33" t="inlineStr">
        <is>
          <t xml:space="preserve">      Pagamentos de financiamentos</t>
        </is>
      </c>
      <c r="C33" s="8" t="n">
        <v>0</v>
      </c>
      <c r="D33" s="8" t="n">
        <v>-1043520</v>
      </c>
      <c r="E33" s="9" t="n"/>
      <c r="F33" s="9" t="n"/>
      <c r="G33" s="8">
        <f>C33-D33</f>
        <v/>
      </c>
      <c r="H33" s="9">
        <f>IFERROR(C33/D33-1,"")</f>
        <v/>
      </c>
    </row>
    <row r="34">
      <c r="A34" t="inlineStr">
        <is>
          <t>6.03.03</t>
        </is>
      </c>
      <c r="B34" t="inlineStr">
        <is>
          <t xml:space="preserve">      Emissão de debêntures, líquidas dos custos de captação</t>
        </is>
      </c>
      <c r="C34" s="8" t="n">
        <v>1227254</v>
      </c>
      <c r="D34" s="8" t="n">
        <v>1746027</v>
      </c>
      <c r="E34" s="9" t="n"/>
      <c r="F34" s="9" t="n"/>
      <c r="G34" s="8">
        <f>C34-D34</f>
        <v/>
      </c>
      <c r="H34" s="9">
        <f>IFERROR(C34/D34-1,"")</f>
        <v/>
      </c>
    </row>
    <row r="35">
      <c r="A35" t="inlineStr">
        <is>
          <t>6.03.04</t>
        </is>
      </c>
      <c r="B35" t="inlineStr">
        <is>
          <t xml:space="preserve">      Amortização de arrendamento mercantil - principal</t>
        </is>
      </c>
      <c r="C35" s="8" t="n">
        <v>-36887</v>
      </c>
      <c r="D35" s="8" t="n">
        <v>-33574</v>
      </c>
      <c r="E35" s="9" t="n"/>
      <c r="F35" s="9" t="n"/>
      <c r="G35" s="8">
        <f>C35-D35</f>
        <v/>
      </c>
      <c r="H35" s="9">
        <f>IFERROR(C35/D35-1,"")</f>
        <v/>
      </c>
    </row>
    <row r="36">
      <c r="A36" t="inlineStr">
        <is>
          <t>6.03.05</t>
        </is>
      </c>
      <c r="B36" t="inlineStr">
        <is>
          <t xml:space="preserve">      Dividendos e juros sobre capital próprio pagos</t>
        </is>
      </c>
      <c r="C36" s="8" t="n">
        <v>-238158</v>
      </c>
      <c r="D36" s="8" t="n">
        <v>-775976</v>
      </c>
      <c r="E36" s="9" t="n"/>
      <c r="F36" s="9" t="n"/>
      <c r="G36" s="8">
        <f>C36-D36</f>
        <v/>
      </c>
      <c r="H36" s="9">
        <f>IFERROR(C36/D36-1,"")</f>
        <v/>
      </c>
    </row>
    <row r="37">
      <c r="A37" t="inlineStr">
        <is>
          <t>6.03.07</t>
        </is>
      </c>
      <c r="B37" t="inlineStr">
        <is>
          <t xml:space="preserve">      Exercício de opção de ações</t>
        </is>
      </c>
      <c r="C37" s="8" t="n">
        <v>148</v>
      </c>
      <c r="D37" s="8" t="n">
        <v>1207</v>
      </c>
      <c r="E37" s="9" t="n"/>
      <c r="F37" s="9" t="n"/>
      <c r="G37" s="8">
        <f>C37-D37</f>
        <v/>
      </c>
      <c r="H37" s="9">
        <f>IFERROR(C37/D37-1,"")</f>
        <v/>
      </c>
    </row>
    <row r="38">
      <c r="A38" t="inlineStr">
        <is>
          <t>6.03.08</t>
        </is>
      </c>
      <c r="B38" t="inlineStr">
        <is>
          <t xml:space="preserve">      Pagamentos valores a pagar por aquisições</t>
        </is>
      </c>
      <c r="C38" s="8" t="n">
        <v>-233413</v>
      </c>
      <c r="D38" s="8" t="n">
        <v>-398712</v>
      </c>
      <c r="E38" s="9" t="n"/>
      <c r="F38" s="9" t="n"/>
      <c r="G38" s="8">
        <f>C38-D38</f>
        <v/>
      </c>
      <c r="H38" s="9">
        <f>IFERROR(C38/D38-1,"")</f>
        <v/>
      </c>
    </row>
    <row r="39">
      <c r="A39" t="inlineStr">
        <is>
          <t>6.03.09</t>
        </is>
      </c>
      <c r="B39" t="inlineStr">
        <is>
          <t xml:space="preserve">      Integralização de capital social subscrito</t>
        </is>
      </c>
      <c r="C39" s="8" t="n">
        <v>0</v>
      </c>
      <c r="D39" s="8" t="n">
        <v>495</v>
      </c>
      <c r="E39" s="9" t="n"/>
      <c r="F39" s="9" t="n"/>
      <c r="G39" s="8">
        <f>C39-D39</f>
        <v/>
      </c>
      <c r="H39" s="9">
        <f>IFERROR(C39/D39-1,"")</f>
        <v/>
      </c>
    </row>
    <row r="40">
      <c r="A40" t="inlineStr">
        <is>
          <t>6.03.10</t>
        </is>
      </c>
      <c r="B40" t="inlineStr">
        <is>
          <t xml:space="preserve">      Caixa líquido da compra e venda de ações em tesouraria</t>
        </is>
      </c>
      <c r="C40" s="8" t="n">
        <v>-7324</v>
      </c>
      <c r="D40" s="8" t="n">
        <v>-14124</v>
      </c>
      <c r="E40" s="9" t="n"/>
      <c r="F40" s="9" t="n"/>
      <c r="G40" s="8">
        <f>C40-D40</f>
        <v/>
      </c>
      <c r="H40" s="9">
        <f>IFERROR(C40/D40-1,"")</f>
        <v/>
      </c>
    </row>
    <row r="41">
      <c r="A41" s="11" t="inlineStr">
        <is>
          <t>6.05</t>
        </is>
      </c>
      <c r="B41" s="11" t="inlineStr">
        <is>
          <t xml:space="preserve">   Aumento (Redução) de Caixa e Equivalentes</t>
        </is>
      </c>
      <c r="C41" s="12" t="n">
        <v>-66040</v>
      </c>
      <c r="D41" s="12" t="n">
        <v>98364</v>
      </c>
      <c r="E41" s="13" t="n"/>
      <c r="F41" s="13" t="n"/>
      <c r="G41" s="12">
        <f>C41-D41</f>
        <v/>
      </c>
      <c r="H41" s="13">
        <f>IFERROR(C41/D41-1,"")</f>
        <v/>
      </c>
    </row>
    <row r="42">
      <c r="A42" t="inlineStr">
        <is>
          <t>6.05.01</t>
        </is>
      </c>
      <c r="B42" t="inlineStr">
        <is>
          <t xml:space="preserve">      Saldo Inicial de Caixa e Equivalentes</t>
        </is>
      </c>
      <c r="C42" s="8" t="n">
        <v>295548</v>
      </c>
      <c r="D42" s="8" t="n">
        <v>197184</v>
      </c>
      <c r="E42" s="9" t="n"/>
      <c r="F42" s="9" t="n"/>
      <c r="G42" s="8">
        <f>C42-D42</f>
        <v/>
      </c>
      <c r="H42" s="9">
        <f>IFERROR(C42/D42-1,"")</f>
        <v/>
      </c>
    </row>
    <row r="43">
      <c r="A43" t="inlineStr">
        <is>
          <t>6.05.02</t>
        </is>
      </c>
      <c r="B43" t="inlineStr">
        <is>
          <t xml:space="preserve">      Saldo Final de Caixa e Equivalentes</t>
        </is>
      </c>
      <c r="C43" s="8" t="n">
        <v>229508</v>
      </c>
      <c r="D43" s="8" t="n">
        <v>295548</v>
      </c>
      <c r="E43" s="9" t="n"/>
      <c r="F43" s="9" t="n"/>
      <c r="G43" s="8">
        <f>C43-D43</f>
        <v/>
      </c>
      <c r="H43" s="9">
        <f>IFERROR(C43/D43-1,"")</f>
        <v/>
      </c>
    </row>
    <row r="45">
      <c r="A45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Valor adicionado - Consolidado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7.01</t>
        </is>
      </c>
      <c r="B5" s="11" t="inlineStr">
        <is>
          <t xml:space="preserve">   Receitas</t>
        </is>
      </c>
      <c r="C5" s="12" t="n">
        <v>3748547</v>
      </c>
      <c r="D5" s="12" t="n">
        <v>3878948</v>
      </c>
      <c r="E5" s="13">
        <f>IFERROR(C5/C$18,"")</f>
        <v/>
      </c>
      <c r="F5" s="13">
        <f>IFERROR(D5/D$18,"")</f>
        <v/>
      </c>
      <c r="G5" s="12">
        <f>C5-D5</f>
        <v/>
      </c>
      <c r="H5" s="13">
        <f>IFERROR(C5/D5-1,"")</f>
        <v/>
      </c>
    </row>
    <row r="6">
      <c r="A6" t="inlineStr">
        <is>
          <t>7.01.01</t>
        </is>
      </c>
      <c r="B6" t="inlineStr">
        <is>
          <t xml:space="preserve">      Vendas de Mercadorias, Produtos e Serviços</t>
        </is>
      </c>
      <c r="C6" s="8" t="n">
        <v>3709684</v>
      </c>
      <c r="D6" s="8" t="n">
        <v>3836743</v>
      </c>
      <c r="E6" s="9">
        <f>IFERROR(C6/C$18,"")</f>
        <v/>
      </c>
      <c r="F6" s="9">
        <f>IFERROR(D6/D$18,"")</f>
        <v/>
      </c>
      <c r="G6" s="8">
        <f>C6-D6</f>
        <v/>
      </c>
      <c r="H6" s="9">
        <f>IFERROR(C6/D6-1,"")</f>
        <v/>
      </c>
    </row>
    <row r="7">
      <c r="A7" t="inlineStr">
        <is>
          <t>7.01.02</t>
        </is>
      </c>
      <c r="B7" t="inlineStr">
        <is>
          <t xml:space="preserve">      Outras Receitas</t>
        </is>
      </c>
      <c r="C7" s="8" t="n">
        <v>38863</v>
      </c>
      <c r="D7" s="8" t="n">
        <v>42205</v>
      </c>
      <c r="E7" s="9">
        <f>IFERROR(C7/C$18,"")</f>
        <v/>
      </c>
      <c r="F7" s="9">
        <f>IFERROR(D7/D$18,"")</f>
        <v/>
      </c>
      <c r="G7" s="8">
        <f>C7-D7</f>
        <v/>
      </c>
      <c r="H7" s="9">
        <f>IFERROR(C7/D7-1,"")</f>
        <v/>
      </c>
    </row>
    <row r="8">
      <c r="A8" s="11" t="inlineStr">
        <is>
          <t>7.02</t>
        </is>
      </c>
      <c r="B8" s="11" t="inlineStr">
        <is>
          <t xml:space="preserve">   Insumos Adquiridos de Terceiros</t>
        </is>
      </c>
      <c r="C8" s="12" t="n">
        <v>-1314116</v>
      </c>
      <c r="D8" s="12" t="n">
        <v>-1121901</v>
      </c>
      <c r="E8" s="13">
        <f>IFERROR(C8/C$18,"")</f>
        <v/>
      </c>
      <c r="F8" s="13">
        <f>IFERROR(D8/D$18,"")</f>
        <v/>
      </c>
      <c r="G8" s="12">
        <f>C8-D8</f>
        <v/>
      </c>
      <c r="H8" s="13">
        <f>IFERROR(C8/D8-1,"")</f>
        <v/>
      </c>
    </row>
    <row r="9">
      <c r="A9" t="inlineStr">
        <is>
          <t>7.02.01</t>
        </is>
      </c>
      <c r="B9" t="inlineStr">
        <is>
          <t xml:space="preserve">      Custos Prods., Mercs. e Servs. Vendidos</t>
        </is>
      </c>
      <c r="C9" s="8" t="n">
        <v>-104707</v>
      </c>
      <c r="D9" s="8" t="n">
        <v>-45133</v>
      </c>
      <c r="E9" s="9">
        <f>IFERROR(C9/C$18,"")</f>
        <v/>
      </c>
      <c r="F9" s="9">
        <f>IFERROR(D9/D$18,"")</f>
        <v/>
      </c>
      <c r="G9" s="8">
        <f>C9-D9</f>
        <v/>
      </c>
      <c r="H9" s="9">
        <f>IFERROR(C9/D9-1,"")</f>
        <v/>
      </c>
    </row>
    <row r="10">
      <c r="A10" t="inlineStr">
        <is>
          <t>7.02.02</t>
        </is>
      </c>
      <c r="B10" t="inlineStr">
        <is>
          <t xml:space="preserve">      Materiais, Energia, Servs. de Terceiros e Outros</t>
        </is>
      </c>
      <c r="C10" s="8" t="n">
        <v>-1209409</v>
      </c>
      <c r="D10" s="8" t="n">
        <v>-1076768</v>
      </c>
      <c r="E10" s="9">
        <f>IFERROR(C10/C$18,"")</f>
        <v/>
      </c>
      <c r="F10" s="9">
        <f>IFERROR(D10/D$18,"")</f>
        <v/>
      </c>
      <c r="G10" s="8">
        <f>C10-D10</f>
        <v/>
      </c>
      <c r="H10" s="9">
        <f>IFERROR(C10/D10-1,"")</f>
        <v/>
      </c>
    </row>
    <row r="11">
      <c r="A11" s="11" t="inlineStr">
        <is>
          <t>7.03</t>
        </is>
      </c>
      <c r="B11" s="11" t="inlineStr">
        <is>
          <t xml:space="preserve">   Valor Adicionado Bruto</t>
        </is>
      </c>
      <c r="C11" s="12" t="n">
        <v>2434431</v>
      </c>
      <c r="D11" s="12" t="n">
        <v>2757047</v>
      </c>
      <c r="E11" s="13">
        <f>IFERROR(C11/C$18,"")</f>
        <v/>
      </c>
      <c r="F11" s="13">
        <f>IFERROR(D11/D$18,"")</f>
        <v/>
      </c>
      <c r="G11" s="12">
        <f>C11-D11</f>
        <v/>
      </c>
      <c r="H11" s="13">
        <f>IFERROR(C11/D11-1,"")</f>
        <v/>
      </c>
    </row>
    <row r="12">
      <c r="A12" s="11" t="inlineStr">
        <is>
          <t>7.04</t>
        </is>
      </c>
      <c r="B12" s="11" t="inlineStr">
        <is>
          <t xml:space="preserve">   Retenções</t>
        </is>
      </c>
      <c r="C12" s="12" t="n">
        <v>-721077</v>
      </c>
      <c r="D12" s="12" t="n">
        <v>-694816</v>
      </c>
      <c r="E12" s="13">
        <f>IFERROR(C12/C$18,"")</f>
        <v/>
      </c>
      <c r="F12" s="13">
        <f>IFERROR(D12/D$18,"")</f>
        <v/>
      </c>
      <c r="G12" s="12">
        <f>C12-D12</f>
        <v/>
      </c>
      <c r="H12" s="13">
        <f>IFERROR(C12/D12-1,"")</f>
        <v/>
      </c>
    </row>
    <row r="13">
      <c r="A13" t="inlineStr">
        <is>
          <t>7.04.01</t>
        </is>
      </c>
      <c r="B13" t="inlineStr">
        <is>
          <t xml:space="preserve">      Depreciação, Amortização e Exaustão</t>
        </is>
      </c>
      <c r="C13" s="8" t="n">
        <v>-721077</v>
      </c>
      <c r="D13" s="8" t="n">
        <v>-694816</v>
      </c>
      <c r="E13" s="9">
        <f>IFERROR(C13/C$18,"")</f>
        <v/>
      </c>
      <c r="F13" s="9">
        <f>IFERROR(D13/D$18,"")</f>
        <v/>
      </c>
      <c r="G13" s="8">
        <f>C13-D13</f>
        <v/>
      </c>
      <c r="H13" s="9">
        <f>IFERROR(C13/D13-1,"")</f>
        <v/>
      </c>
    </row>
    <row r="14">
      <c r="A14" s="11" t="inlineStr">
        <is>
          <t>7.05</t>
        </is>
      </c>
      <c r="B14" s="11" t="inlineStr">
        <is>
          <t xml:space="preserve">   Valor Adicionado Líquido Produzido</t>
        </is>
      </c>
      <c r="C14" s="12" t="n">
        <v>1713354</v>
      </c>
      <c r="D14" s="12" t="n">
        <v>2062231</v>
      </c>
      <c r="E14" s="13">
        <f>IFERROR(C14/C$18,"")</f>
        <v/>
      </c>
      <c r="F14" s="13">
        <f>IFERROR(D14/D$18,"")</f>
        <v/>
      </c>
      <c r="G14" s="12">
        <f>C14-D14</f>
        <v/>
      </c>
      <c r="H14" s="13">
        <f>IFERROR(C14/D14-1,"")</f>
        <v/>
      </c>
    </row>
    <row r="15">
      <c r="A15" s="11" t="inlineStr">
        <is>
          <t>7.06</t>
        </is>
      </c>
      <c r="B15" s="11" t="inlineStr">
        <is>
          <t xml:space="preserve">   Vlr Adicionado Recebido em Transferência</t>
        </is>
      </c>
      <c r="C15" s="12" t="n">
        <v>536376</v>
      </c>
      <c r="D15" s="12" t="n">
        <v>289862</v>
      </c>
      <c r="E15" s="13">
        <f>IFERROR(C15/C$18,"")</f>
        <v/>
      </c>
      <c r="F15" s="13">
        <f>IFERROR(D15/D$18,"")</f>
        <v/>
      </c>
      <c r="G15" s="12">
        <f>C15-D15</f>
        <v/>
      </c>
      <c r="H15" s="13">
        <f>IFERROR(C15/D15-1,"")</f>
        <v/>
      </c>
    </row>
    <row r="16">
      <c r="A16" t="inlineStr">
        <is>
          <t>7.06.02</t>
        </is>
      </c>
      <c r="B16" t="inlineStr">
        <is>
          <t xml:space="preserve">      Receitas Financeiras</t>
        </is>
      </c>
      <c r="C16" s="8" t="n">
        <v>536376</v>
      </c>
      <c r="D16" s="8" t="n">
        <v>289862</v>
      </c>
      <c r="E16" s="9">
        <f>IFERROR(C16/C$18,"")</f>
        <v/>
      </c>
      <c r="F16" s="9">
        <f>IFERROR(D16/D$18,"")</f>
        <v/>
      </c>
      <c r="G16" s="8">
        <f>C16-D16</f>
        <v/>
      </c>
      <c r="H16" s="9">
        <f>IFERROR(C16/D16-1,"")</f>
        <v/>
      </c>
    </row>
    <row r="17">
      <c r="A17" s="11" t="inlineStr">
        <is>
          <t>7.07</t>
        </is>
      </c>
      <c r="B17" s="11" t="inlineStr">
        <is>
          <t xml:space="preserve">   Valor Adicionado Total a Distribuir</t>
        </is>
      </c>
      <c r="C17" s="12" t="n">
        <v>2249730</v>
      </c>
      <c r="D17" s="12" t="n">
        <v>2352093</v>
      </c>
      <c r="E17" s="13">
        <f>IFERROR(C17/C$18,"")</f>
        <v/>
      </c>
      <c r="F17" s="13">
        <f>IFERROR(D17/D$18,"")</f>
        <v/>
      </c>
      <c r="G17" s="12">
        <f>C17-D17</f>
        <v/>
      </c>
      <c r="H17" s="13">
        <f>IFERROR(C17/D17-1,"")</f>
        <v/>
      </c>
    </row>
    <row r="18">
      <c r="A18" s="11" t="inlineStr">
        <is>
          <t>7.08</t>
        </is>
      </c>
      <c r="B18" s="11" t="inlineStr">
        <is>
          <t xml:space="preserve">   Distribuição do Valor Adicionado</t>
        </is>
      </c>
      <c r="C18" s="12" t="n">
        <v>2249730</v>
      </c>
      <c r="D18" s="12" t="n">
        <v>2352093</v>
      </c>
      <c r="E18" s="13">
        <f>IFERROR(C18/C$18,"")</f>
        <v/>
      </c>
      <c r="F18" s="13">
        <f>IFERROR(D18/D$18,"")</f>
        <v/>
      </c>
      <c r="G18" s="12">
        <f>C18-D18</f>
        <v/>
      </c>
      <c r="H18" s="13">
        <f>IFERROR(C18/D18-1,"")</f>
        <v/>
      </c>
    </row>
    <row r="19">
      <c r="A19" t="inlineStr">
        <is>
          <t>7.08.01</t>
        </is>
      </c>
      <c r="B19" t="inlineStr">
        <is>
          <t xml:space="preserve">      Pessoal</t>
        </is>
      </c>
      <c r="C19" s="8" t="n">
        <v>248366</v>
      </c>
      <c r="D19" s="8" t="n">
        <v>387212</v>
      </c>
      <c r="E19" s="9">
        <f>IFERROR(C19/C$18,"")</f>
        <v/>
      </c>
      <c r="F19" s="9">
        <f>IFERROR(D19/D$18,"")</f>
        <v/>
      </c>
      <c r="G19" s="8">
        <f>C19-D19</f>
        <v/>
      </c>
      <c r="H19" s="9">
        <f>IFERROR(C19/D19-1,"")</f>
        <v/>
      </c>
    </row>
    <row r="20">
      <c r="A20" t="inlineStr">
        <is>
          <t>7.08.01.01</t>
        </is>
      </c>
      <c r="B20" t="inlineStr">
        <is>
          <t xml:space="preserve">         Remuneração Direta</t>
        </is>
      </c>
      <c r="C20" s="8" t="n">
        <v>144749</v>
      </c>
      <c r="D20" s="8" t="n">
        <v>267861</v>
      </c>
      <c r="E20" s="9">
        <f>IFERROR(C20/C$18,"")</f>
        <v/>
      </c>
      <c r="F20" s="9">
        <f>IFERROR(D20/D$18,"")</f>
        <v/>
      </c>
      <c r="G20" s="8">
        <f>C20-D20</f>
        <v/>
      </c>
      <c r="H20" s="9">
        <f>IFERROR(C20/D20-1,"")</f>
        <v/>
      </c>
    </row>
    <row r="21">
      <c r="A21" t="inlineStr">
        <is>
          <t>7.08.01.02</t>
        </is>
      </c>
      <c r="B21" t="inlineStr">
        <is>
          <t xml:space="preserve">         Benefícios</t>
        </is>
      </c>
      <c r="C21" s="8" t="n">
        <v>92863</v>
      </c>
      <c r="D21" s="8" t="n">
        <v>103217</v>
      </c>
      <c r="E21" s="9">
        <f>IFERROR(C21/C$18,"")</f>
        <v/>
      </c>
      <c r="F21" s="9">
        <f>IFERROR(D21/D$18,"")</f>
        <v/>
      </c>
      <c r="G21" s="8">
        <f>C21-D21</f>
        <v/>
      </c>
      <c r="H21" s="9">
        <f>IFERROR(C21/D21-1,"")</f>
        <v/>
      </c>
    </row>
    <row r="22">
      <c r="A22" t="inlineStr">
        <is>
          <t>7.08.01.03</t>
        </is>
      </c>
      <c r="B22" t="inlineStr">
        <is>
          <t xml:space="preserve">         F.G.T.S.</t>
        </is>
      </c>
      <c r="C22" s="8" t="n">
        <v>10754</v>
      </c>
      <c r="D22" s="8" t="n">
        <v>16134</v>
      </c>
      <c r="E22" s="9">
        <f>IFERROR(C22/C$18,"")</f>
        <v/>
      </c>
      <c r="F22" s="9">
        <f>IFERROR(D22/D$18,"")</f>
        <v/>
      </c>
      <c r="G22" s="8">
        <f>C22-D22</f>
        <v/>
      </c>
      <c r="H22" s="9">
        <f>IFERROR(C22/D22-1,"")</f>
        <v/>
      </c>
    </row>
    <row r="23">
      <c r="A23" t="inlineStr">
        <is>
          <t>7.08.02</t>
        </is>
      </c>
      <c r="B23" t="inlineStr">
        <is>
          <t xml:space="preserve">      Impostos, Taxas e Contribuições</t>
        </is>
      </c>
      <c r="C23" s="8" t="n">
        <v>589873</v>
      </c>
      <c r="D23" s="8" t="n">
        <v>379799</v>
      </c>
      <c r="E23" s="9">
        <f>IFERROR(C23/C$18,"")</f>
        <v/>
      </c>
      <c r="F23" s="9">
        <f>IFERROR(D23/D$18,"")</f>
        <v/>
      </c>
      <c r="G23" s="8">
        <f>C23-D23</f>
        <v/>
      </c>
      <c r="H23" s="9">
        <f>IFERROR(C23/D23-1,"")</f>
        <v/>
      </c>
    </row>
    <row r="24">
      <c r="A24" t="inlineStr">
        <is>
          <t>7.08.02.01</t>
        </is>
      </c>
      <c r="B24" t="inlineStr">
        <is>
          <t xml:space="preserve">         Federais</t>
        </is>
      </c>
      <c r="C24" s="8" t="n">
        <v>382425</v>
      </c>
      <c r="D24" s="8" t="n">
        <v>187981</v>
      </c>
      <c r="E24" s="9">
        <f>IFERROR(C24/C$18,"")</f>
        <v/>
      </c>
      <c r="F24" s="9">
        <f>IFERROR(D24/D$18,"")</f>
        <v/>
      </c>
      <c r="G24" s="8">
        <f>C24-D24</f>
        <v/>
      </c>
      <c r="H24" s="9">
        <f>IFERROR(C24/D24-1,"")</f>
        <v/>
      </c>
    </row>
    <row r="25">
      <c r="A25" t="inlineStr">
        <is>
          <t>7.08.02.02</t>
        </is>
      </c>
      <c r="B25" t="inlineStr">
        <is>
          <t xml:space="preserve">         Estaduais</t>
        </is>
      </c>
      <c r="C25" s="8" t="n">
        <v>205747</v>
      </c>
      <c r="D25" s="8" t="n">
        <v>188401</v>
      </c>
      <c r="E25" s="9">
        <f>IFERROR(C25/C$18,"")</f>
        <v/>
      </c>
      <c r="F25" s="9">
        <f>IFERROR(D25/D$18,"")</f>
        <v/>
      </c>
      <c r="G25" s="8">
        <f>C25-D25</f>
        <v/>
      </c>
      <c r="H25" s="9">
        <f>IFERROR(C25/D25-1,"")</f>
        <v/>
      </c>
    </row>
    <row r="26">
      <c r="A26" t="inlineStr">
        <is>
          <t>7.08.02.03</t>
        </is>
      </c>
      <c r="B26" t="inlineStr">
        <is>
          <t xml:space="preserve">         Municipais</t>
        </is>
      </c>
      <c r="C26" s="8" t="n">
        <v>1701</v>
      </c>
      <c r="D26" s="8" t="n">
        <v>3417</v>
      </c>
      <c r="E26" s="9">
        <f>IFERROR(C26/C$18,"")</f>
        <v/>
      </c>
      <c r="F26" s="9">
        <f>IFERROR(D26/D$18,"")</f>
        <v/>
      </c>
      <c r="G26" s="8">
        <f>C26-D26</f>
        <v/>
      </c>
      <c r="H26" s="9">
        <f>IFERROR(C26/D26-1,"")</f>
        <v/>
      </c>
    </row>
    <row r="27">
      <c r="A27" t="inlineStr">
        <is>
          <t>7.08.03</t>
        </is>
      </c>
      <c r="B27" t="inlineStr">
        <is>
          <t xml:space="preserve">      Remuneração de Capitais de Terceiros</t>
        </is>
      </c>
      <c r="C27" s="8" t="n">
        <v>773139</v>
      </c>
      <c r="D27" s="8" t="n">
        <v>1147584</v>
      </c>
      <c r="E27" s="9">
        <f>IFERROR(C27/C$18,"")</f>
        <v/>
      </c>
      <c r="F27" s="9">
        <f>IFERROR(D27/D$18,"")</f>
        <v/>
      </c>
      <c r="G27" s="8">
        <f>C27-D27</f>
        <v/>
      </c>
      <c r="H27" s="9">
        <f>IFERROR(C27/D27-1,"")</f>
        <v/>
      </c>
    </row>
    <row r="28">
      <c r="A28" t="inlineStr">
        <is>
          <t>7.08.03.01</t>
        </is>
      </c>
      <c r="B28" t="inlineStr">
        <is>
          <t xml:space="preserve">         Juros</t>
        </is>
      </c>
      <c r="C28" s="8" t="n">
        <v>481761</v>
      </c>
      <c r="D28" s="8" t="n">
        <v>874677</v>
      </c>
      <c r="E28" s="9">
        <f>IFERROR(C28/C$18,"")</f>
        <v/>
      </c>
      <c r="F28" s="9">
        <f>IFERROR(D28/D$18,"")</f>
        <v/>
      </c>
      <c r="G28" s="8">
        <f>C28-D28</f>
        <v/>
      </c>
      <c r="H28" s="9">
        <f>IFERROR(C28/D28-1,"")</f>
        <v/>
      </c>
    </row>
    <row r="29">
      <c r="A29" t="inlineStr">
        <is>
          <t>7.08.03.02</t>
        </is>
      </c>
      <c r="B29" t="inlineStr">
        <is>
          <t xml:space="preserve">         Aluguéis</t>
        </is>
      </c>
      <c r="C29" s="8" t="n">
        <v>63684</v>
      </c>
      <c r="D29" s="8" t="n">
        <v>48265</v>
      </c>
      <c r="E29" s="9">
        <f>IFERROR(C29/C$18,"")</f>
        <v/>
      </c>
      <c r="F29" s="9">
        <f>IFERROR(D29/D$18,"")</f>
        <v/>
      </c>
      <c r="G29" s="8">
        <f>C29-D29</f>
        <v/>
      </c>
      <c r="H29" s="9">
        <f>IFERROR(C29/D29-1,"")</f>
        <v/>
      </c>
    </row>
    <row r="30">
      <c r="A30" t="inlineStr">
        <is>
          <t>7.08.03.03</t>
        </is>
      </c>
      <c r="B30" t="inlineStr">
        <is>
          <t xml:space="preserve">         Outras</t>
        </is>
      </c>
      <c r="C30" s="8" t="n">
        <v>227694</v>
      </c>
      <c r="D30" s="8" t="n">
        <v>224642</v>
      </c>
      <c r="E30" s="9">
        <f>IFERROR(C30/C$18,"")</f>
        <v/>
      </c>
      <c r="F30" s="9">
        <f>IFERROR(D30/D$18,"")</f>
        <v/>
      </c>
      <c r="G30" s="8">
        <f>C30-D30</f>
        <v/>
      </c>
      <c r="H30" s="9">
        <f>IFERROR(C30/D30-1,"")</f>
        <v/>
      </c>
    </row>
    <row r="31">
      <c r="A31" t="inlineStr">
        <is>
          <t>7.08.03.03.01</t>
        </is>
      </c>
      <c r="B31" t="inlineStr">
        <is>
          <t xml:space="preserve">            Royalties</t>
        </is>
      </c>
      <c r="C31" s="8" t="n">
        <v>227694</v>
      </c>
      <c r="D31" s="8" t="n">
        <v>224642</v>
      </c>
      <c r="E31" s="9">
        <f>IFERROR(C31/C$18,"")</f>
        <v/>
      </c>
      <c r="F31" s="9">
        <f>IFERROR(D31/D$18,"")</f>
        <v/>
      </c>
      <c r="G31" s="8">
        <f>C31-D31</f>
        <v/>
      </c>
      <c r="H31" s="9">
        <f>IFERROR(C31/D31-1,"")</f>
        <v/>
      </c>
    </row>
    <row r="32">
      <c r="A32" t="inlineStr">
        <is>
          <t>7.08.04</t>
        </is>
      </c>
      <c r="B32" t="inlineStr">
        <is>
          <t xml:space="preserve">      Remuneração de Capitais Próprios</t>
        </is>
      </c>
      <c r="C32" s="8" t="n">
        <v>638352</v>
      </c>
      <c r="D32" s="8" t="n">
        <v>437498</v>
      </c>
      <c r="E32" s="9">
        <f>IFERROR(C32/C$18,"")</f>
        <v/>
      </c>
      <c r="F32" s="9">
        <f>IFERROR(D32/D$18,"")</f>
        <v/>
      </c>
      <c r="G32" s="8">
        <f>C32-D32</f>
        <v/>
      </c>
      <c r="H32" s="9">
        <f>IFERROR(C32/D32-1,"")</f>
        <v/>
      </c>
    </row>
    <row r="33">
      <c r="A33" t="inlineStr">
        <is>
          <t>7.08.04.01</t>
        </is>
      </c>
      <c r="B33" t="inlineStr">
        <is>
          <t xml:space="preserve">         Juros sobre o Capital Próprio</t>
        </is>
      </c>
      <c r="C33" s="8" t="n">
        <v>263400</v>
      </c>
      <c r="D33" s="8" t="n">
        <v>353059</v>
      </c>
      <c r="E33" s="9">
        <f>IFERROR(C33/C$18,"")</f>
        <v/>
      </c>
      <c r="F33" s="9">
        <f>IFERROR(D33/D$18,"")</f>
        <v/>
      </c>
      <c r="G33" s="8">
        <f>C33-D33</f>
        <v/>
      </c>
      <c r="H33" s="9">
        <f>IFERROR(C33/D33-1,"")</f>
        <v/>
      </c>
    </row>
    <row r="34">
      <c r="A34" t="inlineStr">
        <is>
          <t>7.08.04.03</t>
        </is>
      </c>
      <c r="B34" t="inlineStr">
        <is>
          <t xml:space="preserve">         Lucros Retidos / Prejuízo do Período</t>
        </is>
      </c>
      <c r="C34" s="8" t="n">
        <v>374952</v>
      </c>
      <c r="D34" s="8" t="n">
        <v>84439</v>
      </c>
      <c r="E34" s="9">
        <f>IFERROR(C34/C$18,"")</f>
        <v/>
      </c>
      <c r="F34" s="9">
        <f>IFERROR(D34/D$18,"")</f>
        <v/>
      </c>
      <c r="G34" s="8">
        <f>C34-D34</f>
        <v/>
      </c>
      <c r="H34" s="9">
        <f>IFERROR(C34/D34-1,"")</f>
        <v/>
      </c>
    </row>
    <row r="36">
      <c r="A36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Balanco - Ativo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1</t>
        </is>
      </c>
      <c r="B5" s="11" t="inlineStr">
        <is>
          <t>Ativo Total</t>
        </is>
      </c>
      <c r="C5" s="12" t="n">
        <v>8597497</v>
      </c>
      <c r="D5" s="12" t="n">
        <v>7337876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1.01</t>
        </is>
      </c>
      <c r="B6" s="11" t="inlineStr">
        <is>
          <t xml:space="preserve">   Ativo Circulante</t>
        </is>
      </c>
      <c r="C6" s="12" t="n">
        <v>1873321</v>
      </c>
      <c r="D6" s="12" t="n">
        <v>1218135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1.01.01</t>
        </is>
      </c>
      <c r="B7" t="inlineStr">
        <is>
          <t xml:space="preserve">      Caixa e Equivalentes de Caixa</t>
        </is>
      </c>
      <c r="C7" s="8" t="n">
        <v>172275</v>
      </c>
      <c r="D7" s="8" t="n">
        <v>259482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t="inlineStr">
        <is>
          <t>1.01.02</t>
        </is>
      </c>
      <c r="B8" t="inlineStr">
        <is>
          <t xml:space="preserve">      Aplicações Financeiras</t>
        </is>
      </c>
      <c r="C8" s="8" t="n">
        <v>1195586</v>
      </c>
      <c r="D8" s="8" t="n">
        <v>506305</v>
      </c>
      <c r="E8" s="9">
        <f>IFERROR(C8/C$5,"")</f>
        <v/>
      </c>
      <c r="F8" s="9">
        <f>IFERROR(D8/D$5,"")</f>
        <v/>
      </c>
      <c r="G8" s="8">
        <f>C8-D8</f>
        <v/>
      </c>
      <c r="H8" s="9">
        <f>IFERROR(C8/D8-1,"")</f>
        <v/>
      </c>
    </row>
    <row r="9">
      <c r="A9" t="inlineStr">
        <is>
          <t>1.01.02.03</t>
        </is>
      </c>
      <c r="B9" t="inlineStr">
        <is>
          <t xml:space="preserve">         Aplicações Financeiras Avaliadas ao Custo Amortizado</t>
        </is>
      </c>
      <c r="C9" s="8" t="n">
        <v>1195586</v>
      </c>
      <c r="D9" s="8" t="n">
        <v>506305</v>
      </c>
      <c r="E9" s="9">
        <f>IFERROR(C9/C$5,"")</f>
        <v/>
      </c>
      <c r="F9" s="9">
        <f>IFERROR(D9/D$5,"")</f>
        <v/>
      </c>
      <c r="G9" s="8">
        <f>C9-D9</f>
        <v/>
      </c>
      <c r="H9" s="9">
        <f>IFERROR(C9/D9-1,"")</f>
        <v/>
      </c>
    </row>
    <row r="10">
      <c r="A10" t="inlineStr">
        <is>
          <t>1.01.03</t>
        </is>
      </c>
      <c r="B10" t="inlineStr">
        <is>
          <t xml:space="preserve">      Contas a Receber</t>
        </is>
      </c>
      <c r="C10" s="8" t="n">
        <v>242819</v>
      </c>
      <c r="D10" s="8" t="n">
        <v>315380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1.01.03.01</t>
        </is>
      </c>
      <c r="B11" t="inlineStr">
        <is>
          <t xml:space="preserve">         Clientes</t>
        </is>
      </c>
      <c r="C11" s="8" t="n">
        <v>242819</v>
      </c>
      <c r="D11" s="8" t="n">
        <v>315380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1.01.03.01.01</t>
        </is>
      </c>
      <c r="B12" t="inlineStr">
        <is>
          <t xml:space="preserve">            Contas a Receber de Clientes</t>
        </is>
      </c>
      <c r="C12" s="8" t="n">
        <v>242819</v>
      </c>
      <c r="D12" s="8" t="n">
        <v>315380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1.01.04</t>
        </is>
      </c>
      <c r="B13" t="inlineStr">
        <is>
          <t xml:space="preserve">      Estoques</t>
        </is>
      </c>
      <c r="C13" s="8" t="n">
        <v>5397</v>
      </c>
      <c r="D13" s="8" t="n">
        <v>8744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t="inlineStr">
        <is>
          <t>1.01.04.01</t>
        </is>
      </c>
      <c r="B14" t="inlineStr">
        <is>
          <t xml:space="preserve">         Estoques</t>
        </is>
      </c>
      <c r="C14" s="8" t="n">
        <v>5397</v>
      </c>
      <c r="D14" s="8" t="n">
        <v>8744</v>
      </c>
      <c r="E14" s="9">
        <f>IFERROR(C14/C$5,"")</f>
        <v/>
      </c>
      <c r="F14" s="9">
        <f>IFERROR(D14/D$5,"")</f>
        <v/>
      </c>
      <c r="G14" s="8">
        <f>C14-D14</f>
        <v/>
      </c>
      <c r="H14" s="9">
        <f>IFERROR(C14/D14-1,"")</f>
        <v/>
      </c>
    </row>
    <row r="15">
      <c r="A15" t="inlineStr">
        <is>
          <t>1.01.06</t>
        </is>
      </c>
      <c r="B15" t="inlineStr">
        <is>
          <t xml:space="preserve">      Tributos a Recuperar</t>
        </is>
      </c>
      <c r="C15" s="8" t="n">
        <v>135206</v>
      </c>
      <c r="D15" s="8" t="n">
        <v>85959</v>
      </c>
      <c r="E15" s="9">
        <f>IFERROR(C15/C$5,"")</f>
        <v/>
      </c>
      <c r="F15" s="9">
        <f>IFERROR(D15/D$5,"")</f>
        <v/>
      </c>
      <c r="G15" s="8">
        <f>C15-D15</f>
        <v/>
      </c>
      <c r="H15" s="9">
        <f>IFERROR(C15/D15-1,"")</f>
        <v/>
      </c>
    </row>
    <row r="16">
      <c r="A16" t="inlineStr">
        <is>
          <t>1.01.06.01</t>
        </is>
      </c>
      <c r="B16" t="inlineStr">
        <is>
          <t xml:space="preserve">         Tributos Correntes a Recuperar</t>
        </is>
      </c>
      <c r="C16" s="8" t="n">
        <v>135206</v>
      </c>
      <c r="D16" s="8" t="n">
        <v>85959</v>
      </c>
      <c r="E16" s="9">
        <f>IFERROR(C16/C$5,"")</f>
        <v/>
      </c>
      <c r="F16" s="9">
        <f>IFERROR(D16/D$5,"")</f>
        <v/>
      </c>
      <c r="G16" s="8">
        <f>C16-D16</f>
        <v/>
      </c>
      <c r="H16" s="9">
        <f>IFERROR(C16/D16-1,"")</f>
        <v/>
      </c>
    </row>
    <row r="17">
      <c r="A17" t="inlineStr">
        <is>
          <t>1.01.06.01.01</t>
        </is>
      </c>
      <c r="B17" t="inlineStr">
        <is>
          <t xml:space="preserve">            Impostos a Recuperar</t>
        </is>
      </c>
      <c r="C17" s="8" t="n">
        <v>135206</v>
      </c>
      <c r="D17" s="8" t="n">
        <v>85959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t="inlineStr">
        <is>
          <t>1.01.08</t>
        </is>
      </c>
      <c r="B18" t="inlineStr">
        <is>
          <t xml:space="preserve">      Outros Ativos Circulantes</t>
        </is>
      </c>
      <c r="C18" s="8" t="n">
        <v>122038</v>
      </c>
      <c r="D18" s="8" t="n">
        <v>42265</v>
      </c>
      <c r="E18" s="9">
        <f>IFERROR(C18/C$5,"")</f>
        <v/>
      </c>
      <c r="F18" s="9">
        <f>IFERROR(D18/D$5,"")</f>
        <v/>
      </c>
      <c r="G18" s="8">
        <f>C18-D18</f>
        <v/>
      </c>
      <c r="H18" s="9">
        <f>IFERROR(C18/D18-1,"")</f>
        <v/>
      </c>
    </row>
    <row r="19">
      <c r="A19" t="inlineStr">
        <is>
          <t>1.01.08.03</t>
        </is>
      </c>
      <c r="B19" t="inlineStr">
        <is>
          <t xml:space="preserve">         Outros</t>
        </is>
      </c>
      <c r="C19" s="8" t="n">
        <v>122038</v>
      </c>
      <c r="D19" s="8" t="n">
        <v>42265</v>
      </c>
      <c r="E19" s="9">
        <f>IFERROR(C19/C$5,"")</f>
        <v/>
      </c>
      <c r="F19" s="9">
        <f>IFERROR(D19/D$5,"")</f>
        <v/>
      </c>
      <c r="G19" s="8">
        <f>C19-D19</f>
        <v/>
      </c>
      <c r="H19" s="9">
        <f>IFERROR(C19/D19-1,"")</f>
        <v/>
      </c>
    </row>
    <row r="20">
      <c r="A20" t="inlineStr">
        <is>
          <t>1.01.08.03.01</t>
        </is>
      </c>
      <c r="B20" t="inlineStr">
        <is>
          <t xml:space="preserve">            Instrumentos Financeiros Derivativos</t>
        </is>
      </c>
      <c r="C20" s="8" t="n">
        <v>33771</v>
      </c>
      <c r="D20" s="8" t="n">
        <v>575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t="inlineStr">
        <is>
          <t>1.01.08.03.03</t>
        </is>
      </c>
      <c r="B21" t="inlineStr">
        <is>
          <t xml:space="preserve">            Outro Ativos</t>
        </is>
      </c>
      <c r="C21" s="8" t="n">
        <v>88267</v>
      </c>
      <c r="D21" s="8" t="n">
        <v>41690</v>
      </c>
      <c r="E21" s="9">
        <f>IFERROR(C21/C$5,"")</f>
        <v/>
      </c>
      <c r="F21" s="9">
        <f>IFERROR(D21/D$5,"")</f>
        <v/>
      </c>
      <c r="G21" s="8">
        <f>C21-D21</f>
        <v/>
      </c>
      <c r="H21" s="9">
        <f>IFERROR(C21/D21-1,"")</f>
        <v/>
      </c>
    </row>
    <row r="22">
      <c r="A22" s="11" t="inlineStr">
        <is>
          <t>1.02</t>
        </is>
      </c>
      <c r="B22" s="11" t="inlineStr">
        <is>
          <t xml:space="preserve">   Ativo Não Circulante</t>
        </is>
      </c>
      <c r="C22" s="12" t="n">
        <v>6724176</v>
      </c>
      <c r="D22" s="12" t="n">
        <v>6119741</v>
      </c>
      <c r="E22" s="13">
        <f>IFERROR(C22/C$5,"")</f>
        <v/>
      </c>
      <c r="F22" s="13">
        <f>IFERROR(D22/D$5,"")</f>
        <v/>
      </c>
      <c r="G22" s="12">
        <f>C22-D22</f>
        <v/>
      </c>
      <c r="H22" s="13">
        <f>IFERROR(C22/D22-1,"")</f>
        <v/>
      </c>
    </row>
    <row r="23">
      <c r="A23" t="inlineStr">
        <is>
          <t>1.02.01</t>
        </is>
      </c>
      <c r="B23" t="inlineStr">
        <is>
          <t xml:space="preserve">      Ativo Realizável a Longo Prazo</t>
        </is>
      </c>
      <c r="C23" s="8" t="n">
        <v>187981</v>
      </c>
      <c r="D23" s="8" t="n">
        <v>254644</v>
      </c>
      <c r="E23" s="9">
        <f>IFERROR(C23/C$5,"")</f>
        <v/>
      </c>
      <c r="F23" s="9">
        <f>IFERROR(D23/D$5,"")</f>
        <v/>
      </c>
      <c r="G23" s="8">
        <f>C23-D23</f>
        <v/>
      </c>
      <c r="H23" s="9">
        <f>IFERROR(C23/D23-1,"")</f>
        <v/>
      </c>
    </row>
    <row r="24">
      <c r="A24" t="inlineStr">
        <is>
          <t>1.02.01.03</t>
        </is>
      </c>
      <c r="B24" t="inlineStr">
        <is>
          <t xml:space="preserve">         Aplicações Financeiras Avaliadas ao Custo Amortizado</t>
        </is>
      </c>
      <c r="C24" s="8" t="n">
        <v>5022</v>
      </c>
      <c r="D24" s="8" t="n">
        <v>15964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5">
      <c r="A25" t="inlineStr">
        <is>
          <t>1.02.01.04</t>
        </is>
      </c>
      <c r="B25" t="inlineStr">
        <is>
          <t xml:space="preserve">         Contas a Receber</t>
        </is>
      </c>
      <c r="C25" s="8" t="n">
        <v>65231</v>
      </c>
      <c r="D25" s="8" t="n">
        <v>58145</v>
      </c>
      <c r="E25" s="9">
        <f>IFERROR(C25/C$5,"")</f>
        <v/>
      </c>
      <c r="F25" s="9">
        <f>IFERROR(D25/D$5,"")</f>
        <v/>
      </c>
      <c r="G25" s="8">
        <f>C25-D25</f>
        <v/>
      </c>
      <c r="H25" s="9">
        <f>IFERROR(C25/D25-1,"")</f>
        <v/>
      </c>
    </row>
    <row r="26">
      <c r="A26" t="inlineStr">
        <is>
          <t>1.02.01.04.01</t>
        </is>
      </c>
      <c r="B26" t="inlineStr">
        <is>
          <t xml:space="preserve">            Clientes</t>
        </is>
      </c>
      <c r="C26" s="8" t="n">
        <v>65231</v>
      </c>
      <c r="D26" s="8" t="n">
        <v>58145</v>
      </c>
      <c r="E26" s="9">
        <f>IFERROR(C26/C$5,"")</f>
        <v/>
      </c>
      <c r="F26" s="9">
        <f>IFERROR(D26/D$5,"")</f>
        <v/>
      </c>
      <c r="G26" s="8">
        <f>C26-D26</f>
        <v/>
      </c>
      <c r="H26" s="9">
        <f>IFERROR(C26/D26-1,"")</f>
        <v/>
      </c>
    </row>
    <row r="27">
      <c r="A27" t="inlineStr">
        <is>
          <t>1.02.01.07</t>
        </is>
      </c>
      <c r="B27" t="inlineStr">
        <is>
          <t xml:space="preserve">         Tributos Diferidos</t>
        </is>
      </c>
      <c r="C27" s="8" t="n">
        <v>0</v>
      </c>
      <c r="D27" s="8" t="n">
        <v>78762</v>
      </c>
      <c r="E27" s="9">
        <f>IFERROR(C27/C$5,"")</f>
        <v/>
      </c>
      <c r="F27" s="9">
        <f>IFERROR(D27/D$5,"")</f>
        <v/>
      </c>
      <c r="G27" s="8">
        <f>C27-D27</f>
        <v/>
      </c>
      <c r="H27" s="9">
        <f>IFERROR(C27/D27-1,"")</f>
        <v/>
      </c>
    </row>
    <row r="28">
      <c r="A28" t="inlineStr">
        <is>
          <t>1.02.01.07.01</t>
        </is>
      </c>
      <c r="B28" t="inlineStr">
        <is>
          <t xml:space="preserve">            Imposto de Renda e Contribuição Social Diferidos</t>
        </is>
      </c>
      <c r="C28" s="8" t="n">
        <v>0</v>
      </c>
      <c r="D28" s="8" t="n">
        <v>78762</v>
      </c>
      <c r="E28" s="9">
        <f>IFERROR(C28/C$5,"")</f>
        <v/>
      </c>
      <c r="F28" s="9">
        <f>IFERROR(D28/D$5,"")</f>
        <v/>
      </c>
      <c r="G28" s="8">
        <f>C28-D28</f>
        <v/>
      </c>
      <c r="H28" s="9">
        <f>IFERROR(C28/D28-1,"")</f>
        <v/>
      </c>
    </row>
    <row r="29">
      <c r="A29" t="inlineStr">
        <is>
          <t>1.02.01.10</t>
        </is>
      </c>
      <c r="B29" t="inlineStr">
        <is>
          <t xml:space="preserve">         Outros Ativos Não Circulantes</t>
        </is>
      </c>
      <c r="C29" s="8" t="n">
        <v>117728</v>
      </c>
      <c r="D29" s="8" t="n">
        <v>101773</v>
      </c>
      <c r="E29" s="9">
        <f>IFERROR(C29/C$5,"")</f>
        <v/>
      </c>
      <c r="F29" s="9">
        <f>IFERROR(D29/D$5,"")</f>
        <v/>
      </c>
      <c r="G29" s="8">
        <f>C29-D29</f>
        <v/>
      </c>
      <c r="H29" s="9">
        <f>IFERROR(C29/D29-1,"")</f>
        <v/>
      </c>
    </row>
    <row r="30">
      <c r="A30" t="inlineStr">
        <is>
          <t>1.02.01.10.03</t>
        </is>
      </c>
      <c r="B30" t="inlineStr">
        <is>
          <t xml:space="preserve">            Instrumentos Financeiros Derivativos</t>
        </is>
      </c>
      <c r="C30" s="8" t="n">
        <v>1284</v>
      </c>
      <c r="D30" s="8" t="n">
        <v>0</v>
      </c>
      <c r="E30" s="9">
        <f>IFERROR(C30/C$5,"")</f>
        <v/>
      </c>
      <c r="F30" s="9">
        <f>IFERROR(D30/D$5,"")</f>
        <v/>
      </c>
      <c r="G30" s="8">
        <f>C30-D30</f>
        <v/>
      </c>
      <c r="H30" s="9">
        <f>IFERROR(C30/D30-1,"")</f>
        <v/>
      </c>
    </row>
    <row r="31">
      <c r="A31" t="inlineStr">
        <is>
          <t>1.02.01.10.05</t>
        </is>
      </c>
      <c r="B31" t="inlineStr">
        <is>
          <t xml:space="preserve">            Impostos a Recuperar</t>
        </is>
      </c>
      <c r="C31" s="8" t="n">
        <v>56692</v>
      </c>
      <c r="D31" s="8" t="n">
        <v>55375</v>
      </c>
      <c r="E31" s="9">
        <f>IFERROR(C31/C$5,"")</f>
        <v/>
      </c>
      <c r="F31" s="9">
        <f>IFERROR(D31/D$5,"")</f>
        <v/>
      </c>
      <c r="G31" s="8">
        <f>C31-D31</f>
        <v/>
      </c>
      <c r="H31" s="9">
        <f>IFERROR(C31/D31-1,"")</f>
        <v/>
      </c>
    </row>
    <row r="32">
      <c r="A32" t="inlineStr">
        <is>
          <t>1.02.01.10.06</t>
        </is>
      </c>
      <c r="B32" t="inlineStr">
        <is>
          <t xml:space="preserve">            Outros Ativos</t>
        </is>
      </c>
      <c r="C32" s="8" t="n">
        <v>37287</v>
      </c>
      <c r="D32" s="8" t="n">
        <v>30717</v>
      </c>
      <c r="E32" s="9">
        <f>IFERROR(C32/C$5,"")</f>
        <v/>
      </c>
      <c r="F32" s="9">
        <f>IFERROR(D32/D$5,"")</f>
        <v/>
      </c>
      <c r="G32" s="8">
        <f>C32-D32</f>
        <v/>
      </c>
      <c r="H32" s="9">
        <f>IFERROR(C32/D32-1,"")</f>
        <v/>
      </c>
    </row>
    <row r="33">
      <c r="A33" t="inlineStr">
        <is>
          <t>1.02.01.10.07</t>
        </is>
      </c>
      <c r="B33" t="inlineStr">
        <is>
          <t xml:space="preserve">            Direito de Uso em Arrendamento</t>
        </is>
      </c>
      <c r="C33" s="8" t="n">
        <v>22465</v>
      </c>
      <c r="D33" s="8" t="n">
        <v>15681</v>
      </c>
      <c r="E33" s="9">
        <f>IFERROR(C33/C$5,"")</f>
        <v/>
      </c>
      <c r="F33" s="9">
        <f>IFERROR(D33/D$5,"")</f>
        <v/>
      </c>
      <c r="G33" s="8">
        <f>C33-D33</f>
        <v/>
      </c>
      <c r="H33" s="9">
        <f>IFERROR(C33/D33-1,"")</f>
        <v/>
      </c>
    </row>
    <row r="34">
      <c r="A34" t="inlineStr">
        <is>
          <t>1.02.02</t>
        </is>
      </c>
      <c r="B34" t="inlineStr">
        <is>
          <t xml:space="preserve">      Investimentos</t>
        </is>
      </c>
      <c r="C34" s="8" t="n">
        <v>847106</v>
      </c>
      <c r="D34" s="8" t="n">
        <v>897113</v>
      </c>
      <c r="E34" s="9">
        <f>IFERROR(C34/C$5,"")</f>
        <v/>
      </c>
      <c r="F34" s="9">
        <f>IFERROR(D34/D$5,"")</f>
        <v/>
      </c>
      <c r="G34" s="8">
        <f>C34-D34</f>
        <v/>
      </c>
      <c r="H34" s="9">
        <f>IFERROR(C34/D34-1,"")</f>
        <v/>
      </c>
    </row>
    <row r="35">
      <c r="A35" t="inlineStr">
        <is>
          <t>1.02.02.01</t>
        </is>
      </c>
      <c r="B35" t="inlineStr">
        <is>
          <t xml:space="preserve">         Participações Societárias</t>
        </is>
      </c>
      <c r="C35" s="8" t="n">
        <v>847106</v>
      </c>
      <c r="D35" s="8" t="n">
        <v>897113</v>
      </c>
      <c r="E35" s="9">
        <f>IFERROR(C35/C$5,"")</f>
        <v/>
      </c>
      <c r="F35" s="9">
        <f>IFERROR(D35/D$5,"")</f>
        <v/>
      </c>
      <c r="G35" s="8">
        <f>C35-D35</f>
        <v/>
      </c>
      <c r="H35" s="9">
        <f>IFERROR(C35/D35-1,"")</f>
        <v/>
      </c>
    </row>
    <row r="36">
      <c r="A36" t="inlineStr">
        <is>
          <t>1.02.02.01.02</t>
        </is>
      </c>
      <c r="B36" t="inlineStr">
        <is>
          <t xml:space="preserve">            Participações em Controladas</t>
        </is>
      </c>
      <c r="C36" s="8" t="n">
        <v>847106</v>
      </c>
      <c r="D36" s="8" t="n">
        <v>897113</v>
      </c>
      <c r="E36" s="9">
        <f>IFERROR(C36/C$5,"")</f>
        <v/>
      </c>
      <c r="F36" s="9">
        <f>IFERROR(D36/D$5,"")</f>
        <v/>
      </c>
      <c r="G36" s="8">
        <f>C36-D36</f>
        <v/>
      </c>
      <c r="H36" s="9">
        <f>IFERROR(C36/D36-1,"")</f>
        <v/>
      </c>
    </row>
    <row r="37">
      <c r="A37" t="inlineStr">
        <is>
          <t>1.02.03</t>
        </is>
      </c>
      <c r="B37" t="inlineStr">
        <is>
          <t xml:space="preserve">      Imobilizado</t>
        </is>
      </c>
      <c r="C37" s="8" t="n">
        <v>5605708</v>
      </c>
      <c r="D37" s="8" t="n">
        <v>4947449</v>
      </c>
      <c r="E37" s="9">
        <f>IFERROR(C37/C$5,"")</f>
        <v/>
      </c>
      <c r="F37" s="9">
        <f>IFERROR(D37/D$5,"")</f>
        <v/>
      </c>
      <c r="G37" s="8">
        <f>C37-D37</f>
        <v/>
      </c>
      <c r="H37" s="9">
        <f>IFERROR(C37/D37-1,"")</f>
        <v/>
      </c>
    </row>
    <row r="38">
      <c r="A38" t="inlineStr">
        <is>
          <t>1.02.03.01</t>
        </is>
      </c>
      <c r="B38" t="inlineStr">
        <is>
          <t xml:space="preserve">         Imobilizado em Operação</t>
        </is>
      </c>
      <c r="C38" s="8" t="n">
        <v>5537289</v>
      </c>
      <c r="D38" s="8" t="n">
        <v>4806466</v>
      </c>
      <c r="E38" s="9">
        <f>IFERROR(C38/C$5,"")</f>
        <v/>
      </c>
      <c r="F38" s="9">
        <f>IFERROR(D38/D$5,"")</f>
        <v/>
      </c>
      <c r="G38" s="8">
        <f>C38-D38</f>
        <v/>
      </c>
      <c r="H38" s="9">
        <f>IFERROR(C38/D38-1,"")</f>
        <v/>
      </c>
    </row>
    <row r="39">
      <c r="A39" t="inlineStr">
        <is>
          <t>1.02.03.01.01</t>
        </is>
      </c>
      <c r="B39" t="inlineStr">
        <is>
          <t xml:space="preserve">            Imobilizado em Operação</t>
        </is>
      </c>
      <c r="C39" s="8" t="n">
        <v>5537289</v>
      </c>
      <c r="D39" s="8" t="n">
        <v>4806466</v>
      </c>
      <c r="E39" s="9">
        <f>IFERROR(C39/C$5,"")</f>
        <v/>
      </c>
      <c r="F39" s="9">
        <f>IFERROR(D39/D$5,"")</f>
        <v/>
      </c>
      <c r="G39" s="8">
        <f>C39-D39</f>
        <v/>
      </c>
      <c r="H39" s="9">
        <f>IFERROR(C39/D39-1,"")</f>
        <v/>
      </c>
    </row>
    <row r="40">
      <c r="A40" t="inlineStr">
        <is>
          <t>1.02.03.03</t>
        </is>
      </c>
      <c r="B40" t="inlineStr">
        <is>
          <t xml:space="preserve">         Imobilizado em Andamento</t>
        </is>
      </c>
      <c r="C40" s="8" t="n">
        <v>68419</v>
      </c>
      <c r="D40" s="8" t="n">
        <v>140983</v>
      </c>
      <c r="E40" s="9">
        <f>IFERROR(C40/C$5,"")</f>
        <v/>
      </c>
      <c r="F40" s="9">
        <f>IFERROR(D40/D$5,"")</f>
        <v/>
      </c>
      <c r="G40" s="8">
        <f>C40-D40</f>
        <v/>
      </c>
      <c r="H40" s="9">
        <f>IFERROR(C40/D40-1,"")</f>
        <v/>
      </c>
    </row>
    <row r="41">
      <c r="A41" t="inlineStr">
        <is>
          <t>1.02.04</t>
        </is>
      </c>
      <c r="B41" t="inlineStr">
        <is>
          <t xml:space="preserve">      Intangível</t>
        </is>
      </c>
      <c r="C41" s="8" t="n">
        <v>83381</v>
      </c>
      <c r="D41" s="8" t="n">
        <v>20535</v>
      </c>
      <c r="E41" s="9">
        <f>IFERROR(C41/C$5,"")</f>
        <v/>
      </c>
      <c r="F41" s="9">
        <f>IFERROR(D41/D$5,"")</f>
        <v/>
      </c>
      <c r="G41" s="8">
        <f>C41-D41</f>
        <v/>
      </c>
      <c r="H41" s="9">
        <f>IFERROR(C41/D41-1,"")</f>
        <v/>
      </c>
    </row>
    <row r="42">
      <c r="A42" t="inlineStr">
        <is>
          <t>1.02.04.01</t>
        </is>
      </c>
      <c r="B42" t="inlineStr">
        <is>
          <t xml:space="preserve">         Intangíveis</t>
        </is>
      </c>
      <c r="C42" s="8" t="n">
        <v>83381</v>
      </c>
      <c r="D42" s="8" t="n">
        <v>20535</v>
      </c>
      <c r="E42" s="9">
        <f>IFERROR(C42/C$5,"")</f>
        <v/>
      </c>
      <c r="F42" s="9">
        <f>IFERROR(D42/D$5,"")</f>
        <v/>
      </c>
      <c r="G42" s="8">
        <f>C42-D42</f>
        <v/>
      </c>
      <c r="H42" s="9">
        <f>IFERROR(C42/D42-1,"")</f>
        <v/>
      </c>
    </row>
    <row r="43">
      <c r="A43" t="inlineStr">
        <is>
          <t>1.02.04.01.02</t>
        </is>
      </c>
      <c r="B43" t="inlineStr">
        <is>
          <t xml:space="preserve">            Intangível</t>
        </is>
      </c>
      <c r="C43" s="8" t="n">
        <v>83381</v>
      </c>
      <c r="D43" s="8" t="n">
        <v>20535</v>
      </c>
      <c r="E43" s="9">
        <f>IFERROR(C43/C$5,"")</f>
        <v/>
      </c>
      <c r="F43" s="9">
        <f>IFERROR(D43/D$5,"")</f>
        <v/>
      </c>
      <c r="G43" s="8">
        <f>C43-D43</f>
        <v/>
      </c>
      <c r="H43" s="9">
        <f>IFERROR(C43/D43-1,"")</f>
        <v/>
      </c>
    </row>
    <row r="45">
      <c r="A45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Balanco - Passivo e PL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2</t>
        </is>
      </c>
      <c r="B5" s="11" t="inlineStr">
        <is>
          <t>Passivo Total</t>
        </is>
      </c>
      <c r="C5" s="12" t="n">
        <v>8597497</v>
      </c>
      <c r="D5" s="12" t="n">
        <v>7337876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2.01</t>
        </is>
      </c>
      <c r="B6" s="11" t="inlineStr">
        <is>
          <t xml:space="preserve">   Passivo Circulante</t>
        </is>
      </c>
      <c r="C6" s="12" t="n">
        <v>598298</v>
      </c>
      <c r="D6" s="12" t="n">
        <v>681184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2.01.01</t>
        </is>
      </c>
      <c r="B7" t="inlineStr">
        <is>
          <t xml:space="preserve">      Obrigações Sociais e Trabalhistas</t>
        </is>
      </c>
      <c r="C7" s="8" t="n">
        <v>87907</v>
      </c>
      <c r="D7" s="8" t="n">
        <v>93000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t="inlineStr">
        <is>
          <t>2.01.01.02</t>
        </is>
      </c>
      <c r="B8" t="inlineStr">
        <is>
          <t xml:space="preserve">         Obrigações Trabalhistas</t>
        </is>
      </c>
      <c r="C8" s="8" t="n">
        <v>87907</v>
      </c>
      <c r="D8" s="8" t="n">
        <v>93000</v>
      </c>
      <c r="E8" s="9">
        <f>IFERROR(C8/C$5,"")</f>
        <v/>
      </c>
      <c r="F8" s="9">
        <f>IFERROR(D8/D$5,"")</f>
        <v/>
      </c>
      <c r="G8" s="8">
        <f>C8-D8</f>
        <v/>
      </c>
      <c r="H8" s="9">
        <f>IFERROR(C8/D8-1,"")</f>
        <v/>
      </c>
    </row>
    <row r="9">
      <c r="A9" t="inlineStr">
        <is>
          <t>2.01.02</t>
        </is>
      </c>
      <c r="B9" t="inlineStr">
        <is>
          <t xml:space="preserve">      Fornecedores</t>
        </is>
      </c>
      <c r="C9" s="8" t="n">
        <v>255673</v>
      </c>
      <c r="D9" s="8" t="n">
        <v>269083</v>
      </c>
      <c r="E9" s="9">
        <f>IFERROR(C9/C$5,"")</f>
        <v/>
      </c>
      <c r="F9" s="9">
        <f>IFERROR(D9/D$5,"")</f>
        <v/>
      </c>
      <c r="G9" s="8">
        <f>C9-D9</f>
        <v/>
      </c>
      <c r="H9" s="9">
        <f>IFERROR(C9/D9-1,"")</f>
        <v/>
      </c>
    </row>
    <row r="10">
      <c r="A10" t="inlineStr">
        <is>
          <t>2.01.02.01</t>
        </is>
      </c>
      <c r="B10" t="inlineStr">
        <is>
          <t xml:space="preserve">         Fornecedores Nacionais</t>
        </is>
      </c>
      <c r="C10" s="8" t="n">
        <v>248041</v>
      </c>
      <c r="D10" s="8" t="n">
        <v>266302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2.01.02.02</t>
        </is>
      </c>
      <c r="B11" t="inlineStr">
        <is>
          <t xml:space="preserve">         Fornecedores Estrangeiros</t>
        </is>
      </c>
      <c r="C11" s="8" t="n">
        <v>7632</v>
      </c>
      <c r="D11" s="8" t="n">
        <v>2781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2.01.03</t>
        </is>
      </c>
      <c r="B12" t="inlineStr">
        <is>
          <t xml:space="preserve">      Obrigações Fiscais</t>
        </is>
      </c>
      <c r="C12" s="8" t="n">
        <v>41800</v>
      </c>
      <c r="D12" s="8" t="n">
        <v>58643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2.01.03.01</t>
        </is>
      </c>
      <c r="B13" t="inlineStr">
        <is>
          <t xml:space="preserve">         Obrigações Fiscais Federais</t>
        </is>
      </c>
      <c r="C13" s="8" t="n">
        <v>30677</v>
      </c>
      <c r="D13" s="8" t="n">
        <v>43395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t="inlineStr">
        <is>
          <t>2.01.03.01.02</t>
        </is>
      </c>
      <c r="B14" t="inlineStr">
        <is>
          <t xml:space="preserve">            Tributos a Recolher</t>
        </is>
      </c>
      <c r="C14" s="8" t="n">
        <v>30677</v>
      </c>
      <c r="D14" s="8" t="n">
        <v>43395</v>
      </c>
      <c r="E14" s="9">
        <f>IFERROR(C14/C$5,"")</f>
        <v/>
      </c>
      <c r="F14" s="9">
        <f>IFERROR(D14/D$5,"")</f>
        <v/>
      </c>
      <c r="G14" s="8">
        <f>C14-D14</f>
        <v/>
      </c>
      <c r="H14" s="9">
        <f>IFERROR(C14/D14-1,"")</f>
        <v/>
      </c>
    </row>
    <row r="15">
      <c r="A15" t="inlineStr">
        <is>
          <t>2.01.03.02</t>
        </is>
      </c>
      <c r="B15" t="inlineStr">
        <is>
          <t xml:space="preserve">         Obrigações Fiscais Estaduais</t>
        </is>
      </c>
      <c r="C15" s="8" t="n">
        <v>8619</v>
      </c>
      <c r="D15" s="8" t="n">
        <v>12194</v>
      </c>
      <c r="E15" s="9">
        <f>IFERROR(C15/C$5,"")</f>
        <v/>
      </c>
      <c r="F15" s="9">
        <f>IFERROR(D15/D$5,"")</f>
        <v/>
      </c>
      <c r="G15" s="8">
        <f>C15-D15</f>
        <v/>
      </c>
      <c r="H15" s="9">
        <f>IFERROR(C15/D15-1,"")</f>
        <v/>
      </c>
    </row>
    <row r="16">
      <c r="A16" t="inlineStr">
        <is>
          <t>2.01.03.03</t>
        </is>
      </c>
      <c r="B16" t="inlineStr">
        <is>
          <t xml:space="preserve">         Obrigações Fiscais Municipais</t>
        </is>
      </c>
      <c r="C16" s="8" t="n">
        <v>2504</v>
      </c>
      <c r="D16" s="8" t="n">
        <v>3054</v>
      </c>
      <c r="E16" s="9">
        <f>IFERROR(C16/C$5,"")</f>
        <v/>
      </c>
      <c r="F16" s="9">
        <f>IFERROR(D16/D$5,"")</f>
        <v/>
      </c>
      <c r="G16" s="8">
        <f>C16-D16</f>
        <v/>
      </c>
      <c r="H16" s="9">
        <f>IFERROR(C16/D16-1,"")</f>
        <v/>
      </c>
    </row>
    <row r="17">
      <c r="A17" t="inlineStr">
        <is>
          <t>2.01.04</t>
        </is>
      </c>
      <c r="B17" t="inlineStr">
        <is>
          <t xml:space="preserve">      Empréstimos e Financiamentos</t>
        </is>
      </c>
      <c r="C17" s="8" t="n">
        <v>64914</v>
      </c>
      <c r="D17" s="8" t="n">
        <v>20907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t="inlineStr">
        <is>
          <t>2.01.04.02</t>
        </is>
      </c>
      <c r="B18" t="inlineStr">
        <is>
          <t xml:space="preserve">         Debêntures</t>
        </is>
      </c>
      <c r="C18" s="8" t="n">
        <v>64914</v>
      </c>
      <c r="D18" s="8" t="n">
        <v>20907</v>
      </c>
      <c r="E18" s="9">
        <f>IFERROR(C18/C$5,"")</f>
        <v/>
      </c>
      <c r="F18" s="9">
        <f>IFERROR(D18/D$5,"")</f>
        <v/>
      </c>
      <c r="G18" s="8">
        <f>C18-D18</f>
        <v/>
      </c>
      <c r="H18" s="9">
        <f>IFERROR(C18/D18-1,"")</f>
        <v/>
      </c>
    </row>
    <row r="19">
      <c r="A19" t="inlineStr">
        <is>
          <t>2.01.05</t>
        </is>
      </c>
      <c r="B19" t="inlineStr">
        <is>
          <t xml:space="preserve">      Outras Obrigações</t>
        </is>
      </c>
      <c r="C19" s="8" t="n">
        <v>143276</v>
      </c>
      <c r="D19" s="8" t="n">
        <v>239209</v>
      </c>
      <c r="E19" s="9">
        <f>IFERROR(C19/C$5,"")</f>
        <v/>
      </c>
      <c r="F19" s="9">
        <f>IFERROR(D19/D$5,"")</f>
        <v/>
      </c>
      <c r="G19" s="8">
        <f>C19-D19</f>
        <v/>
      </c>
      <c r="H19" s="9">
        <f>IFERROR(C19/D19-1,"")</f>
        <v/>
      </c>
    </row>
    <row r="20">
      <c r="A20" t="inlineStr">
        <is>
          <t>2.01.05.02</t>
        </is>
      </c>
      <c r="B20" t="inlineStr">
        <is>
          <t xml:space="preserve">         Outros</t>
        </is>
      </c>
      <c r="C20" s="8" t="n">
        <v>143276</v>
      </c>
      <c r="D20" s="8" t="n">
        <v>239209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t="inlineStr">
        <is>
          <t>2.01.05.02.01</t>
        </is>
      </c>
      <c r="B21" t="inlineStr">
        <is>
          <t xml:space="preserve">            Dividendos e JCP a Pagar</t>
        </is>
      </c>
      <c r="C21" s="8" t="n">
        <v>100000</v>
      </c>
      <c r="D21" s="8" t="n">
        <v>0</v>
      </c>
      <c r="E21" s="9">
        <f>IFERROR(C21/C$5,"")</f>
        <v/>
      </c>
      <c r="F21" s="9">
        <f>IFERROR(D21/D$5,"")</f>
        <v/>
      </c>
      <c r="G21" s="8">
        <f>C21-D21</f>
        <v/>
      </c>
      <c r="H21" s="9">
        <f>IFERROR(C21/D21-1,"")</f>
        <v/>
      </c>
    </row>
    <row r="22">
      <c r="A22" t="inlineStr">
        <is>
          <t>2.01.05.02.04</t>
        </is>
      </c>
      <c r="B22" t="inlineStr">
        <is>
          <t xml:space="preserve">            Valores a Pagar de Arrendamentos</t>
        </is>
      </c>
      <c r="C22" s="8" t="n">
        <v>18885</v>
      </c>
      <c r="D22" s="8" t="n">
        <v>12829</v>
      </c>
      <c r="E22" s="9">
        <f>IFERROR(C22/C$5,"")</f>
        <v/>
      </c>
      <c r="F22" s="9">
        <f>IFERROR(D22/D$5,"")</f>
        <v/>
      </c>
      <c r="G22" s="8">
        <f>C22-D22</f>
        <v/>
      </c>
      <c r="H22" s="9">
        <f>IFERROR(C22/D22-1,"")</f>
        <v/>
      </c>
    </row>
    <row r="23">
      <c r="A23" t="inlineStr">
        <is>
          <t>2.01.05.02.05</t>
        </is>
      </c>
      <c r="B23" t="inlineStr">
        <is>
          <t xml:space="preserve">            Instrumentos Financeiros Derivativos</t>
        </is>
      </c>
      <c r="C23" s="8" t="n">
        <v>0</v>
      </c>
      <c r="D23" s="8" t="n">
        <v>1003</v>
      </c>
      <c r="E23" s="9">
        <f>IFERROR(C23/C$5,"")</f>
        <v/>
      </c>
      <c r="F23" s="9">
        <f>IFERROR(D23/D$5,"")</f>
        <v/>
      </c>
      <c r="G23" s="8">
        <f>C23-D23</f>
        <v/>
      </c>
      <c r="H23" s="9">
        <f>IFERROR(C23/D23-1,"")</f>
        <v/>
      </c>
    </row>
    <row r="24">
      <c r="A24" t="inlineStr">
        <is>
          <t>2.01.05.02.06</t>
        </is>
      </c>
      <c r="B24" t="inlineStr">
        <is>
          <t xml:space="preserve">            Outras Contas a Pagar</t>
        </is>
      </c>
      <c r="C24" s="8" t="n">
        <v>5876</v>
      </c>
      <c r="D24" s="8" t="n">
        <v>12300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5">
      <c r="A25" t="inlineStr">
        <is>
          <t>2.01.05.02.07</t>
        </is>
      </c>
      <c r="B25" t="inlineStr">
        <is>
          <t xml:space="preserve">            Valores a Pagar por Aquisições</t>
        </is>
      </c>
      <c r="C25" s="8" t="n">
        <v>18515</v>
      </c>
      <c r="D25" s="8" t="n">
        <v>213077</v>
      </c>
      <c r="E25" s="9">
        <f>IFERROR(C25/C$5,"")</f>
        <v/>
      </c>
      <c r="F25" s="9">
        <f>IFERROR(D25/D$5,"")</f>
        <v/>
      </c>
      <c r="G25" s="8">
        <f>C25-D25</f>
        <v/>
      </c>
      <c r="H25" s="9">
        <f>IFERROR(C25/D25-1,"")</f>
        <v/>
      </c>
    </row>
    <row r="26">
      <c r="A26" t="inlineStr">
        <is>
          <t>2.01.06</t>
        </is>
      </c>
      <c r="B26" t="inlineStr">
        <is>
          <t xml:space="preserve">      Provisões</t>
        </is>
      </c>
      <c r="C26" s="8" t="n">
        <v>4728</v>
      </c>
      <c r="D26" s="8" t="n">
        <v>342</v>
      </c>
      <c r="E26" s="9">
        <f>IFERROR(C26/C$5,"")</f>
        <v/>
      </c>
      <c r="F26" s="9">
        <f>IFERROR(D26/D$5,"")</f>
        <v/>
      </c>
      <c r="G26" s="8">
        <f>C26-D26</f>
        <v/>
      </c>
      <c r="H26" s="9">
        <f>IFERROR(C26/D26-1,"")</f>
        <v/>
      </c>
    </row>
    <row r="27">
      <c r="A27" t="inlineStr">
        <is>
          <t>2.01.06.02</t>
        </is>
      </c>
      <c r="B27" t="inlineStr">
        <is>
          <t xml:space="preserve">         Outras Provisões</t>
        </is>
      </c>
      <c r="C27" s="8" t="n">
        <v>4728</v>
      </c>
      <c r="D27" s="8" t="n">
        <v>342</v>
      </c>
      <c r="E27" s="9">
        <f>IFERROR(C27/C$5,"")</f>
        <v/>
      </c>
      <c r="F27" s="9">
        <f>IFERROR(D27/D$5,"")</f>
        <v/>
      </c>
      <c r="G27" s="8">
        <f>C27-D27</f>
        <v/>
      </c>
      <c r="H27" s="9">
        <f>IFERROR(C27/D27-1,"")</f>
        <v/>
      </c>
    </row>
    <row r="28">
      <c r="A28" t="inlineStr">
        <is>
          <t>2.01.06.02.04</t>
        </is>
      </c>
      <c r="B28" t="inlineStr">
        <is>
          <t xml:space="preserve">            Provisão para Abandono de Poços</t>
        </is>
      </c>
      <c r="C28" s="8" t="n">
        <v>4728</v>
      </c>
      <c r="D28" s="8" t="n">
        <v>342</v>
      </c>
      <c r="E28" s="9">
        <f>IFERROR(C28/C$5,"")</f>
        <v/>
      </c>
      <c r="F28" s="9">
        <f>IFERROR(D28/D$5,"")</f>
        <v/>
      </c>
      <c r="G28" s="8">
        <f>C28-D28</f>
        <v/>
      </c>
      <c r="H28" s="9">
        <f>IFERROR(C28/D28-1,"")</f>
        <v/>
      </c>
    </row>
    <row r="29">
      <c r="A29" s="11" t="inlineStr">
        <is>
          <t>2.02</t>
        </is>
      </c>
      <c r="B29" s="11" t="inlineStr">
        <is>
          <t xml:space="preserve">   Passivo Não Circulante</t>
        </is>
      </c>
      <c r="C29" s="12" t="n">
        <v>3668483</v>
      </c>
      <c r="D29" s="12" t="n">
        <v>2421415</v>
      </c>
      <c r="E29" s="13">
        <f>IFERROR(C29/C$5,"")</f>
        <v/>
      </c>
      <c r="F29" s="13">
        <f>IFERROR(D29/D$5,"")</f>
        <v/>
      </c>
      <c r="G29" s="12">
        <f>C29-D29</f>
        <v/>
      </c>
      <c r="H29" s="13">
        <f>IFERROR(C29/D29-1,"")</f>
        <v/>
      </c>
    </row>
    <row r="30">
      <c r="A30" t="inlineStr">
        <is>
          <t>2.02.01</t>
        </is>
      </c>
      <c r="B30" t="inlineStr">
        <is>
          <t xml:space="preserve">      Empréstimos e Financiamentos</t>
        </is>
      </c>
      <c r="C30" s="8" t="n">
        <v>3040102</v>
      </c>
      <c r="D30" s="8" t="n">
        <v>1771414</v>
      </c>
      <c r="E30" s="9">
        <f>IFERROR(C30/C$5,"")</f>
        <v/>
      </c>
      <c r="F30" s="9">
        <f>IFERROR(D30/D$5,"")</f>
        <v/>
      </c>
      <c r="G30" s="8">
        <f>C30-D30</f>
        <v/>
      </c>
      <c r="H30" s="9">
        <f>IFERROR(C30/D30-1,"")</f>
        <v/>
      </c>
    </row>
    <row r="31">
      <c r="A31" t="inlineStr">
        <is>
          <t>2.02.01.02</t>
        </is>
      </c>
      <c r="B31" t="inlineStr">
        <is>
          <t xml:space="preserve">         Debêntures</t>
        </is>
      </c>
      <c r="C31" s="8" t="n">
        <v>3040102</v>
      </c>
      <c r="D31" s="8" t="n">
        <v>1771414</v>
      </c>
      <c r="E31" s="9">
        <f>IFERROR(C31/C$5,"")</f>
        <v/>
      </c>
      <c r="F31" s="9">
        <f>IFERROR(D31/D$5,"")</f>
        <v/>
      </c>
      <c r="G31" s="8">
        <f>C31-D31</f>
        <v/>
      </c>
      <c r="H31" s="9">
        <f>IFERROR(C31/D31-1,"")</f>
        <v/>
      </c>
    </row>
    <row r="32">
      <c r="A32" t="inlineStr">
        <is>
          <t>2.02.02</t>
        </is>
      </c>
      <c r="B32" t="inlineStr">
        <is>
          <t xml:space="preserve">      Outras Obrigações</t>
        </is>
      </c>
      <c r="C32" s="8" t="n">
        <v>426676</v>
      </c>
      <c r="D32" s="8" t="n">
        <v>511284</v>
      </c>
      <c r="E32" s="9">
        <f>IFERROR(C32/C$5,"")</f>
        <v/>
      </c>
      <c r="F32" s="9">
        <f>IFERROR(D32/D$5,"")</f>
        <v/>
      </c>
      <c r="G32" s="8">
        <f>C32-D32</f>
        <v/>
      </c>
      <c r="H32" s="9">
        <f>IFERROR(C32/D32-1,"")</f>
        <v/>
      </c>
    </row>
    <row r="33">
      <c r="A33" t="inlineStr">
        <is>
          <t>2.02.02.02</t>
        </is>
      </c>
      <c r="B33" t="inlineStr">
        <is>
          <t xml:space="preserve">         Outros</t>
        </is>
      </c>
      <c r="C33" s="8" t="n">
        <v>426676</v>
      </c>
      <c r="D33" s="8" t="n">
        <v>511284</v>
      </c>
      <c r="E33" s="9">
        <f>IFERROR(C33/C$5,"")</f>
        <v/>
      </c>
      <c r="F33" s="9">
        <f>IFERROR(D33/D$5,"")</f>
        <v/>
      </c>
      <c r="G33" s="8">
        <f>C33-D33</f>
        <v/>
      </c>
      <c r="H33" s="9">
        <f>IFERROR(C33/D33-1,"")</f>
        <v/>
      </c>
    </row>
    <row r="34">
      <c r="A34" t="inlineStr">
        <is>
          <t>2.02.02.02.03</t>
        </is>
      </c>
      <c r="B34" t="inlineStr">
        <is>
          <t xml:space="preserve">            Valores a Pagar de Arrendamentos</t>
        </is>
      </c>
      <c r="C34" s="8" t="n">
        <v>4712</v>
      </c>
      <c r="D34" s="8" t="n">
        <v>2413</v>
      </c>
      <c r="E34" s="9">
        <f>IFERROR(C34/C$5,"")</f>
        <v/>
      </c>
      <c r="F34" s="9">
        <f>IFERROR(D34/D$5,"")</f>
        <v/>
      </c>
      <c r="G34" s="8">
        <f>C34-D34</f>
        <v/>
      </c>
      <c r="H34" s="9">
        <f>IFERROR(C34/D34-1,"")</f>
        <v/>
      </c>
    </row>
    <row r="35">
      <c r="A35" t="inlineStr">
        <is>
          <t>2.02.02.02.04</t>
        </is>
      </c>
      <c r="B35" t="inlineStr">
        <is>
          <t xml:space="preserve">            Instrumentos Financeiros Derivativos</t>
        </is>
      </c>
      <c r="C35" s="8" t="n">
        <v>88449</v>
      </c>
      <c r="D35" s="8" t="n">
        <v>367837</v>
      </c>
      <c r="E35" s="9">
        <f>IFERROR(C35/C$5,"")</f>
        <v/>
      </c>
      <c r="F35" s="9">
        <f>IFERROR(D35/D$5,"")</f>
        <v/>
      </c>
      <c r="G35" s="8">
        <f>C35-D35</f>
        <v/>
      </c>
      <c r="H35" s="9">
        <f>IFERROR(C35/D35-1,"")</f>
        <v/>
      </c>
    </row>
    <row r="36">
      <c r="A36" t="inlineStr">
        <is>
          <t>2.02.02.02.06</t>
        </is>
      </c>
      <c r="B36" t="inlineStr">
        <is>
          <t xml:space="preserve">            Outras Contas a Pagar</t>
        </is>
      </c>
      <c r="C36" s="8" t="n">
        <v>3039</v>
      </c>
      <c r="D36" s="8" t="n">
        <v>10558</v>
      </c>
      <c r="E36" s="9">
        <f>IFERROR(C36/C$5,"")</f>
        <v/>
      </c>
      <c r="F36" s="9">
        <f>IFERROR(D36/D$5,"")</f>
        <v/>
      </c>
      <c r="G36" s="8">
        <f>C36-D36</f>
        <v/>
      </c>
      <c r="H36" s="9">
        <f>IFERROR(C36/D36-1,"")</f>
        <v/>
      </c>
    </row>
    <row r="37">
      <c r="A37" t="inlineStr">
        <is>
          <t>2.02.02.02.07</t>
        </is>
      </c>
      <c r="B37" t="inlineStr">
        <is>
          <t xml:space="preserve">            Fornecedores</t>
        </is>
      </c>
      <c r="C37" s="8" t="n">
        <v>130476</v>
      </c>
      <c r="D37" s="8" t="n">
        <v>130476</v>
      </c>
      <c r="E37" s="9">
        <f>IFERROR(C37/C$5,"")</f>
        <v/>
      </c>
      <c r="F37" s="9">
        <f>IFERROR(D37/D$5,"")</f>
        <v/>
      </c>
      <c r="G37" s="8">
        <f>C37-D37</f>
        <v/>
      </c>
      <c r="H37" s="9">
        <f>IFERROR(C37/D37-1,"")</f>
        <v/>
      </c>
    </row>
    <row r="38">
      <c r="A38" t="inlineStr">
        <is>
          <t>2.02.02.02.08</t>
        </is>
      </c>
      <c r="B38" t="inlineStr">
        <is>
          <t xml:space="preserve">            Dividendos a pagar</t>
        </is>
      </c>
      <c r="C38" s="8" t="n">
        <v>200000</v>
      </c>
      <c r="D38" s="8" t="n">
        <v>0</v>
      </c>
      <c r="E38" s="9">
        <f>IFERROR(C38/C$5,"")</f>
        <v/>
      </c>
      <c r="F38" s="9">
        <f>IFERROR(D38/D$5,"")</f>
        <v/>
      </c>
      <c r="G38" s="8">
        <f>C38-D38</f>
        <v/>
      </c>
      <c r="H38" s="9">
        <f>IFERROR(C38/D38-1,"")</f>
        <v/>
      </c>
    </row>
    <row r="39">
      <c r="A39" t="inlineStr">
        <is>
          <t>2.02.03</t>
        </is>
      </c>
      <c r="B39" t="inlineStr">
        <is>
          <t xml:space="preserve">      Tributos Diferidos</t>
        </is>
      </c>
      <c r="C39" s="8" t="n">
        <v>60324</v>
      </c>
      <c r="D39" s="8" t="n">
        <v>0</v>
      </c>
      <c r="E39" s="9">
        <f>IFERROR(C39/C$5,"")</f>
        <v/>
      </c>
      <c r="F39" s="9">
        <f>IFERROR(D39/D$5,"")</f>
        <v/>
      </c>
      <c r="G39" s="8">
        <f>C39-D39</f>
        <v/>
      </c>
      <c r="H39" s="9">
        <f>IFERROR(C39/D39-1,"")</f>
        <v/>
      </c>
    </row>
    <row r="40">
      <c r="A40" t="inlineStr">
        <is>
          <t>2.02.03.01</t>
        </is>
      </c>
      <c r="B40" t="inlineStr">
        <is>
          <t xml:space="preserve">         Imposto de Renda e Contribuição Social Diferidos</t>
        </is>
      </c>
      <c r="C40" s="8" t="n">
        <v>60324</v>
      </c>
      <c r="D40" s="8" t="n">
        <v>0</v>
      </c>
      <c r="E40" s="9">
        <f>IFERROR(C40/C$5,"")</f>
        <v/>
      </c>
      <c r="F40" s="9">
        <f>IFERROR(D40/D$5,"")</f>
        <v/>
      </c>
      <c r="G40" s="8">
        <f>C40-D40</f>
        <v/>
      </c>
      <c r="H40" s="9">
        <f>IFERROR(C40/D40-1,"")</f>
        <v/>
      </c>
    </row>
    <row r="41">
      <c r="A41" t="inlineStr">
        <is>
          <t>2.02.03.01.01</t>
        </is>
      </c>
      <c r="B41" t="inlineStr">
        <is>
          <t xml:space="preserve">            Imposto de Renda e Contribuição Social Diferidos</t>
        </is>
      </c>
      <c r="C41" s="8" t="n">
        <v>60324</v>
      </c>
      <c r="D41" s="8" t="n">
        <v>0</v>
      </c>
      <c r="E41" s="9">
        <f>IFERROR(C41/C$5,"")</f>
        <v/>
      </c>
      <c r="F41" s="9">
        <f>IFERROR(D41/D$5,"")</f>
        <v/>
      </c>
      <c r="G41" s="8">
        <f>C41-D41</f>
        <v/>
      </c>
      <c r="H41" s="9">
        <f>IFERROR(C41/D41-1,"")</f>
        <v/>
      </c>
    </row>
    <row r="42">
      <c r="A42" t="inlineStr">
        <is>
          <t>2.02.04</t>
        </is>
      </c>
      <c r="B42" t="inlineStr">
        <is>
          <t xml:space="preserve">      Provisões</t>
        </is>
      </c>
      <c r="C42" s="8" t="n">
        <v>141381</v>
      </c>
      <c r="D42" s="8" t="n">
        <v>138717</v>
      </c>
      <c r="E42" s="9">
        <f>IFERROR(C42/C$5,"")</f>
        <v/>
      </c>
      <c r="F42" s="9">
        <f>IFERROR(D42/D$5,"")</f>
        <v/>
      </c>
      <c r="G42" s="8">
        <f>C42-D42</f>
        <v/>
      </c>
      <c r="H42" s="9">
        <f>IFERROR(C42/D42-1,"")</f>
        <v/>
      </c>
    </row>
    <row r="43">
      <c r="A43" t="inlineStr">
        <is>
          <t>2.02.04.01</t>
        </is>
      </c>
      <c r="B43" t="inlineStr">
        <is>
          <t xml:space="preserve">         Provisões Fiscais Previdenciárias Trabalhistas e Cíveis</t>
        </is>
      </c>
      <c r="C43" s="8" t="n">
        <v>4006</v>
      </c>
      <c r="D43" s="8" t="n">
        <v>5110</v>
      </c>
      <c r="E43" s="9">
        <f>IFERROR(C43/C$5,"")</f>
        <v/>
      </c>
      <c r="F43" s="9">
        <f>IFERROR(D43/D$5,"")</f>
        <v/>
      </c>
      <c r="G43" s="8">
        <f>C43-D43</f>
        <v/>
      </c>
      <c r="H43" s="9">
        <f>IFERROR(C43/D43-1,"")</f>
        <v/>
      </c>
    </row>
    <row r="44">
      <c r="A44" t="inlineStr">
        <is>
          <t>2.02.04.01.01</t>
        </is>
      </c>
      <c r="B44" t="inlineStr">
        <is>
          <t xml:space="preserve">            Provisões Fiscais</t>
        </is>
      </c>
      <c r="C44" s="8" t="n">
        <v>1698</v>
      </c>
      <c r="D44" s="8" t="n">
        <v>1472</v>
      </c>
      <c r="E44" s="9">
        <f>IFERROR(C44/C$5,"")</f>
        <v/>
      </c>
      <c r="F44" s="9">
        <f>IFERROR(D44/D$5,"")</f>
        <v/>
      </c>
      <c r="G44" s="8">
        <f>C44-D44</f>
        <v/>
      </c>
      <c r="H44" s="9">
        <f>IFERROR(C44/D44-1,"")</f>
        <v/>
      </c>
    </row>
    <row r="45">
      <c r="A45" t="inlineStr">
        <is>
          <t>2.02.04.01.02</t>
        </is>
      </c>
      <c r="B45" t="inlineStr">
        <is>
          <t xml:space="preserve">            Provisões Previdenciárias e Trabalhistas</t>
        </is>
      </c>
      <c r="C45" s="8" t="n">
        <v>1874</v>
      </c>
      <c r="D45" s="8" t="n">
        <v>3252</v>
      </c>
      <c r="E45" s="9">
        <f>IFERROR(C45/C$5,"")</f>
        <v/>
      </c>
      <c r="F45" s="9">
        <f>IFERROR(D45/D$5,"")</f>
        <v/>
      </c>
      <c r="G45" s="8">
        <f>C45-D45</f>
        <v/>
      </c>
      <c r="H45" s="9">
        <f>IFERROR(C45/D45-1,"")</f>
        <v/>
      </c>
    </row>
    <row r="46">
      <c r="A46" t="inlineStr">
        <is>
          <t>2.02.04.01.05</t>
        </is>
      </c>
      <c r="B46" t="inlineStr">
        <is>
          <t xml:space="preserve">            Provisões Regulatórias</t>
        </is>
      </c>
      <c r="C46" s="8" t="n">
        <v>434</v>
      </c>
      <c r="D46" s="8" t="n">
        <v>386</v>
      </c>
      <c r="E46" s="9">
        <f>IFERROR(C46/C$5,"")</f>
        <v/>
      </c>
      <c r="F46" s="9">
        <f>IFERROR(D46/D$5,"")</f>
        <v/>
      </c>
      <c r="G46" s="8">
        <f>C46-D46</f>
        <v/>
      </c>
      <c r="H46" s="9">
        <f>IFERROR(C46/D46-1,"")</f>
        <v/>
      </c>
    </row>
    <row r="47">
      <c r="A47" t="inlineStr">
        <is>
          <t>2.02.04.02</t>
        </is>
      </c>
      <c r="B47" t="inlineStr">
        <is>
          <t xml:space="preserve">         Outras Provisões</t>
        </is>
      </c>
      <c r="C47" s="8" t="n">
        <v>137375</v>
      </c>
      <c r="D47" s="8" t="n">
        <v>133607</v>
      </c>
      <c r="E47" s="9">
        <f>IFERROR(C47/C$5,"")</f>
        <v/>
      </c>
      <c r="F47" s="9">
        <f>IFERROR(D47/D$5,"")</f>
        <v/>
      </c>
      <c r="G47" s="8">
        <f>C47-D47</f>
        <v/>
      </c>
      <c r="H47" s="9">
        <f>IFERROR(C47/D47-1,"")</f>
        <v/>
      </c>
    </row>
    <row r="48">
      <c r="A48" t="inlineStr">
        <is>
          <t>2.02.04.02.04</t>
        </is>
      </c>
      <c r="B48" t="inlineStr">
        <is>
          <t xml:space="preserve">            Provisão para Abandono de Poços</t>
        </is>
      </c>
      <c r="C48" s="8" t="n">
        <v>137375</v>
      </c>
      <c r="D48" s="8" t="n">
        <v>133607</v>
      </c>
      <c r="E48" s="9">
        <f>IFERROR(C48/C$5,"")</f>
        <v/>
      </c>
      <c r="F48" s="9">
        <f>IFERROR(D48/D$5,"")</f>
        <v/>
      </c>
      <c r="G48" s="8">
        <f>C48-D48</f>
        <v/>
      </c>
      <c r="H48" s="9">
        <f>IFERROR(C48/D48-1,"")</f>
        <v/>
      </c>
    </row>
    <row r="49">
      <c r="A49" s="11" t="inlineStr">
        <is>
          <t>2.03</t>
        </is>
      </c>
      <c r="B49" s="11" t="inlineStr">
        <is>
          <t xml:space="preserve">   Patrimônio Líquido</t>
        </is>
      </c>
      <c r="C49" s="12" t="n">
        <v>4330716</v>
      </c>
      <c r="D49" s="12" t="n">
        <v>4235277</v>
      </c>
      <c r="E49" s="13">
        <f>IFERROR(C49/C$5,"")</f>
        <v/>
      </c>
      <c r="F49" s="13">
        <f>IFERROR(D49/D$5,"")</f>
        <v/>
      </c>
      <c r="G49" s="12">
        <f>C49-D49</f>
        <v/>
      </c>
      <c r="H49" s="13">
        <f>IFERROR(C49/D49-1,"")</f>
        <v/>
      </c>
    </row>
    <row r="50">
      <c r="A50" t="inlineStr">
        <is>
          <t>2.03.01</t>
        </is>
      </c>
      <c r="B50" t="inlineStr">
        <is>
          <t xml:space="preserve">      Capital Social Realizado</t>
        </is>
      </c>
      <c r="C50" s="8" t="n">
        <v>2832624</v>
      </c>
      <c r="D50" s="8" t="n">
        <v>2832476</v>
      </c>
      <c r="E50" s="9">
        <f>IFERROR(C50/C$5,"")</f>
        <v/>
      </c>
      <c r="F50" s="9">
        <f>IFERROR(D50/D$5,"")</f>
        <v/>
      </c>
      <c r="G50" s="8">
        <f>C50-D50</f>
        <v/>
      </c>
      <c r="H50" s="9">
        <f>IFERROR(C50/D50-1,"")</f>
        <v/>
      </c>
    </row>
    <row r="51">
      <c r="A51" t="inlineStr">
        <is>
          <t>2.03.01.01</t>
        </is>
      </c>
      <c r="B51" t="inlineStr">
        <is>
          <t xml:space="preserve">         Capital Social</t>
        </is>
      </c>
      <c r="C51" s="8" t="n">
        <v>2832624</v>
      </c>
      <c r="D51" s="8" t="n">
        <v>2832476</v>
      </c>
      <c r="E51" s="9">
        <f>IFERROR(C51/C$5,"")</f>
        <v/>
      </c>
      <c r="F51" s="9">
        <f>IFERROR(D51/D$5,"")</f>
        <v/>
      </c>
      <c r="G51" s="8">
        <f>C51-D51</f>
        <v/>
      </c>
      <c r="H51" s="9">
        <f>IFERROR(C51/D51-1,"")</f>
        <v/>
      </c>
    </row>
    <row r="52">
      <c r="A52" t="inlineStr">
        <is>
          <t>2.03.02</t>
        </is>
      </c>
      <c r="B52" t="inlineStr">
        <is>
          <t xml:space="preserve">      Reservas de Capital</t>
        </is>
      </c>
      <c r="C52" s="8" t="n">
        <v>56174</v>
      </c>
      <c r="D52" s="8" t="n">
        <v>49375</v>
      </c>
      <c r="E52" s="9">
        <f>IFERROR(C52/C$5,"")</f>
        <v/>
      </c>
      <c r="F52" s="9">
        <f>IFERROR(D52/D$5,"")</f>
        <v/>
      </c>
      <c r="G52" s="8">
        <f>C52-D52</f>
        <v/>
      </c>
      <c r="H52" s="9">
        <f>IFERROR(C52/D52-1,"")</f>
        <v/>
      </c>
    </row>
    <row r="53">
      <c r="A53" t="inlineStr">
        <is>
          <t>2.03.02.05</t>
        </is>
      </c>
      <c r="B53" t="inlineStr">
        <is>
          <t xml:space="preserve">         Ações em Tesouraria</t>
        </is>
      </c>
      <c r="C53" s="8" t="n">
        <v>-7884</v>
      </c>
      <c r="D53" s="8" t="n">
        <v>-7035</v>
      </c>
      <c r="E53" s="9">
        <f>IFERROR(C53/C$5,"")</f>
        <v/>
      </c>
      <c r="F53" s="9">
        <f>IFERROR(D53/D$5,"")</f>
        <v/>
      </c>
      <c r="G53" s="8">
        <f>C53-D53</f>
        <v/>
      </c>
      <c r="H53" s="9">
        <f>IFERROR(C53/D53-1,"")</f>
        <v/>
      </c>
    </row>
    <row r="54">
      <c r="A54" t="inlineStr">
        <is>
          <t>2.03.02.07</t>
        </is>
      </c>
      <c r="B54" t="inlineStr">
        <is>
          <t xml:space="preserve">         Incentivo Fiscal de Redução de Imposto de Renda</t>
        </is>
      </c>
      <c r="C54" s="8" t="n">
        <v>18501</v>
      </c>
      <c r="D54" s="8" t="n">
        <v>18501</v>
      </c>
      <c r="E54" s="9">
        <f>IFERROR(C54/C$5,"")</f>
        <v/>
      </c>
      <c r="F54" s="9">
        <f>IFERROR(D54/D$5,"")</f>
        <v/>
      </c>
      <c r="G54" s="8">
        <f>C54-D54</f>
        <v/>
      </c>
      <c r="H54" s="9">
        <f>IFERROR(C54/D54-1,"")</f>
        <v/>
      </c>
    </row>
    <row r="55">
      <c r="A55" t="inlineStr">
        <is>
          <t>2.03.02.08</t>
        </is>
      </c>
      <c r="B55" t="inlineStr">
        <is>
          <t xml:space="preserve">         Ações e Opções de Compra de Ações Outorgadas</t>
        </is>
      </c>
      <c r="C55" s="8" t="n">
        <v>45557</v>
      </c>
      <c r="D55" s="8" t="n">
        <v>37909</v>
      </c>
      <c r="E55" s="9">
        <f>IFERROR(C55/C$5,"")</f>
        <v/>
      </c>
      <c r="F55" s="9">
        <f>IFERROR(D55/D$5,"")</f>
        <v/>
      </c>
      <c r="G55" s="8">
        <f>C55-D55</f>
        <v/>
      </c>
      <c r="H55" s="9">
        <f>IFERROR(C55/D55-1,"")</f>
        <v/>
      </c>
    </row>
    <row r="56">
      <c r="A56" t="inlineStr">
        <is>
          <t>2.03.04</t>
        </is>
      </c>
      <c r="B56" t="inlineStr">
        <is>
          <t xml:space="preserve">      Reservas de Lucros</t>
        </is>
      </c>
      <c r="C56" s="8" t="n">
        <v>1393897</v>
      </c>
      <c r="D56" s="8" t="n">
        <v>1318945</v>
      </c>
      <c r="E56" s="9">
        <f>IFERROR(C56/C$5,"")</f>
        <v/>
      </c>
      <c r="F56" s="9">
        <f>IFERROR(D56/D$5,"")</f>
        <v/>
      </c>
      <c r="G56" s="8">
        <f>C56-D56</f>
        <v/>
      </c>
      <c r="H56" s="9">
        <f>IFERROR(C56/D56-1,"")</f>
        <v/>
      </c>
    </row>
    <row r="57">
      <c r="A57" t="inlineStr">
        <is>
          <t>2.03.04.01</t>
        </is>
      </c>
      <c r="B57" t="inlineStr">
        <is>
          <t xml:space="preserve">         Reserva Legal</t>
        </is>
      </c>
      <c r="C57" s="8" t="n">
        <v>178942</v>
      </c>
      <c r="D57" s="8" t="n">
        <v>147024</v>
      </c>
      <c r="E57" s="9">
        <f>IFERROR(C57/C$5,"")</f>
        <v/>
      </c>
      <c r="F57" s="9">
        <f>IFERROR(D57/D$5,"")</f>
        <v/>
      </c>
      <c r="G57" s="8">
        <f>C57-D57</f>
        <v/>
      </c>
      <c r="H57" s="9">
        <f>IFERROR(C57/D57-1,"")</f>
        <v/>
      </c>
    </row>
    <row r="58">
      <c r="A58" t="inlineStr">
        <is>
          <t>2.03.04.07</t>
        </is>
      </c>
      <c r="B58" t="inlineStr">
        <is>
          <t xml:space="preserve">         Reserva de Incentivos Fiscais</t>
        </is>
      </c>
      <c r="C58" s="8" t="n">
        <v>149345</v>
      </c>
      <c r="D58" s="8" t="n">
        <v>126110</v>
      </c>
      <c r="E58" s="9">
        <f>IFERROR(C58/C$5,"")</f>
        <v/>
      </c>
      <c r="F58" s="9">
        <f>IFERROR(D58/D$5,"")</f>
        <v/>
      </c>
      <c r="G58" s="8">
        <f>C58-D58</f>
        <v/>
      </c>
      <c r="H58" s="9">
        <f>IFERROR(C58/D58-1,"")</f>
        <v/>
      </c>
    </row>
    <row r="59">
      <c r="A59" t="inlineStr">
        <is>
          <t>2.03.04.12</t>
        </is>
      </c>
      <c r="B59" t="inlineStr">
        <is>
          <t xml:space="preserve">         Reserva para Investimento e Expansão</t>
        </is>
      </c>
      <c r="C59" s="8" t="n">
        <v>1065610</v>
      </c>
      <c r="D59" s="8" t="n">
        <v>1045811</v>
      </c>
      <c r="E59" s="9">
        <f>IFERROR(C59/C$5,"")</f>
        <v/>
      </c>
      <c r="F59" s="9">
        <f>IFERROR(D59/D$5,"")</f>
        <v/>
      </c>
      <c r="G59" s="8">
        <f>C59-D59</f>
        <v/>
      </c>
      <c r="H59" s="9">
        <f>IFERROR(C59/D59-1,"")</f>
        <v/>
      </c>
    </row>
    <row r="60">
      <c r="A60" t="inlineStr">
        <is>
          <t>2.03.06</t>
        </is>
      </c>
      <c r="B60" t="inlineStr">
        <is>
          <t xml:space="preserve">      Ajustes de Avaliação Patrimonial</t>
        </is>
      </c>
      <c r="C60" s="8" t="n">
        <v>13540</v>
      </c>
      <c r="D60" s="8" t="n">
        <v>0</v>
      </c>
      <c r="E60" s="9">
        <f>IFERROR(C60/C$5,"")</f>
        <v/>
      </c>
      <c r="F60" s="9">
        <f>IFERROR(D60/D$5,"")</f>
        <v/>
      </c>
      <c r="G60" s="8">
        <f>C60-D60</f>
        <v/>
      </c>
      <c r="H60" s="9">
        <f>IFERROR(C60/D60-1,"")</f>
        <v/>
      </c>
    </row>
    <row r="61">
      <c r="A61" t="inlineStr">
        <is>
          <t>2.03.06.01</t>
        </is>
      </c>
      <c r="B61" t="inlineStr">
        <is>
          <t xml:space="preserve">         Ajustes de Avaliação Patrimonial</t>
        </is>
      </c>
      <c r="C61" s="8" t="n">
        <v>13540</v>
      </c>
      <c r="D61" s="8" t="n">
        <v>0</v>
      </c>
      <c r="E61" s="9">
        <f>IFERROR(C61/C$5,"")</f>
        <v/>
      </c>
      <c r="F61" s="9">
        <f>IFERROR(D61/D$5,"")</f>
        <v/>
      </c>
      <c r="G61" s="8">
        <f>C61-D61</f>
        <v/>
      </c>
      <c r="H61" s="9">
        <f>IFERROR(C61/D61-1,"")</f>
        <v/>
      </c>
    </row>
    <row r="62">
      <c r="A62" t="inlineStr">
        <is>
          <t>2.03.08</t>
        </is>
      </c>
      <c r="B62" t="inlineStr">
        <is>
          <t xml:space="preserve">      Outros Resultados Abrangentes</t>
        </is>
      </c>
      <c r="C62" s="8" t="n">
        <v>34481</v>
      </c>
      <c r="D62" s="8" t="n">
        <v>34481</v>
      </c>
      <c r="E62" s="9">
        <f>IFERROR(C62/C$5,"")</f>
        <v/>
      </c>
      <c r="F62" s="9">
        <f>IFERROR(D62/D$5,"")</f>
        <v/>
      </c>
      <c r="G62" s="8">
        <f>C62-D62</f>
        <v/>
      </c>
      <c r="H62" s="9">
        <f>IFERROR(C62/D62-1,"")</f>
        <v/>
      </c>
    </row>
    <row r="63">
      <c r="A63" t="inlineStr">
        <is>
          <t>2.03.08.01</t>
        </is>
      </c>
      <c r="B63" t="inlineStr">
        <is>
          <t xml:space="preserve">         Transação de Capital</t>
        </is>
      </c>
      <c r="C63" s="8" t="n">
        <v>34481</v>
      </c>
      <c r="D63" s="8" t="n">
        <v>34481</v>
      </c>
      <c r="E63" s="9">
        <f>IFERROR(C63/C$5,"")</f>
        <v/>
      </c>
      <c r="F63" s="9">
        <f>IFERROR(D63/D$5,"")</f>
        <v/>
      </c>
      <c r="G63" s="8">
        <f>C63-D63</f>
        <v/>
      </c>
      <c r="H63" s="9">
        <f>IFERROR(C63/D63-1,"")</f>
        <v/>
      </c>
    </row>
    <row r="65">
      <c r="A65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Resultado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3.01</t>
        </is>
      </c>
      <c r="B5" s="11" t="inlineStr">
        <is>
          <t xml:space="preserve">   Receita de Venda de Bens e/ou Serviços</t>
        </is>
      </c>
      <c r="C5" s="12" t="n">
        <v>2712778</v>
      </c>
      <c r="D5" s="12" t="n">
        <v>2884640</v>
      </c>
      <c r="E5" s="13">
        <f>IFERROR(C5/C$5,"")</f>
        <v/>
      </c>
      <c r="F5" s="13">
        <f>IFERROR(D5/D$5,"")</f>
        <v/>
      </c>
      <c r="G5" s="12">
        <f>C5-D5</f>
        <v/>
      </c>
      <c r="H5" s="13">
        <f>IFERROR(C5/D5-1,"")</f>
        <v/>
      </c>
    </row>
    <row r="6">
      <c r="A6" s="11" t="inlineStr">
        <is>
          <t>3.02</t>
        </is>
      </c>
      <c r="B6" s="11" t="inlineStr">
        <is>
          <t xml:space="preserve">   Custo dos Bens e/ou Serviços Vendidos</t>
        </is>
      </c>
      <c r="C6" s="12" t="n">
        <v>-1852329</v>
      </c>
      <c r="D6" s="12" t="n">
        <v>-1809580</v>
      </c>
      <c r="E6" s="13">
        <f>IFERROR(C6/C$5,"")</f>
        <v/>
      </c>
      <c r="F6" s="13">
        <f>IFERROR(D6/D$5,"")</f>
        <v/>
      </c>
      <c r="G6" s="12">
        <f>C6-D6</f>
        <v/>
      </c>
      <c r="H6" s="13">
        <f>IFERROR(C6/D6-1,"")</f>
        <v/>
      </c>
    </row>
    <row r="7">
      <c r="A7" t="inlineStr">
        <is>
          <t>3.02.01</t>
        </is>
      </c>
      <c r="B7" t="inlineStr">
        <is>
          <t xml:space="preserve">      Custo dos Bens e/ou Serviços Vendidos</t>
        </is>
      </c>
      <c r="C7" s="8" t="n">
        <v>-1852329</v>
      </c>
      <c r="D7" s="8" t="n">
        <v>-1809580</v>
      </c>
      <c r="E7" s="9">
        <f>IFERROR(C7/C$5,"")</f>
        <v/>
      </c>
      <c r="F7" s="9">
        <f>IFERROR(D7/D$5,"")</f>
        <v/>
      </c>
      <c r="G7" s="8">
        <f>C7-D7</f>
        <v/>
      </c>
      <c r="H7" s="9">
        <f>IFERROR(C7/D7-1,"")</f>
        <v/>
      </c>
    </row>
    <row r="8">
      <c r="A8" s="11" t="inlineStr">
        <is>
          <t>3.03</t>
        </is>
      </c>
      <c r="B8" s="11" t="inlineStr">
        <is>
          <t xml:space="preserve">   Resultado Bruto</t>
        </is>
      </c>
      <c r="C8" s="12" t="n">
        <v>860449</v>
      </c>
      <c r="D8" s="12" t="n">
        <v>1075060</v>
      </c>
      <c r="E8" s="13">
        <f>IFERROR(C8/C$5,"")</f>
        <v/>
      </c>
      <c r="F8" s="13">
        <f>IFERROR(D8/D$5,"")</f>
        <v/>
      </c>
      <c r="G8" s="12">
        <f>C8-D8</f>
        <v/>
      </c>
      <c r="H8" s="13">
        <f>IFERROR(C8/D8-1,"")</f>
        <v/>
      </c>
    </row>
    <row r="9">
      <c r="A9" s="11" t="inlineStr">
        <is>
          <t>3.04</t>
        </is>
      </c>
      <c r="B9" s="11" t="inlineStr">
        <is>
          <t xml:space="preserve">   Despesas/Receitas Operacionais</t>
        </is>
      </c>
      <c r="C9" s="12" t="n">
        <v>-175345</v>
      </c>
      <c r="D9" s="12" t="n">
        <v>-117480</v>
      </c>
      <c r="E9" s="13">
        <f>IFERROR(C9/C$5,"")</f>
        <v/>
      </c>
      <c r="F9" s="13">
        <f>IFERROR(D9/D$5,"")</f>
        <v/>
      </c>
      <c r="G9" s="12">
        <f>C9-D9</f>
        <v/>
      </c>
      <c r="H9" s="13">
        <f>IFERROR(C9/D9-1,"")</f>
        <v/>
      </c>
    </row>
    <row r="10">
      <c r="A10" t="inlineStr">
        <is>
          <t>3.04.02</t>
        </is>
      </c>
      <c r="B10" t="inlineStr">
        <is>
          <t xml:space="preserve">      Despesas Gerais e Administrativas</t>
        </is>
      </c>
      <c r="C10" s="8" t="n">
        <v>-206454</v>
      </c>
      <c r="D10" s="8" t="n">
        <v>-188963</v>
      </c>
      <c r="E10" s="9">
        <f>IFERROR(C10/C$5,"")</f>
        <v/>
      </c>
      <c r="F10" s="9">
        <f>IFERROR(D10/D$5,"")</f>
        <v/>
      </c>
      <c r="G10" s="8">
        <f>C10-D10</f>
        <v/>
      </c>
      <c r="H10" s="9">
        <f>IFERROR(C10/D10-1,"")</f>
        <v/>
      </c>
    </row>
    <row r="11">
      <c r="A11" t="inlineStr">
        <is>
          <t>3.04.02.01</t>
        </is>
      </c>
      <c r="B11" t="inlineStr">
        <is>
          <t xml:space="preserve">         Despesas Gerais e Administrativas</t>
        </is>
      </c>
      <c r="C11" s="8" t="n">
        <v>-206454</v>
      </c>
      <c r="D11" s="8" t="n">
        <v>-188963</v>
      </c>
      <c r="E11" s="9">
        <f>IFERROR(C11/C$5,"")</f>
        <v/>
      </c>
      <c r="F11" s="9">
        <f>IFERROR(D11/D$5,"")</f>
        <v/>
      </c>
      <c r="G11" s="8">
        <f>C11-D11</f>
        <v/>
      </c>
      <c r="H11" s="9">
        <f>IFERROR(C11/D11-1,"")</f>
        <v/>
      </c>
    </row>
    <row r="12">
      <c r="A12" t="inlineStr">
        <is>
          <t>3.04.05</t>
        </is>
      </c>
      <c r="B12" t="inlineStr">
        <is>
          <t xml:space="preserve">      Outras Despesas Operacionais</t>
        </is>
      </c>
      <c r="C12" s="8" t="n">
        <v>-56655</v>
      </c>
      <c r="D12" s="8" t="n">
        <v>-35372</v>
      </c>
      <c r="E12" s="9">
        <f>IFERROR(C12/C$5,"")</f>
        <v/>
      </c>
      <c r="F12" s="9">
        <f>IFERROR(D12/D$5,"")</f>
        <v/>
      </c>
      <c r="G12" s="8">
        <f>C12-D12</f>
        <v/>
      </c>
      <c r="H12" s="9">
        <f>IFERROR(C12/D12-1,"")</f>
        <v/>
      </c>
    </row>
    <row r="13">
      <c r="A13" t="inlineStr">
        <is>
          <t>3.04.05.01</t>
        </is>
      </c>
      <c r="B13" t="inlineStr">
        <is>
          <t xml:space="preserve">         Outras receitas (despesas), líquidas</t>
        </is>
      </c>
      <c r="C13" s="8" t="n">
        <v>-56655</v>
      </c>
      <c r="D13" s="8" t="n">
        <v>-35372</v>
      </c>
      <c r="E13" s="9">
        <f>IFERROR(C13/C$5,"")</f>
        <v/>
      </c>
      <c r="F13" s="9">
        <f>IFERROR(D13/D$5,"")</f>
        <v/>
      </c>
      <c r="G13" s="8">
        <f>C13-D13</f>
        <v/>
      </c>
      <c r="H13" s="9">
        <f>IFERROR(C13/D13-1,"")</f>
        <v/>
      </c>
    </row>
    <row r="14">
      <c r="A14" t="inlineStr">
        <is>
          <t>3.04.06</t>
        </is>
      </c>
      <c r="B14" t="inlineStr">
        <is>
          <t xml:space="preserve">      Resultado de Equivalência Patrimonial</t>
        </is>
      </c>
      <c r="C14" s="8" t="n">
        <v>87764</v>
      </c>
      <c r="D14" s="8" t="n">
        <v>106855</v>
      </c>
      <c r="E14" s="9">
        <f>IFERROR(C14/C$5,"")</f>
        <v/>
      </c>
      <c r="F14" s="9">
        <f>IFERROR(D14/D$5,"")</f>
        <v/>
      </c>
      <c r="G14" s="8">
        <f>C14-D14</f>
        <v/>
      </c>
      <c r="H14" s="9">
        <f>IFERROR(C14/D14-1,"")</f>
        <v/>
      </c>
    </row>
    <row r="15">
      <c r="A15" s="11" t="inlineStr">
        <is>
          <t>3.05</t>
        </is>
      </c>
      <c r="B15" s="11" t="inlineStr">
        <is>
          <t xml:space="preserve">   Resultado Antes do Resultado Financeiro e dos Tributos</t>
        </is>
      </c>
      <c r="C15" s="12" t="n">
        <v>685104</v>
      </c>
      <c r="D15" s="12" t="n">
        <v>957580</v>
      </c>
      <c r="E15" s="13">
        <f>IFERROR(C15/C$5,"")</f>
        <v/>
      </c>
      <c r="F15" s="13">
        <f>IFERROR(D15/D$5,"")</f>
        <v/>
      </c>
      <c r="G15" s="12">
        <f>C15-D15</f>
        <v/>
      </c>
      <c r="H15" s="13">
        <f>IFERROR(C15/D15-1,"")</f>
        <v/>
      </c>
    </row>
    <row r="16">
      <c r="A16" s="11" t="inlineStr">
        <is>
          <t>3.06</t>
        </is>
      </c>
      <c r="B16" s="11" t="inlineStr">
        <is>
          <t xml:space="preserve">   Resultado Financeiro</t>
        </is>
      </c>
      <c r="C16" s="12" t="n">
        <v>71052</v>
      </c>
      <c r="D16" s="12" t="n">
        <v>-623910</v>
      </c>
      <c r="E16" s="13">
        <f>IFERROR(C16/C$5,"")</f>
        <v/>
      </c>
      <c r="F16" s="13">
        <f>IFERROR(D16/D$5,"")</f>
        <v/>
      </c>
      <c r="G16" s="12">
        <f>C16-D16</f>
        <v/>
      </c>
      <c r="H16" s="13">
        <f>IFERROR(C16/D16-1,"")</f>
        <v/>
      </c>
    </row>
    <row r="17">
      <c r="A17" t="inlineStr">
        <is>
          <t>3.06.01</t>
        </is>
      </c>
      <c r="B17" t="inlineStr">
        <is>
          <t xml:space="preserve">      Receitas Financeiras</t>
        </is>
      </c>
      <c r="C17" s="8" t="n">
        <v>643777</v>
      </c>
      <c r="D17" s="8" t="n">
        <v>244832</v>
      </c>
      <c r="E17" s="9">
        <f>IFERROR(C17/C$5,"")</f>
        <v/>
      </c>
      <c r="F17" s="9">
        <f>IFERROR(D17/D$5,"")</f>
        <v/>
      </c>
      <c r="G17" s="8">
        <f>C17-D17</f>
        <v/>
      </c>
      <c r="H17" s="9">
        <f>IFERROR(C17/D17-1,"")</f>
        <v/>
      </c>
    </row>
    <row r="18">
      <c r="A18" t="inlineStr">
        <is>
          <t>3.06.01.02</t>
        </is>
      </c>
      <c r="B18" t="inlineStr">
        <is>
          <t xml:space="preserve">         Receitas Financeiras</t>
        </is>
      </c>
      <c r="C18" s="8" t="n">
        <v>643777</v>
      </c>
      <c r="D18" s="8" t="n">
        <v>244832</v>
      </c>
      <c r="E18" s="9">
        <f>IFERROR(C18/C$5,"")</f>
        <v/>
      </c>
      <c r="F18" s="9">
        <f>IFERROR(D18/D$5,"")</f>
        <v/>
      </c>
      <c r="G18" s="8">
        <f>C18-D18</f>
        <v/>
      </c>
      <c r="H18" s="9">
        <f>IFERROR(C18/D18-1,"")</f>
        <v/>
      </c>
    </row>
    <row r="19">
      <c r="A19" t="inlineStr">
        <is>
          <t>3.06.02</t>
        </is>
      </c>
      <c r="B19" t="inlineStr">
        <is>
          <t xml:space="preserve">      Despesas Financeiras</t>
        </is>
      </c>
      <c r="C19" s="8" t="n">
        <v>-572725</v>
      </c>
      <c r="D19" s="8" t="n">
        <v>-868742</v>
      </c>
      <c r="E19" s="9">
        <f>IFERROR(C19/C$5,"")</f>
        <v/>
      </c>
      <c r="F19" s="9">
        <f>IFERROR(D19/D$5,"")</f>
        <v/>
      </c>
      <c r="G19" s="8">
        <f>C19-D19</f>
        <v/>
      </c>
      <c r="H19" s="9">
        <f>IFERROR(C19/D19-1,"")</f>
        <v/>
      </c>
    </row>
    <row r="20">
      <c r="A20" t="inlineStr">
        <is>
          <t>3.06.02.02</t>
        </is>
      </c>
      <c r="B20" t="inlineStr">
        <is>
          <t xml:space="preserve">         Despesas Financeiras</t>
        </is>
      </c>
      <c r="C20" s="8" t="n">
        <v>-572725</v>
      </c>
      <c r="D20" s="8" t="n">
        <v>-868742</v>
      </c>
      <c r="E20" s="9">
        <f>IFERROR(C20/C$5,"")</f>
        <v/>
      </c>
      <c r="F20" s="9">
        <f>IFERROR(D20/D$5,"")</f>
        <v/>
      </c>
      <c r="G20" s="8">
        <f>C20-D20</f>
        <v/>
      </c>
      <c r="H20" s="9">
        <f>IFERROR(C20/D20-1,"")</f>
        <v/>
      </c>
    </row>
    <row r="21">
      <c r="A21" s="11" t="inlineStr">
        <is>
          <t>3.07</t>
        </is>
      </c>
      <c r="B21" s="11" t="inlineStr">
        <is>
          <t xml:space="preserve">   Resultado Antes dos Tributos sobre o Lucro</t>
        </is>
      </c>
      <c r="C21" s="12" t="n">
        <v>756156</v>
      </c>
      <c r="D21" s="12" t="n">
        <v>333670</v>
      </c>
      <c r="E21" s="13">
        <f>IFERROR(C21/C$5,"")</f>
        <v/>
      </c>
      <c r="F21" s="13">
        <f>IFERROR(D21/D$5,"")</f>
        <v/>
      </c>
      <c r="G21" s="12">
        <f>C21-D21</f>
        <v/>
      </c>
      <c r="H21" s="13">
        <f>IFERROR(C21/D21-1,"")</f>
        <v/>
      </c>
    </row>
    <row r="22">
      <c r="A22" s="11" t="inlineStr">
        <is>
          <t>3.08</t>
        </is>
      </c>
      <c r="B22" s="11" t="inlineStr">
        <is>
          <t xml:space="preserve">   Imposto de Renda e Contribuição Social sobre o Lucro</t>
        </is>
      </c>
      <c r="C22" s="12" t="n">
        <v>-117804</v>
      </c>
      <c r="D22" s="12" t="n">
        <v>103828</v>
      </c>
      <c r="E22" s="13">
        <f>IFERROR(C22/C$5,"")</f>
        <v/>
      </c>
      <c r="F22" s="13">
        <f>IFERROR(D22/D$5,"")</f>
        <v/>
      </c>
      <c r="G22" s="12">
        <f>C22-D22</f>
        <v/>
      </c>
      <c r="H22" s="13">
        <f>IFERROR(C22/D22-1,"")</f>
        <v/>
      </c>
    </row>
    <row r="23">
      <c r="A23" t="inlineStr">
        <is>
          <t>3.08.01</t>
        </is>
      </c>
      <c r="B23" t="inlineStr">
        <is>
          <t xml:space="preserve">      Corrente</t>
        </is>
      </c>
      <c r="C23" s="8" t="n">
        <v>0</v>
      </c>
      <c r="D23" s="8" t="n">
        <v>-1652</v>
      </c>
      <c r="E23" s="9">
        <f>IFERROR(C23/C$5,"")</f>
        <v/>
      </c>
      <c r="F23" s="9">
        <f>IFERROR(D23/D$5,"")</f>
        <v/>
      </c>
      <c r="G23" s="8">
        <f>C23-D23</f>
        <v/>
      </c>
      <c r="H23" s="9">
        <f>IFERROR(C23/D23-1,"")</f>
        <v/>
      </c>
    </row>
    <row r="24">
      <c r="A24" t="inlineStr">
        <is>
          <t>3.08.02</t>
        </is>
      </c>
      <c r="B24" t="inlineStr">
        <is>
          <t xml:space="preserve">      Diferido</t>
        </is>
      </c>
      <c r="C24" s="8" t="n">
        <v>-117804</v>
      </c>
      <c r="D24" s="8" t="n">
        <v>105480</v>
      </c>
      <c r="E24" s="9">
        <f>IFERROR(C24/C$5,"")</f>
        <v/>
      </c>
      <c r="F24" s="9">
        <f>IFERROR(D24/D$5,"")</f>
        <v/>
      </c>
      <c r="G24" s="8">
        <f>C24-D24</f>
        <v/>
      </c>
      <c r="H24" s="9">
        <f>IFERROR(C24/D24-1,"")</f>
        <v/>
      </c>
    </row>
    <row r="25">
      <c r="A25" s="11" t="inlineStr">
        <is>
          <t>3.09</t>
        </is>
      </c>
      <c r="B25" s="11" t="inlineStr">
        <is>
          <t xml:space="preserve">   Resultado Líquido das Operações Continuadas</t>
        </is>
      </c>
      <c r="C25" s="12" t="n">
        <v>638352</v>
      </c>
      <c r="D25" s="12" t="n">
        <v>437498</v>
      </c>
      <c r="E25" s="13">
        <f>IFERROR(C25/C$5,"")</f>
        <v/>
      </c>
      <c r="F25" s="13">
        <f>IFERROR(D25/D$5,"")</f>
        <v/>
      </c>
      <c r="G25" s="12">
        <f>C25-D25</f>
        <v/>
      </c>
      <c r="H25" s="13">
        <f>IFERROR(C25/D25-1,"")</f>
        <v/>
      </c>
    </row>
    <row r="26">
      <c r="A26" s="11" t="inlineStr">
        <is>
          <t>3.11</t>
        </is>
      </c>
      <c r="B26" s="11" t="inlineStr">
        <is>
          <t xml:space="preserve">   Lucro/Prejuízo do Período</t>
        </is>
      </c>
      <c r="C26" s="12" t="n">
        <v>638352</v>
      </c>
      <c r="D26" s="12" t="n">
        <v>437498</v>
      </c>
      <c r="E26" s="13">
        <f>IFERROR(C26/C$5,"")</f>
        <v/>
      </c>
      <c r="F26" s="13">
        <f>IFERROR(D26/D$5,"")</f>
        <v/>
      </c>
      <c r="G26" s="12">
        <f>C26-D26</f>
        <v/>
      </c>
      <c r="H26" s="13">
        <f>IFERROR(C26/D26-1,"")</f>
        <v/>
      </c>
    </row>
    <row r="27">
      <c r="A27" t="inlineStr">
        <is>
          <t>3.99.01.01</t>
        </is>
      </c>
      <c r="B27" t="inlineStr">
        <is>
          <t xml:space="preserve">         ON</t>
        </is>
      </c>
      <c r="C27" s="8" t="n">
        <v>2.1793</v>
      </c>
      <c r="D27" s="8" t="n">
        <v>1.4927</v>
      </c>
      <c r="E27" s="9">
        <f>IFERROR(C27/C$5,"")</f>
        <v/>
      </c>
      <c r="F27" s="9">
        <f>IFERROR(D27/D$5,"")</f>
        <v/>
      </c>
      <c r="G27" s="8">
        <f>C27-D27</f>
        <v/>
      </c>
      <c r="H27" s="9">
        <f>IFERROR(C27/D27-1,"")</f>
        <v/>
      </c>
    </row>
    <row r="28">
      <c r="A28" t="inlineStr">
        <is>
          <t>3.99.02.01</t>
        </is>
      </c>
      <c r="B28" t="inlineStr">
        <is>
          <t xml:space="preserve">         ON</t>
        </is>
      </c>
      <c r="C28" s="8" t="n">
        <v>2.1792</v>
      </c>
      <c r="D28" s="8" t="n">
        <v>1.4923</v>
      </c>
      <c r="E28" s="9">
        <f>IFERROR(C28/C$5,"")</f>
        <v/>
      </c>
      <c r="F28" s="9">
        <f>IFERROR(D28/D$5,"")</f>
        <v/>
      </c>
      <c r="G28" s="8">
        <f>C28-D28</f>
        <v/>
      </c>
      <c r="H28" s="9">
        <f>IFERROR(C28/D28-1,"")</f>
        <v/>
      </c>
    </row>
    <row r="30">
      <c r="A30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Resultado abrangente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4.01</t>
        </is>
      </c>
      <c r="B5" s="11" t="inlineStr">
        <is>
          <t xml:space="preserve">   Lucro Líquido do Período</t>
        </is>
      </c>
      <c r="C5" s="12" t="n">
        <v>638352</v>
      </c>
      <c r="D5" s="12" t="n">
        <v>437498</v>
      </c>
      <c r="E5" s="13" t="n"/>
      <c r="F5" s="13" t="n"/>
      <c r="G5" s="12">
        <f>C5-D5</f>
        <v/>
      </c>
      <c r="H5" s="13">
        <f>IFERROR(C5/D5-1,"")</f>
        <v/>
      </c>
    </row>
    <row r="6">
      <c r="A6" s="11" t="inlineStr">
        <is>
          <t>4.02</t>
        </is>
      </c>
      <c r="B6" s="11" t="inlineStr">
        <is>
          <t xml:space="preserve">   Outros Resultados Abrangentes</t>
        </is>
      </c>
      <c r="C6" s="12" t="n">
        <v>13540</v>
      </c>
      <c r="D6" s="12" t="n">
        <v>65626</v>
      </c>
      <c r="E6" s="13" t="n"/>
      <c r="F6" s="13" t="n"/>
      <c r="G6" s="12">
        <f>C6-D6</f>
        <v/>
      </c>
      <c r="H6" s="13">
        <f>IFERROR(C6/D6-1,"")</f>
        <v/>
      </c>
    </row>
    <row r="7">
      <c r="A7" t="inlineStr">
        <is>
          <t>4.02.01</t>
        </is>
      </c>
      <c r="B7" t="inlineStr">
        <is>
          <t xml:space="preserve">      Instrumentos financeiros de proteção - NDF</t>
        </is>
      </c>
      <c r="C7" s="8" t="n">
        <v>20515</v>
      </c>
      <c r="D7" s="8" t="n">
        <v>99433</v>
      </c>
      <c r="E7" s="9" t="n"/>
      <c r="F7" s="9" t="n"/>
      <c r="G7" s="8">
        <f>C7-D7</f>
        <v/>
      </c>
      <c r="H7" s="9">
        <f>IFERROR(C7/D7-1,"")</f>
        <v/>
      </c>
    </row>
    <row r="8">
      <c r="A8" t="inlineStr">
        <is>
          <t>4.02.02</t>
        </is>
      </c>
      <c r="B8" t="inlineStr">
        <is>
          <t xml:space="preserve">      Tributos diferidos sobre instrumentos financeiros - NDF</t>
        </is>
      </c>
      <c r="C8" s="8" t="n">
        <v>-6975</v>
      </c>
      <c r="D8" s="8" t="n">
        <v>-33807</v>
      </c>
      <c r="E8" s="9" t="n"/>
      <c r="F8" s="9" t="n"/>
      <c r="G8" s="8">
        <f>C8-D8</f>
        <v/>
      </c>
      <c r="H8" s="9">
        <f>IFERROR(C8/D8-1,"")</f>
        <v/>
      </c>
    </row>
    <row r="9">
      <c r="A9" s="11" t="inlineStr">
        <is>
          <t>4.03</t>
        </is>
      </c>
      <c r="B9" s="11" t="inlineStr">
        <is>
          <t xml:space="preserve">   Resultado Abrangente do Período</t>
        </is>
      </c>
      <c r="C9" s="12" t="n">
        <v>651892</v>
      </c>
      <c r="D9" s="12" t="n">
        <v>503124</v>
      </c>
      <c r="E9" s="13" t="n"/>
      <c r="F9" s="13" t="n"/>
      <c r="G9" s="12">
        <f>C9-D9</f>
        <v/>
      </c>
      <c r="H9" s="13">
        <f>IFERROR(C9/D9-1,"")</f>
        <v/>
      </c>
    </row>
    <row r="11">
      <c r="A11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Fluxo de caixa (metodo indireto)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6.01</t>
        </is>
      </c>
      <c r="B5" s="11" t="inlineStr">
        <is>
          <t xml:space="preserve">   Caixa Líquido Atividades Operacionais</t>
        </is>
      </c>
      <c r="C5" s="12" t="n">
        <v>1208265</v>
      </c>
      <c r="D5" s="12" t="n">
        <v>1866803</v>
      </c>
      <c r="E5" s="13" t="n"/>
      <c r="F5" s="13" t="n"/>
      <c r="G5" s="12">
        <f>C5-D5</f>
        <v/>
      </c>
      <c r="H5" s="13">
        <f>IFERROR(C5/D5-1,"")</f>
        <v/>
      </c>
    </row>
    <row r="6">
      <c r="A6" t="inlineStr">
        <is>
          <t>6.01.01</t>
        </is>
      </c>
      <c r="B6" t="inlineStr">
        <is>
          <t xml:space="preserve">      Caixa Gerado nas Operações</t>
        </is>
      </c>
      <c r="C6" s="8" t="n">
        <v>1329775</v>
      </c>
      <c r="D6" s="8" t="n">
        <v>1996285</v>
      </c>
      <c r="E6" s="9" t="n"/>
      <c r="F6" s="9" t="n"/>
      <c r="G6" s="8">
        <f>C6-D6</f>
        <v/>
      </c>
      <c r="H6" s="9">
        <f>IFERROR(C6/D6-1,"")</f>
        <v/>
      </c>
    </row>
    <row r="7">
      <c r="A7" t="inlineStr">
        <is>
          <t>6.01.01.01</t>
        </is>
      </c>
      <c r="B7" t="inlineStr">
        <is>
          <t xml:space="preserve">         Lucro (Prejuízo) antes dos impostos sobre o lucro</t>
        </is>
      </c>
      <c r="C7" s="8" t="n">
        <v>756156</v>
      </c>
      <c r="D7" s="8" t="n">
        <v>333670</v>
      </c>
      <c r="E7" s="9" t="n"/>
      <c r="F7" s="9" t="n"/>
      <c r="G7" s="8">
        <f>C7-D7</f>
        <v/>
      </c>
      <c r="H7" s="9">
        <f>IFERROR(C7/D7-1,"")</f>
        <v/>
      </c>
    </row>
    <row r="8">
      <c r="A8" t="inlineStr">
        <is>
          <t>6.01.01.02</t>
        </is>
      </c>
      <c r="B8" t="inlineStr">
        <is>
          <t xml:space="preserve">         Juros, amortização de captação e variações cambiais líquidas</t>
        </is>
      </c>
      <c r="C8" s="8" t="n">
        <v>293113</v>
      </c>
      <c r="D8" s="8" t="n">
        <v>394077</v>
      </c>
      <c r="E8" s="9" t="n"/>
      <c r="F8" s="9" t="n"/>
      <c r="G8" s="8">
        <f>C8-D8</f>
        <v/>
      </c>
      <c r="H8" s="9">
        <f>IFERROR(C8/D8-1,"")</f>
        <v/>
      </c>
    </row>
    <row r="9">
      <c r="A9" t="inlineStr">
        <is>
          <t>6.01.01.03</t>
        </is>
      </c>
      <c r="B9" t="inlineStr">
        <is>
          <t xml:space="preserve">         Contraprestação de parcela contingente de valores a pagar de aquisições</t>
        </is>
      </c>
      <c r="C9" s="8" t="n">
        <v>0</v>
      </c>
      <c r="D9" s="8" t="n">
        <v>22033</v>
      </c>
      <c r="E9" s="9" t="n"/>
      <c r="F9" s="9" t="n"/>
      <c r="G9" s="8">
        <f>C9-D9</f>
        <v/>
      </c>
      <c r="H9" s="9">
        <f>IFERROR(C9/D9-1,"")</f>
        <v/>
      </c>
    </row>
    <row r="10">
      <c r="A10" t="inlineStr">
        <is>
          <t>6.01.01.04</t>
        </is>
      </c>
      <c r="B10" t="inlineStr">
        <is>
          <t xml:space="preserve">         Depreciação, amortização e depleção</t>
        </is>
      </c>
      <c r="C10" s="8" t="n">
        <v>538941</v>
      </c>
      <c r="D10" s="8" t="n">
        <v>508275</v>
      </c>
      <c r="E10" s="9" t="n"/>
      <c r="F10" s="9" t="n"/>
      <c r="G10" s="8">
        <f>C10-D10</f>
        <v/>
      </c>
      <c r="H10" s="9">
        <f>IFERROR(C10/D10-1,"")</f>
        <v/>
      </c>
    </row>
    <row r="11">
      <c r="A11" t="inlineStr">
        <is>
          <t>6.01.01.05</t>
        </is>
      </c>
      <c r="B11" t="inlineStr">
        <is>
          <t xml:space="preserve">         Equivalência patrimonial</t>
        </is>
      </c>
      <c r="C11" s="8" t="n">
        <v>-87764</v>
      </c>
      <c r="D11" s="8" t="n">
        <v>-106855</v>
      </c>
      <c r="E11" s="9" t="n"/>
      <c r="F11" s="9" t="n"/>
      <c r="G11" s="8">
        <f>C11-D11</f>
        <v/>
      </c>
      <c r="H11" s="9">
        <f>IFERROR(C11/D11-1,"")</f>
        <v/>
      </c>
    </row>
    <row r="12">
      <c r="A12" t="inlineStr">
        <is>
          <t>6.01.01.06</t>
        </is>
      </c>
      <c r="B12" t="inlineStr">
        <is>
          <t xml:space="preserve">         Provisões, perdas estimadas e outros</t>
        </is>
      </c>
      <c r="C12" s="8" t="n">
        <v>-975</v>
      </c>
      <c r="D12" s="8" t="n">
        <v>17259</v>
      </c>
      <c r="E12" s="9" t="n"/>
      <c r="F12" s="9" t="n"/>
      <c r="G12" s="8">
        <f>C12-D12</f>
        <v/>
      </c>
      <c r="H12" s="9">
        <f>IFERROR(C12/D12-1,"")</f>
        <v/>
      </c>
    </row>
    <row r="13">
      <c r="A13" t="inlineStr">
        <is>
          <t>6.01.01.07</t>
        </is>
      </c>
      <c r="B13" t="inlineStr">
        <is>
          <t xml:space="preserve">         Atualização da provisão  para abandono de poços</t>
        </is>
      </c>
      <c r="C13" s="8" t="n">
        <v>14627</v>
      </c>
      <c r="D13" s="8" t="n">
        <v>17824</v>
      </c>
      <c r="E13" s="9" t="n"/>
      <c r="F13" s="9" t="n"/>
      <c r="G13" s="8">
        <f>C13-D13</f>
        <v/>
      </c>
      <c r="H13" s="9">
        <f>IFERROR(C13/D13-1,"")</f>
        <v/>
      </c>
    </row>
    <row r="14">
      <c r="A14" t="inlineStr">
        <is>
          <t>6.01.01.08</t>
        </is>
      </c>
      <c r="B14" t="inlineStr">
        <is>
          <t xml:space="preserve">         Baixas do imobilizado, arrendamentos e outras</t>
        </is>
      </c>
      <c r="C14" s="8" t="n">
        <v>183355</v>
      </c>
      <c r="D14" s="8" t="n">
        <v>314243</v>
      </c>
      <c r="E14" s="9" t="n"/>
      <c r="F14" s="9" t="n"/>
      <c r="G14" s="8">
        <f>C14-D14</f>
        <v/>
      </c>
      <c r="H14" s="9">
        <f>IFERROR(C14/D14-1,"")</f>
        <v/>
      </c>
    </row>
    <row r="15">
      <c r="A15" t="inlineStr">
        <is>
          <t>6.01.01.09</t>
        </is>
      </c>
      <c r="B15" t="inlineStr">
        <is>
          <t xml:space="preserve">         Valor justo dos instrumentos financeiros derivativos no resultado</t>
        </is>
      </c>
      <c r="C15" s="8" t="n">
        <v>-367678</v>
      </c>
      <c r="D15" s="8" t="n">
        <v>495759</v>
      </c>
      <c r="E15" s="9" t="n"/>
      <c r="F15" s="9" t="n"/>
      <c r="G15" s="8">
        <f>C15-D15</f>
        <v/>
      </c>
      <c r="H15" s="9">
        <f>IFERROR(C15/D15-1,"")</f>
        <v/>
      </c>
    </row>
    <row r="16">
      <c r="A16" t="inlineStr">
        <is>
          <t>6.01.02</t>
        </is>
      </c>
      <c r="B16" t="inlineStr">
        <is>
          <t xml:space="preserve">      Variações nos Ativos e Passivos</t>
        </is>
      </c>
      <c r="C16" s="8" t="n">
        <v>6504</v>
      </c>
      <c r="D16" s="8" t="n">
        <v>151650</v>
      </c>
      <c r="E16" s="9" t="n"/>
      <c r="F16" s="9" t="n"/>
      <c r="G16" s="8">
        <f>C16-D16</f>
        <v/>
      </c>
      <c r="H16" s="9">
        <f>IFERROR(C16/D16-1,"")</f>
        <v/>
      </c>
    </row>
    <row r="17">
      <c r="A17" t="inlineStr">
        <is>
          <t>6.01.02.01</t>
        </is>
      </c>
      <c r="B17" t="inlineStr">
        <is>
          <t xml:space="preserve">         Contas a receber de clientes</t>
        </is>
      </c>
      <c r="C17" s="8" t="n">
        <v>65475</v>
      </c>
      <c r="D17" s="8" t="n">
        <v>14439</v>
      </c>
      <c r="E17" s="9" t="n"/>
      <c r="F17" s="9" t="n"/>
      <c r="G17" s="8">
        <f>C17-D17</f>
        <v/>
      </c>
      <c r="H17" s="9">
        <f>IFERROR(C17/D17-1,"")</f>
        <v/>
      </c>
    </row>
    <row r="18">
      <c r="A18" t="inlineStr">
        <is>
          <t>6.01.02.02</t>
        </is>
      </c>
      <c r="B18" t="inlineStr">
        <is>
          <t xml:space="preserve">         Estoques</t>
        </is>
      </c>
      <c r="C18" s="8" t="n">
        <v>3839</v>
      </c>
      <c r="D18" s="8" t="n">
        <v>3420</v>
      </c>
      <c r="E18" s="9" t="n"/>
      <c r="F18" s="9" t="n"/>
      <c r="G18" s="8">
        <f>C18-D18</f>
        <v/>
      </c>
      <c r="H18" s="9">
        <f>IFERROR(C18/D18-1,"")</f>
        <v/>
      </c>
    </row>
    <row r="19">
      <c r="A19" t="inlineStr">
        <is>
          <t>6.01.02.03</t>
        </is>
      </c>
      <c r="B19" t="inlineStr">
        <is>
          <t xml:space="preserve">         Impostos a recuperar</t>
        </is>
      </c>
      <c r="C19" s="8" t="n">
        <v>-21954</v>
      </c>
      <c r="D19" s="8" t="n">
        <v>138310</v>
      </c>
      <c r="E19" s="9" t="n"/>
      <c r="F19" s="9" t="n"/>
      <c r="G19" s="8">
        <f>C19-D19</f>
        <v/>
      </c>
      <c r="H19" s="9">
        <f>IFERROR(C19/D19-1,"")</f>
        <v/>
      </c>
    </row>
    <row r="20">
      <c r="A20" t="inlineStr">
        <is>
          <t>6.01.02.04</t>
        </is>
      </c>
      <c r="B20" t="inlineStr">
        <is>
          <t xml:space="preserve">         Outros ativos</t>
        </is>
      </c>
      <c r="C20" s="8" t="n">
        <v>-2891</v>
      </c>
      <c r="D20" s="8" t="n">
        <v>-27076</v>
      </c>
      <c r="E20" s="9" t="n"/>
      <c r="F20" s="9" t="n"/>
      <c r="G20" s="8">
        <f>C20-D20</f>
        <v/>
      </c>
      <c r="H20" s="9">
        <f>IFERROR(C20/D20-1,"")</f>
        <v/>
      </c>
    </row>
    <row r="21">
      <c r="A21" t="inlineStr">
        <is>
          <t>6.01.02.05</t>
        </is>
      </c>
      <c r="B21" t="inlineStr">
        <is>
          <t xml:space="preserve">         Fornecedores</t>
        </is>
      </c>
      <c r="C21" s="8" t="n">
        <v>-27459</v>
      </c>
      <c r="D21" s="8" t="n">
        <v>24106</v>
      </c>
      <c r="E21" s="9" t="n"/>
      <c r="F21" s="9" t="n"/>
      <c r="G21" s="8">
        <f>C21-D21</f>
        <v/>
      </c>
      <c r="H21" s="9">
        <f>IFERROR(C21/D21-1,"")</f>
        <v/>
      </c>
    </row>
    <row r="22">
      <c r="A22" t="inlineStr">
        <is>
          <t>6.01.02.06</t>
        </is>
      </c>
      <c r="B22" t="inlineStr">
        <is>
          <t xml:space="preserve">         Salários e encargos sociais</t>
        </is>
      </c>
      <c r="C22" s="8" t="n">
        <v>1382</v>
      </c>
      <c r="D22" s="8" t="n">
        <v>18802</v>
      </c>
      <c r="E22" s="9" t="n"/>
      <c r="F22" s="9" t="n"/>
      <c r="G22" s="8">
        <f>C22-D22</f>
        <v/>
      </c>
      <c r="H22" s="9">
        <f>IFERROR(C22/D22-1,"")</f>
        <v/>
      </c>
    </row>
    <row r="23">
      <c r="A23" t="inlineStr">
        <is>
          <t>6.01.02.07</t>
        </is>
      </c>
      <c r="B23" t="inlineStr">
        <is>
          <t xml:space="preserve">         Impostos a recolher</t>
        </is>
      </c>
      <c r="C23" s="8" t="n">
        <v>-39877</v>
      </c>
      <c r="D23" s="8" t="n">
        <v>-1953</v>
      </c>
      <c r="E23" s="9" t="n"/>
      <c r="F23" s="9" t="n"/>
      <c r="G23" s="8">
        <f>C23-D23</f>
        <v/>
      </c>
      <c r="H23" s="9">
        <f>IFERROR(C23/D23-1,"")</f>
        <v/>
      </c>
    </row>
    <row r="24">
      <c r="A24" t="inlineStr">
        <is>
          <t>6.01.02.08</t>
        </is>
      </c>
      <c r="B24" t="inlineStr">
        <is>
          <t xml:space="preserve">         Outras contas a pagar</t>
        </is>
      </c>
      <c r="C24" s="8" t="n">
        <v>27989</v>
      </c>
      <c r="D24" s="8" t="n">
        <v>-18398</v>
      </c>
      <c r="E24" s="9" t="n"/>
      <c r="F24" s="9" t="n"/>
      <c r="G24" s="8">
        <f>C24-D24</f>
        <v/>
      </c>
      <c r="H24" s="9">
        <f>IFERROR(C24/D24-1,"")</f>
        <v/>
      </c>
    </row>
    <row r="25">
      <c r="A25" t="inlineStr">
        <is>
          <t>6.01.03</t>
        </is>
      </c>
      <c r="B25" t="inlineStr">
        <is>
          <t xml:space="preserve">      Outros</t>
        </is>
      </c>
      <c r="C25" s="8" t="n">
        <v>-128014</v>
      </c>
      <c r="D25" s="8" t="n">
        <v>-281132</v>
      </c>
      <c r="E25" s="9" t="n"/>
      <c r="F25" s="9" t="n"/>
      <c r="G25" s="8">
        <f>C25-D25</f>
        <v/>
      </c>
      <c r="H25" s="9">
        <f>IFERROR(C25/D25-1,"")</f>
        <v/>
      </c>
    </row>
    <row r="26">
      <c r="A26" t="inlineStr">
        <is>
          <t>6.01.03.01</t>
        </is>
      </c>
      <c r="B26" t="inlineStr">
        <is>
          <t xml:space="preserve">         Juros pagos</t>
        </is>
      </c>
      <c r="C26" s="8" t="n">
        <v>-199128</v>
      </c>
      <c r="D26" s="8" t="n">
        <v>-139664</v>
      </c>
      <c r="E26" s="9" t="n"/>
      <c r="F26" s="9" t="n"/>
      <c r="G26" s="8">
        <f>C26-D26</f>
        <v/>
      </c>
      <c r="H26" s="9">
        <f>IFERROR(C26/D26-1,"")</f>
        <v/>
      </c>
    </row>
    <row r="27">
      <c r="A27" t="inlineStr">
        <is>
          <t>6.01.03.02</t>
        </is>
      </c>
      <c r="B27" t="inlineStr">
        <is>
          <t xml:space="preserve">         Imposto de renda e contribuição social pagos</t>
        </is>
      </c>
      <c r="C27" s="8" t="n">
        <v>-2208</v>
      </c>
      <c r="D27" s="8" t="n">
        <v>-13929</v>
      </c>
      <c r="E27" s="9" t="n"/>
      <c r="F27" s="9" t="n"/>
      <c r="G27" s="8">
        <f>C27-D27</f>
        <v/>
      </c>
      <c r="H27" s="9">
        <f>IFERROR(C27/D27-1,"")</f>
        <v/>
      </c>
    </row>
    <row r="28">
      <c r="A28" t="inlineStr">
        <is>
          <t>6.01.03.04</t>
        </is>
      </c>
      <c r="B28" t="inlineStr">
        <is>
          <t xml:space="preserve">         Pagamento (recebimento) de contratos de hedge</t>
        </is>
      </c>
      <c r="C28" s="8" t="n">
        <v>73322</v>
      </c>
      <c r="D28" s="8" t="n">
        <v>-127539</v>
      </c>
      <c r="E28" s="9" t="n"/>
      <c r="F28" s="9" t="n"/>
      <c r="G28" s="8">
        <f>C28-D28</f>
        <v/>
      </c>
      <c r="H28" s="9">
        <f>IFERROR(C28/D28-1,"")</f>
        <v/>
      </c>
    </row>
    <row r="29">
      <c r="A29" s="11" t="inlineStr">
        <is>
          <t>6.02</t>
        </is>
      </c>
      <c r="B29" s="11" t="inlineStr">
        <is>
          <t xml:space="preserve">   Caixa Líquido Atividades de Investimento</t>
        </is>
      </c>
      <c r="C29" s="12" t="n">
        <v>-2011761</v>
      </c>
      <c r="D29" s="12" t="n">
        <v>-1206792</v>
      </c>
      <c r="E29" s="13" t="n"/>
      <c r="F29" s="13" t="n"/>
      <c r="G29" s="12">
        <f>C29-D29</f>
        <v/>
      </c>
      <c r="H29" s="13">
        <f>IFERROR(C29/D29-1,"")</f>
        <v/>
      </c>
    </row>
    <row r="30">
      <c r="A30" t="inlineStr">
        <is>
          <t>6.02.01</t>
        </is>
      </c>
      <c r="B30" t="inlineStr">
        <is>
          <t xml:space="preserve">      Aplicações financeiras</t>
        </is>
      </c>
      <c r="C30" s="8" t="n">
        <v>-681924</v>
      </c>
      <c r="D30" s="8" t="n">
        <v>-169923</v>
      </c>
      <c r="E30" s="9" t="n"/>
      <c r="F30" s="9" t="n"/>
      <c r="G30" s="8">
        <f>C30-D30</f>
        <v/>
      </c>
      <c r="H30" s="9">
        <f>IFERROR(C30/D30-1,"")</f>
        <v/>
      </c>
    </row>
    <row r="31">
      <c r="A31" t="inlineStr">
        <is>
          <t>6.02.02</t>
        </is>
      </c>
      <c r="B31" t="inlineStr">
        <is>
          <t xml:space="preserve">      Adições ao imobilizado e intangível</t>
        </is>
      </c>
      <c r="C31" s="8" t="n">
        <v>-1467608</v>
      </c>
      <c r="D31" s="8" t="n">
        <v>-1048185</v>
      </c>
      <c r="E31" s="9" t="n"/>
      <c r="F31" s="9" t="n"/>
      <c r="G31" s="8">
        <f>C31-D31</f>
        <v/>
      </c>
      <c r="H31" s="9">
        <f>IFERROR(C31/D31-1,"")</f>
        <v/>
      </c>
    </row>
    <row r="32">
      <c r="A32" t="inlineStr">
        <is>
          <t>6.02.04</t>
        </is>
      </c>
      <c r="B32" t="inlineStr">
        <is>
          <t xml:space="preserve">      Dividendos recebidos de controladas</t>
        </is>
      </c>
      <c r="C32" s="8" t="n">
        <v>137771</v>
      </c>
      <c r="D32" s="8" t="n">
        <v>11316</v>
      </c>
      <c r="E32" s="9" t="n"/>
      <c r="F32" s="9" t="n"/>
      <c r="G32" s="8">
        <f>C32-D32</f>
        <v/>
      </c>
      <c r="H32" s="9">
        <f>IFERROR(C32/D32-1,"")</f>
        <v/>
      </c>
    </row>
    <row r="33">
      <c r="A33" s="11" t="inlineStr">
        <is>
          <t>6.03</t>
        </is>
      </c>
      <c r="B33" s="11" t="inlineStr">
        <is>
          <t xml:space="preserve">   Caixa Líquido Atividades de Financiamento</t>
        </is>
      </c>
      <c r="C33" s="12" t="n">
        <v>716289</v>
      </c>
      <c r="D33" s="12" t="n">
        <v>-511363</v>
      </c>
      <c r="E33" s="13" t="n"/>
      <c r="F33" s="13" t="n"/>
      <c r="G33" s="12">
        <f>C33-D33</f>
        <v/>
      </c>
      <c r="H33" s="13">
        <f>IFERROR(C33/D33-1,"")</f>
        <v/>
      </c>
    </row>
    <row r="34">
      <c r="A34" t="inlineStr">
        <is>
          <t>6.03.02</t>
        </is>
      </c>
      <c r="B34" t="inlineStr">
        <is>
          <t xml:space="preserve">      Pagamentos de financiamentos</t>
        </is>
      </c>
      <c r="C34" s="8" t="n">
        <v>0</v>
      </c>
      <c r="D34" s="8" t="n">
        <v>-1043520</v>
      </c>
      <c r="E34" s="9" t="n"/>
      <c r="F34" s="9" t="n"/>
      <c r="G34" s="8">
        <f>C34-D34</f>
        <v/>
      </c>
      <c r="H34" s="9">
        <f>IFERROR(C34/D34-1,"")</f>
        <v/>
      </c>
    </row>
    <row r="35">
      <c r="A35" t="inlineStr">
        <is>
          <t>6.03.03</t>
        </is>
      </c>
      <c r="B35" t="inlineStr">
        <is>
          <t xml:space="preserve">      Emissão de debêntures, líquidas dos custos de captação</t>
        </is>
      </c>
      <c r="C35" s="8" t="n">
        <v>1227254</v>
      </c>
      <c r="D35" s="8" t="n">
        <v>1746027</v>
      </c>
      <c r="E35" s="9" t="n"/>
      <c r="F35" s="9" t="n"/>
      <c r="G35" s="8">
        <f>C35-D35</f>
        <v/>
      </c>
      <c r="H35" s="9">
        <f>IFERROR(C35/D35-1,"")</f>
        <v/>
      </c>
    </row>
    <row r="36">
      <c r="A36" t="inlineStr">
        <is>
          <t>6.03.04</t>
        </is>
      </c>
      <c r="B36" t="inlineStr">
        <is>
          <t xml:space="preserve">      Amortização de arrendamento mercantil - principal</t>
        </is>
      </c>
      <c r="C36" s="8" t="n">
        <v>-32218</v>
      </c>
      <c r="D36" s="8" t="n">
        <v>-26760</v>
      </c>
      <c r="E36" s="9" t="n"/>
      <c r="F36" s="9" t="n"/>
      <c r="G36" s="8">
        <f>C36-D36</f>
        <v/>
      </c>
      <c r="H36" s="9">
        <f>IFERROR(C36/D36-1,"")</f>
        <v/>
      </c>
    </row>
    <row r="37">
      <c r="A37" t="inlineStr">
        <is>
          <t>6.03.05</t>
        </is>
      </c>
      <c r="B37" t="inlineStr">
        <is>
          <t xml:space="preserve">      Dividendos e juros sobre capital próprio pagos</t>
        </is>
      </c>
      <c r="C37" s="8" t="n">
        <v>-238158</v>
      </c>
      <c r="D37" s="8" t="n">
        <v>-775976</v>
      </c>
      <c r="E37" s="9" t="n"/>
      <c r="F37" s="9" t="n"/>
      <c r="G37" s="8">
        <f>C37-D37</f>
        <v/>
      </c>
      <c r="H37" s="9">
        <f>IFERROR(C37/D37-1,"")</f>
        <v/>
      </c>
    </row>
    <row r="38">
      <c r="A38" t="inlineStr">
        <is>
          <t>6.03.07</t>
        </is>
      </c>
      <c r="B38" t="inlineStr">
        <is>
          <t xml:space="preserve">      Exercício de opção de ações</t>
        </is>
      </c>
      <c r="C38" s="8" t="n">
        <v>148</v>
      </c>
      <c r="D38" s="8" t="n">
        <v>1207</v>
      </c>
      <c r="E38" s="9" t="n"/>
      <c r="F38" s="9" t="n"/>
      <c r="G38" s="8">
        <f>C38-D38</f>
        <v/>
      </c>
      <c r="H38" s="9">
        <f>IFERROR(C38/D38-1,"")</f>
        <v/>
      </c>
    </row>
    <row r="39">
      <c r="A39" t="inlineStr">
        <is>
          <t>6.03.08</t>
        </is>
      </c>
      <c r="B39" t="inlineStr">
        <is>
          <t xml:space="preserve">      Pagamentos valores a pagar por aquisições</t>
        </is>
      </c>
      <c r="C39" s="8" t="n">
        <v>-233413</v>
      </c>
      <c r="D39" s="8" t="n">
        <v>-398712</v>
      </c>
      <c r="E39" s="9" t="n"/>
      <c r="F39" s="9" t="n"/>
      <c r="G39" s="8">
        <f>C39-D39</f>
        <v/>
      </c>
      <c r="H39" s="9">
        <f>IFERROR(C39/D39-1,"")</f>
        <v/>
      </c>
    </row>
    <row r="40">
      <c r="A40" t="inlineStr">
        <is>
          <t>6.03.09</t>
        </is>
      </c>
      <c r="B40" t="inlineStr">
        <is>
          <t xml:space="preserve">      Integralização de capital social subscrito</t>
        </is>
      </c>
      <c r="C40" s="8" t="n">
        <v>0</v>
      </c>
      <c r="D40" s="8" t="n">
        <v>495</v>
      </c>
      <c r="E40" s="9" t="n"/>
      <c r="F40" s="9" t="n"/>
      <c r="G40" s="8">
        <f>C40-D40</f>
        <v/>
      </c>
      <c r="H40" s="9">
        <f>IFERROR(C40/D40-1,"")</f>
        <v/>
      </c>
    </row>
    <row r="41">
      <c r="A41" t="inlineStr">
        <is>
          <t>6.03.10</t>
        </is>
      </c>
      <c r="B41" t="inlineStr">
        <is>
          <t xml:space="preserve">      Caixa líquido da compra e venda de ações em tesouraria</t>
        </is>
      </c>
      <c r="C41" s="8" t="n">
        <v>-7324</v>
      </c>
      <c r="D41" s="8" t="n">
        <v>-14124</v>
      </c>
      <c r="E41" s="9" t="n"/>
      <c r="F41" s="9" t="n"/>
      <c r="G41" s="8">
        <f>C41-D41</f>
        <v/>
      </c>
      <c r="H41" s="9">
        <f>IFERROR(C41/D41-1,"")</f>
        <v/>
      </c>
    </row>
    <row r="42">
      <c r="A42" s="11" t="inlineStr">
        <is>
          <t>6.05</t>
        </is>
      </c>
      <c r="B42" s="11" t="inlineStr">
        <is>
          <t xml:space="preserve">   Aumento (Redução) de Caixa e Equivalentes</t>
        </is>
      </c>
      <c r="C42" s="12" t="n">
        <v>-87207</v>
      </c>
      <c r="D42" s="12" t="n">
        <v>148648</v>
      </c>
      <c r="E42" s="13" t="n"/>
      <c r="F42" s="13" t="n"/>
      <c r="G42" s="12">
        <f>C42-D42</f>
        <v/>
      </c>
      <c r="H42" s="13">
        <f>IFERROR(C42/D42-1,"")</f>
        <v/>
      </c>
    </row>
    <row r="43">
      <c r="A43" t="inlineStr">
        <is>
          <t>6.05.01</t>
        </is>
      </c>
      <c r="B43" t="inlineStr">
        <is>
          <t xml:space="preserve">      Saldo Inicial de Caixa e Equivalentes</t>
        </is>
      </c>
      <c r="C43" s="8" t="n">
        <v>259482</v>
      </c>
      <c r="D43" s="8" t="n">
        <v>110834</v>
      </c>
      <c r="E43" s="9" t="n"/>
      <c r="F43" s="9" t="n"/>
      <c r="G43" s="8">
        <f>C43-D43</f>
        <v/>
      </c>
      <c r="H43" s="9">
        <f>IFERROR(C43/D43-1,"")</f>
        <v/>
      </c>
    </row>
    <row r="44">
      <c r="A44" t="inlineStr">
        <is>
          <t>6.05.02</t>
        </is>
      </c>
      <c r="B44" t="inlineStr">
        <is>
          <t xml:space="preserve">      Saldo Final de Caixa e Equivalentes</t>
        </is>
      </c>
      <c r="C44" s="8" t="n">
        <v>172275</v>
      </c>
      <c r="D44" s="8" t="n">
        <v>259482</v>
      </c>
      <c r="E44" s="9" t="n"/>
      <c r="F44" s="9" t="n"/>
      <c r="G44" s="8">
        <f>C44-D44</f>
        <v/>
      </c>
      <c r="H44" s="9">
        <f>IFERROR(C44/D44-1,"")</f>
        <v/>
      </c>
    </row>
    <row r="46">
      <c r="A46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16" customWidth="1" min="4" max="4"/>
    <col width="9" customWidth="1" min="5" max="5"/>
    <col width="9" customWidth="1" min="6" max="6"/>
    <col width="15" customWidth="1" min="7" max="7"/>
    <col width="10" customWidth="1" min="8" max="8"/>
  </cols>
  <sheetData>
    <row r="1">
      <c r="A1" s="1" t="inlineStr">
        <is>
          <t>Valor adicionado - Controladora - 2025 x 2024</t>
        </is>
      </c>
    </row>
    <row r="2">
      <c r="A2" s="2" t="inlineStr">
        <is>
          <t>Fonte: dados abertos CVM (F03), DFP 31/12/2025 v1, conciliada ao PDF F01 p.51-56 | Preparador: matricula 211059370 | Data: 22/10/2026 | Valores em R$ mil | Revisao: ______ (campo reservado; nao preenchido)</t>
        </is>
      </c>
    </row>
    <row r="4">
      <c r="A4" s="3" t="inlineStr">
        <is>
          <t>Codigo CVM</t>
        </is>
      </c>
      <c r="B4" s="3" t="inlineStr">
        <is>
          <t>Conta</t>
        </is>
      </c>
      <c r="C4" s="3" t="inlineStr">
        <is>
          <t>31/12/2025</t>
        </is>
      </c>
      <c r="D4" s="3" t="inlineStr">
        <is>
          <t>31/12/2024</t>
        </is>
      </c>
      <c r="E4" s="3" t="inlineStr">
        <is>
          <t>AV 2025</t>
        </is>
      </c>
      <c r="F4" s="3" t="inlineStr">
        <is>
          <t>AV 2024</t>
        </is>
      </c>
      <c r="G4" s="3" t="inlineStr">
        <is>
          <t>AH (var. R$)</t>
        </is>
      </c>
      <c r="H4" s="3" t="inlineStr">
        <is>
          <t>AH (var. %)</t>
        </is>
      </c>
    </row>
    <row r="5">
      <c r="A5" s="11" t="inlineStr">
        <is>
          <t>7.01</t>
        </is>
      </c>
      <c r="B5" s="11" t="inlineStr">
        <is>
          <t xml:space="preserve">   Receitas</t>
        </is>
      </c>
      <c r="C5" s="12" t="n">
        <v>3282864</v>
      </c>
      <c r="D5" s="12" t="n">
        <v>3479393</v>
      </c>
      <c r="E5" s="13">
        <f>IFERROR(C5/C$19,"")</f>
        <v/>
      </c>
      <c r="F5" s="13">
        <f>IFERROR(D5/D$19,"")</f>
        <v/>
      </c>
      <c r="G5" s="12">
        <f>C5-D5</f>
        <v/>
      </c>
      <c r="H5" s="13">
        <f>IFERROR(C5/D5-1,"")</f>
        <v/>
      </c>
    </row>
    <row r="6">
      <c r="A6" t="inlineStr">
        <is>
          <t>7.01.01</t>
        </is>
      </c>
      <c r="B6" t="inlineStr">
        <is>
          <t xml:space="preserve">      Vendas de Mercadorias, Produtos e Serviços</t>
        </is>
      </c>
      <c r="C6" s="8" t="n">
        <v>3218728</v>
      </c>
      <c r="D6" s="8" t="n">
        <v>3417353</v>
      </c>
      <c r="E6" s="9">
        <f>IFERROR(C6/C$19,"")</f>
        <v/>
      </c>
      <c r="F6" s="9">
        <f>IFERROR(D6/D$19,"")</f>
        <v/>
      </c>
      <c r="G6" s="8">
        <f>C6-D6</f>
        <v/>
      </c>
      <c r="H6" s="9">
        <f>IFERROR(C6/D6-1,"")</f>
        <v/>
      </c>
    </row>
    <row r="7">
      <c r="A7" t="inlineStr">
        <is>
          <t>7.01.02</t>
        </is>
      </c>
      <c r="B7" t="inlineStr">
        <is>
          <t xml:space="preserve">      Outras Receitas</t>
        </is>
      </c>
      <c r="C7" s="8" t="n">
        <v>64136</v>
      </c>
      <c r="D7" s="8" t="n">
        <v>62040</v>
      </c>
      <c r="E7" s="9">
        <f>IFERROR(C7/C$19,"")</f>
        <v/>
      </c>
      <c r="F7" s="9">
        <f>IFERROR(D7/D$19,"")</f>
        <v/>
      </c>
      <c r="G7" s="8">
        <f>C7-D7</f>
        <v/>
      </c>
      <c r="H7" s="9">
        <f>IFERROR(C7/D7-1,"")</f>
        <v/>
      </c>
    </row>
    <row r="8">
      <c r="A8" s="11" t="inlineStr">
        <is>
          <t>7.02</t>
        </is>
      </c>
      <c r="B8" s="11" t="inlineStr">
        <is>
          <t xml:space="preserve">   Insumos Adquiridos de Terceiros</t>
        </is>
      </c>
      <c r="C8" s="12" t="n">
        <v>-1240773</v>
      </c>
      <c r="D8" s="12" t="n">
        <v>-1010134</v>
      </c>
      <c r="E8" s="13">
        <f>IFERROR(C8/C$19,"")</f>
        <v/>
      </c>
      <c r="F8" s="13">
        <f>IFERROR(D8/D$19,"")</f>
        <v/>
      </c>
      <c r="G8" s="12">
        <f>C8-D8</f>
        <v/>
      </c>
      <c r="H8" s="13">
        <f>IFERROR(C8/D8-1,"")</f>
        <v/>
      </c>
    </row>
    <row r="9">
      <c r="A9" t="inlineStr">
        <is>
          <t>7.02.01</t>
        </is>
      </c>
      <c r="B9" t="inlineStr">
        <is>
          <t xml:space="preserve">      Custos Prods., Mercs. e Servs. Vendidos</t>
        </is>
      </c>
      <c r="C9" s="8" t="n">
        <v>-104707</v>
      </c>
      <c r="D9" s="8" t="n">
        <v>-45122</v>
      </c>
      <c r="E9" s="9">
        <f>IFERROR(C9/C$19,"")</f>
        <v/>
      </c>
      <c r="F9" s="9">
        <f>IFERROR(D9/D$19,"")</f>
        <v/>
      </c>
      <c r="G9" s="8">
        <f>C9-D9</f>
        <v/>
      </c>
      <c r="H9" s="9">
        <f>IFERROR(C9/D9-1,"")</f>
        <v/>
      </c>
    </row>
    <row r="10">
      <c r="A10" t="inlineStr">
        <is>
          <t>7.02.02</t>
        </is>
      </c>
      <c r="B10" t="inlineStr">
        <is>
          <t xml:space="preserve">      Materiais, Energia, Servs. de Terceiros e Outros</t>
        </is>
      </c>
      <c r="C10" s="8" t="n">
        <v>-1136066</v>
      </c>
      <c r="D10" s="8" t="n">
        <v>-965012</v>
      </c>
      <c r="E10" s="9">
        <f>IFERROR(C10/C$19,"")</f>
        <v/>
      </c>
      <c r="F10" s="9">
        <f>IFERROR(D10/D$19,"")</f>
        <v/>
      </c>
      <c r="G10" s="8">
        <f>C10-D10</f>
        <v/>
      </c>
      <c r="H10" s="9">
        <f>IFERROR(C10/D10-1,"")</f>
        <v/>
      </c>
    </row>
    <row r="11">
      <c r="A11" s="11" t="inlineStr">
        <is>
          <t>7.03</t>
        </is>
      </c>
      <c r="B11" s="11" t="inlineStr">
        <is>
          <t xml:space="preserve">   Valor Adicionado Bruto</t>
        </is>
      </c>
      <c r="C11" s="12" t="n">
        <v>2042091</v>
      </c>
      <c r="D11" s="12" t="n">
        <v>2469259</v>
      </c>
      <c r="E11" s="13">
        <f>IFERROR(C11/C$19,"")</f>
        <v/>
      </c>
      <c r="F11" s="13">
        <f>IFERROR(D11/D$19,"")</f>
        <v/>
      </c>
      <c r="G11" s="12">
        <f>C11-D11</f>
        <v/>
      </c>
      <c r="H11" s="13">
        <f>IFERROR(C11/D11-1,"")</f>
        <v/>
      </c>
    </row>
    <row r="12">
      <c r="A12" s="11" t="inlineStr">
        <is>
          <t>7.04</t>
        </is>
      </c>
      <c r="B12" s="11" t="inlineStr">
        <is>
          <t xml:space="preserve">   Retenções</t>
        </is>
      </c>
      <c r="C12" s="12" t="n">
        <v>-538941</v>
      </c>
      <c r="D12" s="12" t="n">
        <v>-508275</v>
      </c>
      <c r="E12" s="13">
        <f>IFERROR(C12/C$19,"")</f>
        <v/>
      </c>
      <c r="F12" s="13">
        <f>IFERROR(D12/D$19,"")</f>
        <v/>
      </c>
      <c r="G12" s="12">
        <f>C12-D12</f>
        <v/>
      </c>
      <c r="H12" s="13">
        <f>IFERROR(C12/D12-1,"")</f>
        <v/>
      </c>
    </row>
    <row r="13">
      <c r="A13" t="inlineStr">
        <is>
          <t>7.04.01</t>
        </is>
      </c>
      <c r="B13" t="inlineStr">
        <is>
          <t xml:space="preserve">      Depreciação, Amortização e Exaustão</t>
        </is>
      </c>
      <c r="C13" s="8" t="n">
        <v>-538941</v>
      </c>
      <c r="D13" s="8" t="n">
        <v>-508275</v>
      </c>
      <c r="E13" s="9">
        <f>IFERROR(C13/C$19,"")</f>
        <v/>
      </c>
      <c r="F13" s="9">
        <f>IFERROR(D13/D$19,"")</f>
        <v/>
      </c>
      <c r="G13" s="8">
        <f>C13-D13</f>
        <v/>
      </c>
      <c r="H13" s="9">
        <f>IFERROR(C13/D13-1,"")</f>
        <v/>
      </c>
    </row>
    <row r="14">
      <c r="A14" s="11" t="inlineStr">
        <is>
          <t>7.05</t>
        </is>
      </c>
      <c r="B14" s="11" t="inlineStr">
        <is>
          <t xml:space="preserve">   Valor Adicionado Líquido Produzido</t>
        </is>
      </c>
      <c r="C14" s="12" t="n">
        <v>1503150</v>
      </c>
      <c r="D14" s="12" t="n">
        <v>1960984</v>
      </c>
      <c r="E14" s="13">
        <f>IFERROR(C14/C$19,"")</f>
        <v/>
      </c>
      <c r="F14" s="13">
        <f>IFERROR(D14/D$19,"")</f>
        <v/>
      </c>
      <c r="G14" s="12">
        <f>C14-D14</f>
        <v/>
      </c>
      <c r="H14" s="13">
        <f>IFERROR(C14/D14-1,"")</f>
        <v/>
      </c>
    </row>
    <row r="15">
      <c r="A15" s="11" t="inlineStr">
        <is>
          <t>7.06</t>
        </is>
      </c>
      <c r="B15" s="11" t="inlineStr">
        <is>
          <t xml:space="preserve">   Vlr Adicionado Recebido em Transferência</t>
        </is>
      </c>
      <c r="C15" s="12" t="n">
        <v>552841</v>
      </c>
      <c r="D15" s="12" t="n">
        <v>351687</v>
      </c>
      <c r="E15" s="13">
        <f>IFERROR(C15/C$19,"")</f>
        <v/>
      </c>
      <c r="F15" s="13">
        <f>IFERROR(D15/D$19,"")</f>
        <v/>
      </c>
      <c r="G15" s="12">
        <f>C15-D15</f>
        <v/>
      </c>
      <c r="H15" s="13">
        <f>IFERROR(C15/D15-1,"")</f>
        <v/>
      </c>
    </row>
    <row r="16">
      <c r="A16" t="inlineStr">
        <is>
          <t>7.06.01</t>
        </is>
      </c>
      <c r="B16" t="inlineStr">
        <is>
          <t xml:space="preserve">      Resultado de Equivalência Patrimonial</t>
        </is>
      </c>
      <c r="C16" s="8" t="n">
        <v>87764</v>
      </c>
      <c r="D16" s="8" t="n">
        <v>106855</v>
      </c>
      <c r="E16" s="9">
        <f>IFERROR(C16/C$19,"")</f>
        <v/>
      </c>
      <c r="F16" s="9">
        <f>IFERROR(D16/D$19,"")</f>
        <v/>
      </c>
      <c r="G16" s="8">
        <f>C16-D16</f>
        <v/>
      </c>
      <c r="H16" s="9">
        <f>IFERROR(C16/D16-1,"")</f>
        <v/>
      </c>
    </row>
    <row r="17">
      <c r="A17" t="inlineStr">
        <is>
          <t>7.06.03</t>
        </is>
      </c>
      <c r="B17" t="inlineStr">
        <is>
          <t xml:space="preserve">      Outros</t>
        </is>
      </c>
      <c r="C17" s="8" t="n">
        <v>465077</v>
      </c>
      <c r="D17" s="8" t="n">
        <v>244832</v>
      </c>
      <c r="E17" s="9">
        <f>IFERROR(C17/C$19,"")</f>
        <v/>
      </c>
      <c r="F17" s="9">
        <f>IFERROR(D17/D$19,"")</f>
        <v/>
      </c>
      <c r="G17" s="8">
        <f>C17-D17</f>
        <v/>
      </c>
      <c r="H17" s="9">
        <f>IFERROR(C17/D17-1,"")</f>
        <v/>
      </c>
    </row>
    <row r="18">
      <c r="A18" s="11" t="inlineStr">
        <is>
          <t>7.07</t>
        </is>
      </c>
      <c r="B18" s="11" t="inlineStr">
        <is>
          <t xml:space="preserve">   Valor Adicionado Total a Distribuir</t>
        </is>
      </c>
      <c r="C18" s="12" t="n">
        <v>2055991</v>
      </c>
      <c r="D18" s="12" t="n">
        <v>2312671</v>
      </c>
      <c r="E18" s="13">
        <f>IFERROR(C18/C$19,"")</f>
        <v/>
      </c>
      <c r="F18" s="13">
        <f>IFERROR(D18/D$19,"")</f>
        <v/>
      </c>
      <c r="G18" s="12">
        <f>C18-D18</f>
        <v/>
      </c>
      <c r="H18" s="13">
        <f>IFERROR(C18/D18-1,"")</f>
        <v/>
      </c>
    </row>
    <row r="19">
      <c r="A19" s="11" t="inlineStr">
        <is>
          <t>7.08</t>
        </is>
      </c>
      <c r="B19" s="11" t="inlineStr">
        <is>
          <t xml:space="preserve">   Distribuição do Valor Adicionado</t>
        </is>
      </c>
      <c r="C19" s="12" t="n">
        <v>2055991</v>
      </c>
      <c r="D19" s="12" t="n">
        <v>2312671</v>
      </c>
      <c r="E19" s="13">
        <f>IFERROR(C19/C$19,"")</f>
        <v/>
      </c>
      <c r="F19" s="13">
        <f>IFERROR(D19/D$19,"")</f>
        <v/>
      </c>
      <c r="G19" s="12">
        <f>C19-D19</f>
        <v/>
      </c>
      <c r="H19" s="13">
        <f>IFERROR(C19/D19-1,"")</f>
        <v/>
      </c>
    </row>
    <row r="20">
      <c r="A20" t="inlineStr">
        <is>
          <t>7.08.01</t>
        </is>
      </c>
      <c r="B20" t="inlineStr">
        <is>
          <t xml:space="preserve">      Pessoal</t>
        </is>
      </c>
      <c r="C20" s="8" t="n">
        <v>243139</v>
      </c>
      <c r="D20" s="8" t="n">
        <v>370952</v>
      </c>
      <c r="E20" s="9">
        <f>IFERROR(C20/C$19,"")</f>
        <v/>
      </c>
      <c r="F20" s="9">
        <f>IFERROR(D20/D$19,"")</f>
        <v/>
      </c>
      <c r="G20" s="8">
        <f>C20-D20</f>
        <v/>
      </c>
      <c r="H20" s="9">
        <f>IFERROR(C20/D20-1,"")</f>
        <v/>
      </c>
    </row>
    <row r="21">
      <c r="A21" t="inlineStr">
        <is>
          <t>7.08.01.01</t>
        </is>
      </c>
      <c r="B21" t="inlineStr">
        <is>
          <t xml:space="preserve">         Remuneração Direta</t>
        </is>
      </c>
      <c r="C21" s="8" t="n">
        <v>142468</v>
      </c>
      <c r="D21" s="8" t="n">
        <v>255796</v>
      </c>
      <c r="E21" s="9">
        <f>IFERROR(C21/C$19,"")</f>
        <v/>
      </c>
      <c r="F21" s="9">
        <f>IFERROR(D21/D$19,"")</f>
        <v/>
      </c>
      <c r="G21" s="8">
        <f>C21-D21</f>
        <v/>
      </c>
      <c r="H21" s="9">
        <f>IFERROR(C21/D21-1,"")</f>
        <v/>
      </c>
    </row>
    <row r="22">
      <c r="A22" t="inlineStr">
        <is>
          <t>7.08.01.02</t>
        </is>
      </c>
      <c r="B22" t="inlineStr">
        <is>
          <t xml:space="preserve">         Benefícios</t>
        </is>
      </c>
      <c r="C22" s="8" t="n">
        <v>90243</v>
      </c>
      <c r="D22" s="8" t="n">
        <v>99545</v>
      </c>
      <c r="E22" s="9">
        <f>IFERROR(C22/C$19,"")</f>
        <v/>
      </c>
      <c r="F22" s="9">
        <f>IFERROR(D22/D$19,"")</f>
        <v/>
      </c>
      <c r="G22" s="8">
        <f>C22-D22</f>
        <v/>
      </c>
      <c r="H22" s="9">
        <f>IFERROR(C22/D22-1,"")</f>
        <v/>
      </c>
    </row>
    <row r="23">
      <c r="A23" t="inlineStr">
        <is>
          <t>7.08.01.03</t>
        </is>
      </c>
      <c r="B23" t="inlineStr">
        <is>
          <t xml:space="preserve">         F.G.T.S.</t>
        </is>
      </c>
      <c r="C23" s="8" t="n">
        <v>10428</v>
      </c>
      <c r="D23" s="8" t="n">
        <v>15611</v>
      </c>
      <c r="E23" s="9">
        <f>IFERROR(C23/C$19,"")</f>
        <v/>
      </c>
      <c r="F23" s="9">
        <f>IFERROR(D23/D$19,"")</f>
        <v/>
      </c>
      <c r="G23" s="8">
        <f>C23-D23</f>
        <v/>
      </c>
      <c r="H23" s="9">
        <f>IFERROR(C23/D23-1,"")</f>
        <v/>
      </c>
    </row>
    <row r="24">
      <c r="A24" t="inlineStr">
        <is>
          <t>7.08.02</t>
        </is>
      </c>
      <c r="B24" t="inlineStr">
        <is>
          <t xml:space="preserve">      Impostos, Taxas e Contribuições</t>
        </is>
      </c>
      <c r="C24" s="8" t="n">
        <v>541204</v>
      </c>
      <c r="D24" s="8" t="n">
        <v>405814</v>
      </c>
      <c r="E24" s="9">
        <f>IFERROR(C24/C$19,"")</f>
        <v/>
      </c>
      <c r="F24" s="9">
        <f>IFERROR(D24/D$19,"")</f>
        <v/>
      </c>
      <c r="G24" s="8">
        <f>C24-D24</f>
        <v/>
      </c>
      <c r="H24" s="9">
        <f>IFERROR(C24/D24-1,"")</f>
        <v/>
      </c>
    </row>
    <row r="25">
      <c r="A25" t="inlineStr">
        <is>
          <t>7.08.02.01</t>
        </is>
      </c>
      <c r="B25" t="inlineStr">
        <is>
          <t xml:space="preserve">         Federais</t>
        </is>
      </c>
      <c r="C25" s="8" t="n">
        <v>335449</v>
      </c>
      <c r="D25" s="8" t="n">
        <v>190194</v>
      </c>
      <c r="E25" s="9">
        <f>IFERROR(C25/C$19,"")</f>
        <v/>
      </c>
      <c r="F25" s="9">
        <f>IFERROR(D25/D$19,"")</f>
        <v/>
      </c>
      <c r="G25" s="8">
        <f>C25-D25</f>
        <v/>
      </c>
      <c r="H25" s="9">
        <f>IFERROR(C25/D25-1,"")</f>
        <v/>
      </c>
    </row>
    <row r="26">
      <c r="A26" t="inlineStr">
        <is>
          <t>7.08.02.02</t>
        </is>
      </c>
      <c r="B26" t="inlineStr">
        <is>
          <t xml:space="preserve">         Estaduais</t>
        </is>
      </c>
      <c r="C26" s="8" t="n">
        <v>204054</v>
      </c>
      <c r="D26" s="8" t="n">
        <v>212213</v>
      </c>
      <c r="E26" s="9">
        <f>IFERROR(C26/C$19,"")</f>
        <v/>
      </c>
      <c r="F26" s="9">
        <f>IFERROR(D26/D$19,"")</f>
        <v/>
      </c>
      <c r="G26" s="8">
        <f>C26-D26</f>
        <v/>
      </c>
      <c r="H26" s="9">
        <f>IFERROR(C26/D26-1,"")</f>
        <v/>
      </c>
    </row>
    <row r="27">
      <c r="A27" t="inlineStr">
        <is>
          <t>7.08.02.03</t>
        </is>
      </c>
      <c r="B27" t="inlineStr">
        <is>
          <t xml:space="preserve">         Municipais</t>
        </is>
      </c>
      <c r="C27" s="8" t="n">
        <v>1701</v>
      </c>
      <c r="D27" s="8" t="n">
        <v>3407</v>
      </c>
      <c r="E27" s="9">
        <f>IFERROR(C27/C$19,"")</f>
        <v/>
      </c>
      <c r="F27" s="9">
        <f>IFERROR(D27/D$19,"")</f>
        <v/>
      </c>
      <c r="G27" s="8">
        <f>C27-D27</f>
        <v/>
      </c>
      <c r="H27" s="9">
        <f>IFERROR(C27/D27-1,"")</f>
        <v/>
      </c>
    </row>
    <row r="28">
      <c r="A28" t="inlineStr">
        <is>
          <t>7.08.03</t>
        </is>
      </c>
      <c r="B28" t="inlineStr">
        <is>
          <t xml:space="preserve">      Remuneração de Capitais de Terceiros</t>
        </is>
      </c>
      <c r="C28" s="8" t="n">
        <v>633296</v>
      </c>
      <c r="D28" s="8" t="n">
        <v>1098407</v>
      </c>
      <c r="E28" s="9">
        <f>IFERROR(C28/C$19,"")</f>
        <v/>
      </c>
      <c r="F28" s="9">
        <f>IFERROR(D28/D$19,"")</f>
        <v/>
      </c>
      <c r="G28" s="8">
        <f>C28-D28</f>
        <v/>
      </c>
      <c r="H28" s="9">
        <f>IFERROR(C28/D28-1,"")</f>
        <v/>
      </c>
    </row>
    <row r="29">
      <c r="A29" t="inlineStr">
        <is>
          <t>7.08.03.01</t>
        </is>
      </c>
      <c r="B29" t="inlineStr">
        <is>
          <t xml:space="preserve">         Juros</t>
        </is>
      </c>
      <c r="C29" s="8" t="n">
        <v>394025</v>
      </c>
      <c r="D29" s="8" t="n">
        <v>868742</v>
      </c>
      <c r="E29" s="9">
        <f>IFERROR(C29/C$19,"")</f>
        <v/>
      </c>
      <c r="F29" s="9">
        <f>IFERROR(D29/D$19,"")</f>
        <v/>
      </c>
      <c r="G29" s="8">
        <f>C29-D29</f>
        <v/>
      </c>
      <c r="H29" s="9">
        <f>IFERROR(C29/D29-1,"")</f>
        <v/>
      </c>
    </row>
    <row r="30">
      <c r="A30" t="inlineStr">
        <is>
          <t>7.08.03.02</t>
        </is>
      </c>
      <c r="B30" t="inlineStr">
        <is>
          <t xml:space="preserve">         Aluguéis</t>
        </is>
      </c>
      <c r="C30" s="8" t="n">
        <v>55247</v>
      </c>
      <c r="D30" s="8" t="n">
        <v>42772</v>
      </c>
      <c r="E30" s="9">
        <f>IFERROR(C30/C$19,"")</f>
        <v/>
      </c>
      <c r="F30" s="9">
        <f>IFERROR(D30/D$19,"")</f>
        <v/>
      </c>
      <c r="G30" s="8">
        <f>C30-D30</f>
        <v/>
      </c>
      <c r="H30" s="9">
        <f>IFERROR(C30/D30-1,"")</f>
        <v/>
      </c>
    </row>
    <row r="31">
      <c r="A31" t="inlineStr">
        <is>
          <t>7.08.03.03</t>
        </is>
      </c>
      <c r="B31" t="inlineStr">
        <is>
          <t xml:space="preserve">         Outras</t>
        </is>
      </c>
      <c r="C31" s="8" t="n">
        <v>184024</v>
      </c>
      <c r="D31" s="8" t="n">
        <v>186893</v>
      </c>
      <c r="E31" s="9">
        <f>IFERROR(C31/C$19,"")</f>
        <v/>
      </c>
      <c r="F31" s="9">
        <f>IFERROR(D31/D$19,"")</f>
        <v/>
      </c>
      <c r="G31" s="8">
        <f>C31-D31</f>
        <v/>
      </c>
      <c r="H31" s="9">
        <f>IFERROR(C31/D31-1,"")</f>
        <v/>
      </c>
    </row>
    <row r="32">
      <c r="A32" t="inlineStr">
        <is>
          <t>7.08.03.03.01</t>
        </is>
      </c>
      <c r="B32" t="inlineStr">
        <is>
          <t xml:space="preserve">            Royalties</t>
        </is>
      </c>
      <c r="C32" s="8" t="n">
        <v>184024</v>
      </c>
      <c r="D32" s="8" t="n">
        <v>186893</v>
      </c>
      <c r="E32" s="9">
        <f>IFERROR(C32/C$19,"")</f>
        <v/>
      </c>
      <c r="F32" s="9">
        <f>IFERROR(D32/D$19,"")</f>
        <v/>
      </c>
      <c r="G32" s="8">
        <f>C32-D32</f>
        <v/>
      </c>
      <c r="H32" s="9">
        <f>IFERROR(C32/D32-1,"")</f>
        <v/>
      </c>
    </row>
    <row r="33">
      <c r="A33" t="inlineStr">
        <is>
          <t>7.08.04</t>
        </is>
      </c>
      <c r="B33" t="inlineStr">
        <is>
          <t xml:space="preserve">      Remuneração de Capitais Próprios</t>
        </is>
      </c>
      <c r="C33" s="8" t="n">
        <v>638352</v>
      </c>
      <c r="D33" s="8" t="n">
        <v>437498</v>
      </c>
      <c r="E33" s="9">
        <f>IFERROR(C33/C$19,"")</f>
        <v/>
      </c>
      <c r="F33" s="9">
        <f>IFERROR(D33/D$19,"")</f>
        <v/>
      </c>
      <c r="G33" s="8">
        <f>C33-D33</f>
        <v/>
      </c>
      <c r="H33" s="9">
        <f>IFERROR(C33/D33-1,"")</f>
        <v/>
      </c>
    </row>
    <row r="34">
      <c r="A34" t="inlineStr">
        <is>
          <t>7.08.04.01</t>
        </is>
      </c>
      <c r="B34" t="inlineStr">
        <is>
          <t xml:space="preserve">         Juros sobre o Capital Próprio</t>
        </is>
      </c>
      <c r="C34" s="8" t="n">
        <v>263400</v>
      </c>
      <c r="D34" s="8" t="n">
        <v>353059</v>
      </c>
      <c r="E34" s="9">
        <f>IFERROR(C34/C$19,"")</f>
        <v/>
      </c>
      <c r="F34" s="9">
        <f>IFERROR(D34/D$19,"")</f>
        <v/>
      </c>
      <c r="G34" s="8">
        <f>C34-D34</f>
        <v/>
      </c>
      <c r="H34" s="9">
        <f>IFERROR(C34/D34-1,"")</f>
        <v/>
      </c>
    </row>
    <row r="35">
      <c r="A35" t="inlineStr">
        <is>
          <t>7.08.04.03</t>
        </is>
      </c>
      <c r="B35" t="inlineStr">
        <is>
          <t xml:space="preserve">         Lucros Retidos / Prejuízo do Período</t>
        </is>
      </c>
      <c r="C35" s="8" t="n">
        <v>374952</v>
      </c>
      <c r="D35" s="8" t="n">
        <v>84439</v>
      </c>
      <c r="E35" s="9">
        <f>IFERROR(C35/C$19,"")</f>
        <v/>
      </c>
      <c r="F35" s="9">
        <f>IFERROR(D35/D$19,"")</f>
        <v/>
      </c>
      <c r="G35" s="8">
        <f>C35-D35</f>
        <v/>
      </c>
      <c r="H35" s="9">
        <f>IFERROR(C35/D35-1,"")</f>
        <v/>
      </c>
    </row>
    <row r="37">
      <c r="A37" s="2" t="inlineStr">
        <is>
          <t>AV: base = ativo total / passivo total / receita liquida / valor adicionado a distribuir. AH: 2025 versus 2024.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Consistencia: comparativo 2024 apresentado na DFP 2025 x saldo final da DFP 2024 (insumo PT 510 - saldos iniciais)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Demonstracao</t>
        </is>
      </c>
      <c r="B4" s="3" t="inlineStr">
        <is>
          <t>Codigo</t>
        </is>
      </c>
      <c r="C4" s="3" t="inlineStr">
        <is>
          <t>Conta</t>
        </is>
      </c>
      <c r="D4" s="3" t="inlineStr">
        <is>
          <t>2024 na DFP 2025 (F03)</t>
        </is>
      </c>
      <c r="E4" s="3" t="inlineStr">
        <is>
          <t>2024 na DFP 2024 v2 (F04)</t>
        </is>
      </c>
      <c r="F4" s="3" t="inlineStr">
        <is>
          <t>Diferenca</t>
        </is>
      </c>
    </row>
    <row r="5">
      <c r="A5" t="inlineStr">
        <is>
          <t>BPA_con</t>
        </is>
      </c>
      <c r="B5" t="inlineStr">
        <is>
          <t>1</t>
        </is>
      </c>
      <c r="C5" t="inlineStr">
        <is>
          <t>Ativo Total</t>
        </is>
      </c>
      <c r="D5" s="8" t="n">
        <v>7437571</v>
      </c>
      <c r="E5" s="8" t="n">
        <v>7437571</v>
      </c>
      <c r="F5" s="8">
        <f>D5-E5</f>
        <v/>
      </c>
    </row>
    <row r="6">
      <c r="A6" t="inlineStr">
        <is>
          <t>BPA_con</t>
        </is>
      </c>
      <c r="B6" t="inlineStr">
        <is>
          <t>1.01</t>
        </is>
      </c>
      <c r="C6" t="inlineStr">
        <is>
          <t>Ativo Circulante</t>
        </is>
      </c>
      <c r="D6" s="8" t="n">
        <v>1569425</v>
      </c>
      <c r="E6" s="8" t="n">
        <v>1569425</v>
      </c>
      <c r="F6" s="8">
        <f>D6-E6</f>
        <v/>
      </c>
    </row>
    <row r="7">
      <c r="A7" t="inlineStr">
        <is>
          <t>BPA_con</t>
        </is>
      </c>
      <c r="B7" t="inlineStr">
        <is>
          <t>1.01.01</t>
        </is>
      </c>
      <c r="C7" t="inlineStr">
        <is>
          <t>Caixa e Equivalentes de Caixa</t>
        </is>
      </c>
      <c r="D7" s="8" t="n">
        <v>295548</v>
      </c>
      <c r="E7" s="8" t="n">
        <v>295548</v>
      </c>
      <c r="F7" s="8">
        <f>D7-E7</f>
        <v/>
      </c>
    </row>
    <row r="8">
      <c r="A8" t="inlineStr">
        <is>
          <t>BPA_con</t>
        </is>
      </c>
      <c r="B8" t="inlineStr">
        <is>
          <t>1.01.02</t>
        </is>
      </c>
      <c r="C8" t="inlineStr">
        <is>
          <t>Aplicações Financeiras</t>
        </is>
      </c>
      <c r="D8" s="8" t="n">
        <v>761939</v>
      </c>
      <c r="E8" s="8" t="n">
        <v>761939</v>
      </c>
      <c r="F8" s="8">
        <f>D8-E8</f>
        <v/>
      </c>
    </row>
    <row r="9">
      <c r="A9" t="inlineStr">
        <is>
          <t>BPA_con</t>
        </is>
      </c>
      <c r="B9" t="inlineStr">
        <is>
          <t>1.01.03</t>
        </is>
      </c>
      <c r="C9" t="inlineStr">
        <is>
          <t>Contas a Receber</t>
        </is>
      </c>
      <c r="D9" s="8" t="n">
        <v>361095</v>
      </c>
      <c r="E9" s="8" t="n">
        <v>361095</v>
      </c>
      <c r="F9" s="8">
        <f>D9-E9</f>
        <v/>
      </c>
    </row>
    <row r="10">
      <c r="A10" t="inlineStr">
        <is>
          <t>BPA_con</t>
        </is>
      </c>
      <c r="B10" t="inlineStr">
        <is>
          <t>1.01.04</t>
        </is>
      </c>
      <c r="C10" t="inlineStr">
        <is>
          <t>Estoques</t>
        </is>
      </c>
      <c r="D10" s="8" t="n">
        <v>9766</v>
      </c>
      <c r="E10" s="8" t="n">
        <v>9766</v>
      </c>
      <c r="F10" s="8">
        <f>D10-E10</f>
        <v/>
      </c>
    </row>
    <row r="11">
      <c r="A11" t="inlineStr">
        <is>
          <t>BPA_con</t>
        </is>
      </c>
      <c r="B11" t="inlineStr">
        <is>
          <t>1.01.06</t>
        </is>
      </c>
      <c r="C11" t="inlineStr">
        <is>
          <t>Tributos a Recuperar</t>
        </is>
      </c>
      <c r="D11" s="8" t="n">
        <v>96616</v>
      </c>
      <c r="E11" s="8" t="n">
        <v>96616</v>
      </c>
      <c r="F11" s="8">
        <f>D11-E11</f>
        <v/>
      </c>
    </row>
    <row r="12">
      <c r="A12" t="inlineStr">
        <is>
          <t>BPA_con</t>
        </is>
      </c>
      <c r="B12" t="inlineStr">
        <is>
          <t>1.01.08</t>
        </is>
      </c>
      <c r="C12" t="inlineStr">
        <is>
          <t>Outros Ativos Circulantes</t>
        </is>
      </c>
      <c r="D12" s="8" t="n">
        <v>44461</v>
      </c>
      <c r="E12" s="8" t="n">
        <v>44461</v>
      </c>
      <c r="F12" s="8">
        <f>D12-E12</f>
        <v/>
      </c>
    </row>
    <row r="13">
      <c r="A13" t="inlineStr">
        <is>
          <t>BPA_con</t>
        </is>
      </c>
      <c r="B13" t="inlineStr">
        <is>
          <t>1.02</t>
        </is>
      </c>
      <c r="C13" t="inlineStr">
        <is>
          <t>Ativo Não Circulante</t>
        </is>
      </c>
      <c r="D13" s="8" t="n">
        <v>5868146</v>
      </c>
      <c r="E13" s="8" t="n">
        <v>5868146</v>
      </c>
      <c r="F13" s="8">
        <f>D13-E13</f>
        <v/>
      </c>
    </row>
    <row r="14">
      <c r="A14" t="inlineStr">
        <is>
          <t>BPA_con</t>
        </is>
      </c>
      <c r="B14" t="inlineStr">
        <is>
          <t>1.02.01</t>
        </is>
      </c>
      <c r="C14" t="inlineStr">
        <is>
          <t>Ativo Realizável a Longo Prazo</t>
        </is>
      </c>
      <c r="D14" s="8" t="n">
        <v>306832</v>
      </c>
      <c r="E14" s="8" t="n">
        <v>306832</v>
      </c>
      <c r="F14" s="8">
        <f>D14-E14</f>
        <v/>
      </c>
    </row>
    <row r="15">
      <c r="A15" t="inlineStr">
        <is>
          <t>BPA_con</t>
        </is>
      </c>
      <c r="B15" t="inlineStr">
        <is>
          <t>1.02.03</t>
        </is>
      </c>
      <c r="C15" t="inlineStr">
        <is>
          <t>Imobilizado</t>
        </is>
      </c>
      <c r="D15" s="8" t="n">
        <v>5540758</v>
      </c>
      <c r="E15" s="8" t="n">
        <v>5540758</v>
      </c>
      <c r="F15" s="8">
        <f>D15-E15</f>
        <v/>
      </c>
    </row>
    <row r="16">
      <c r="A16" t="inlineStr">
        <is>
          <t>BPA_con</t>
        </is>
      </c>
      <c r="B16" t="inlineStr">
        <is>
          <t>1.02.04</t>
        </is>
      </c>
      <c r="C16" t="inlineStr">
        <is>
          <t>Intangível</t>
        </is>
      </c>
      <c r="D16" s="8" t="n">
        <v>20556</v>
      </c>
      <c r="E16" s="8" t="n">
        <v>20556</v>
      </c>
      <c r="F16" s="8">
        <f>D16-E16</f>
        <v/>
      </c>
    </row>
    <row r="17">
      <c r="A17" t="inlineStr">
        <is>
          <t>BPP_con</t>
        </is>
      </c>
      <c r="B17" t="inlineStr">
        <is>
          <t>2</t>
        </is>
      </c>
      <c r="C17" t="inlineStr">
        <is>
          <t>Passivo Total</t>
        </is>
      </c>
      <c r="D17" s="8" t="n">
        <v>7437571</v>
      </c>
      <c r="E17" s="8" t="n">
        <v>7437571</v>
      </c>
      <c r="F17" s="8">
        <f>D17-E17</f>
        <v/>
      </c>
    </row>
    <row r="18">
      <c r="A18" t="inlineStr">
        <is>
          <t>BPP_con</t>
        </is>
      </c>
      <c r="B18" t="inlineStr">
        <is>
          <t>2.01</t>
        </is>
      </c>
      <c r="C18" t="inlineStr">
        <is>
          <t>Passivo Circulante</t>
        </is>
      </c>
      <c r="D18" s="8" t="n">
        <v>732356</v>
      </c>
      <c r="E18" s="8" t="n">
        <v>732356</v>
      </c>
      <c r="F18" s="8">
        <f>D18-E18</f>
        <v/>
      </c>
    </row>
    <row r="19">
      <c r="A19" t="inlineStr">
        <is>
          <t>BPP_con</t>
        </is>
      </c>
      <c r="B19" t="inlineStr">
        <is>
          <t>2.01.01</t>
        </is>
      </c>
      <c r="C19" t="inlineStr">
        <is>
          <t>Obrigações Sociais e Trabalhistas</t>
        </is>
      </c>
      <c r="D19" s="8" t="n">
        <v>93929</v>
      </c>
      <c r="E19" s="8" t="n">
        <v>93929</v>
      </c>
      <c r="F19" s="8">
        <f>D19-E19</f>
        <v/>
      </c>
    </row>
    <row r="20">
      <c r="A20" t="inlineStr">
        <is>
          <t>BPP_con</t>
        </is>
      </c>
      <c r="B20" t="inlineStr">
        <is>
          <t>2.01.02</t>
        </is>
      </c>
      <c r="C20" t="inlineStr">
        <is>
          <t>Fornecedores</t>
        </is>
      </c>
      <c r="D20" s="8" t="n">
        <v>299110</v>
      </c>
      <c r="E20" s="8" t="n">
        <v>299110</v>
      </c>
      <c r="F20" s="8">
        <f>D20-E20</f>
        <v/>
      </c>
    </row>
    <row r="21">
      <c r="A21" t="inlineStr">
        <is>
          <t>BPP_con</t>
        </is>
      </c>
      <c r="B21" t="inlineStr">
        <is>
          <t>2.01.03</t>
        </is>
      </c>
      <c r="C21" t="inlineStr">
        <is>
          <t>Obrigações Fiscais</t>
        </is>
      </c>
      <c r="D21" s="8" t="n">
        <v>74193</v>
      </c>
      <c r="E21" s="8" t="n">
        <v>74193</v>
      </c>
      <c r="F21" s="8">
        <f>D21-E21</f>
        <v/>
      </c>
    </row>
    <row r="22">
      <c r="A22" t="inlineStr">
        <is>
          <t>BPP_con</t>
        </is>
      </c>
      <c r="B22" t="inlineStr">
        <is>
          <t>2.01.04</t>
        </is>
      </c>
      <c r="C22" t="inlineStr">
        <is>
          <t>Empréstimos e Financiamentos</t>
        </is>
      </c>
      <c r="D22" s="8" t="n">
        <v>20907</v>
      </c>
      <c r="E22" s="8" t="n">
        <v>20907</v>
      </c>
      <c r="F22" s="8">
        <f>D22-E22</f>
        <v/>
      </c>
    </row>
    <row r="23">
      <c r="A23" t="inlineStr">
        <is>
          <t>BPP_con</t>
        </is>
      </c>
      <c r="B23" t="inlineStr">
        <is>
          <t>2.01.05</t>
        </is>
      </c>
      <c r="C23" t="inlineStr">
        <is>
          <t>Outras Obrigações</t>
        </is>
      </c>
      <c r="D23" s="8" t="n">
        <v>243875</v>
      </c>
      <c r="E23" s="8" t="n">
        <v>243875</v>
      </c>
      <c r="F23" s="8">
        <f>D23-E23</f>
        <v/>
      </c>
    </row>
    <row r="24">
      <c r="A24" t="inlineStr">
        <is>
          <t>BPP_con</t>
        </is>
      </c>
      <c r="B24" t="inlineStr">
        <is>
          <t>2.01.06</t>
        </is>
      </c>
      <c r="C24" t="inlineStr">
        <is>
          <t>Provisões</t>
        </is>
      </c>
      <c r="D24" s="8" t="n">
        <v>342</v>
      </c>
      <c r="E24" s="8" t="n">
        <v>342</v>
      </c>
      <c r="F24" s="8">
        <f>D24-E24</f>
        <v/>
      </c>
    </row>
    <row r="25">
      <c r="A25" t="inlineStr">
        <is>
          <t>BPP_con</t>
        </is>
      </c>
      <c r="B25" t="inlineStr">
        <is>
          <t>2.02</t>
        </is>
      </c>
      <c r="C25" t="inlineStr">
        <is>
          <t>Passivo Não Circulante</t>
        </is>
      </c>
      <c r="D25" s="8" t="n">
        <v>2469938</v>
      </c>
      <c r="E25" s="8" t="n">
        <v>2469938</v>
      </c>
      <c r="F25" s="8">
        <f>D25-E25</f>
        <v/>
      </c>
    </row>
    <row r="26">
      <c r="A26" t="inlineStr">
        <is>
          <t>BPP_con</t>
        </is>
      </c>
      <c r="B26" t="inlineStr">
        <is>
          <t>2.02.01</t>
        </is>
      </c>
      <c r="C26" t="inlineStr">
        <is>
          <t>Empréstimos e Financiamentos</t>
        </is>
      </c>
      <c r="D26" s="8" t="n">
        <v>1771414</v>
      </c>
      <c r="E26" s="8" t="n">
        <v>1771414</v>
      </c>
      <c r="F26" s="8">
        <f>D26-E26</f>
        <v/>
      </c>
    </row>
    <row r="27">
      <c r="A27" t="inlineStr">
        <is>
          <t>BPP_con</t>
        </is>
      </c>
      <c r="B27" t="inlineStr">
        <is>
          <t>2.02.02</t>
        </is>
      </c>
      <c r="C27" t="inlineStr">
        <is>
          <t>Outras Obrigações</t>
        </is>
      </c>
      <c r="D27" s="8" t="n">
        <v>513971</v>
      </c>
      <c r="E27" s="8" t="n">
        <v>513971</v>
      </c>
      <c r="F27" s="8">
        <f>D27-E27</f>
        <v/>
      </c>
    </row>
    <row r="28">
      <c r="A28" t="inlineStr">
        <is>
          <t>BPP_con</t>
        </is>
      </c>
      <c r="B28" t="inlineStr">
        <is>
          <t>2.02.04</t>
        </is>
      </c>
      <c r="C28" t="inlineStr">
        <is>
          <t>Provisões</t>
        </is>
      </c>
      <c r="D28" s="8" t="n">
        <v>184553</v>
      </c>
      <c r="E28" s="8" t="n">
        <v>184553</v>
      </c>
      <c r="F28" s="8">
        <f>D28-E28</f>
        <v/>
      </c>
    </row>
    <row r="29">
      <c r="A29" t="inlineStr">
        <is>
          <t>BPP_con</t>
        </is>
      </c>
      <c r="B29" t="inlineStr">
        <is>
          <t>2.03</t>
        </is>
      </c>
      <c r="C29" t="inlineStr">
        <is>
          <t>Patrimônio Líquido Consolidado</t>
        </is>
      </c>
      <c r="D29" s="8" t="n">
        <v>4235277</v>
      </c>
      <c r="E29" s="8" t="n">
        <v>4235277</v>
      </c>
      <c r="F29" s="8">
        <f>D29-E29</f>
        <v/>
      </c>
    </row>
    <row r="30">
      <c r="A30" t="inlineStr">
        <is>
          <t>BPP_con</t>
        </is>
      </c>
      <c r="B30" t="inlineStr">
        <is>
          <t>2.03.01</t>
        </is>
      </c>
      <c r="C30" t="inlineStr">
        <is>
          <t>Capital Social Realizado</t>
        </is>
      </c>
      <c r="D30" s="8" t="n">
        <v>2832476</v>
      </c>
      <c r="E30" s="8" t="n">
        <v>2832476</v>
      </c>
      <c r="F30" s="8">
        <f>D30-E30</f>
        <v/>
      </c>
    </row>
    <row r="31">
      <c r="A31" t="inlineStr">
        <is>
          <t>BPP_con</t>
        </is>
      </c>
      <c r="B31" t="inlineStr">
        <is>
          <t>2.03.02</t>
        </is>
      </c>
      <c r="C31" t="inlineStr">
        <is>
          <t>Reservas de Capital</t>
        </is>
      </c>
      <c r="D31" s="8" t="n">
        <v>49375</v>
      </c>
      <c r="E31" s="8" t="n">
        <v>49375</v>
      </c>
      <c r="F31" s="8">
        <f>D31-E31</f>
        <v/>
      </c>
    </row>
    <row r="32">
      <c r="A32" t="inlineStr">
        <is>
          <t>BPP_con</t>
        </is>
      </c>
      <c r="B32" t="inlineStr">
        <is>
          <t>2.03.04</t>
        </is>
      </c>
      <c r="C32" t="inlineStr">
        <is>
          <t>Reservas de Lucros</t>
        </is>
      </c>
      <c r="D32" s="8" t="n">
        <v>1318945</v>
      </c>
      <c r="E32" s="8" t="n">
        <v>1318945</v>
      </c>
      <c r="F32" s="8">
        <f>D32-E32</f>
        <v/>
      </c>
    </row>
    <row r="33">
      <c r="A33" t="inlineStr">
        <is>
          <t>BPP_con</t>
        </is>
      </c>
      <c r="B33" t="inlineStr">
        <is>
          <t>2.03.08</t>
        </is>
      </c>
      <c r="C33" t="inlineStr">
        <is>
          <t>Outros Resultados Abrangentes</t>
        </is>
      </c>
      <c r="D33" s="8" t="n">
        <v>34481</v>
      </c>
      <c r="E33" s="8" t="n">
        <v>34481</v>
      </c>
      <c r="F33" s="8">
        <f>D33-E33</f>
        <v/>
      </c>
    </row>
    <row r="34">
      <c r="A34" t="inlineStr">
        <is>
          <t>DRE_con</t>
        </is>
      </c>
      <c r="B34" t="inlineStr">
        <is>
          <t>3.01</t>
        </is>
      </c>
      <c r="C34" t="inlineStr">
        <is>
          <t>Receita de Venda de Bens e/ou Serviços</t>
        </is>
      </c>
      <c r="D34" s="8" t="n">
        <v>3264554</v>
      </c>
      <c r="E34" s="8" t="n">
        <v>3264554</v>
      </c>
      <c r="F34" s="8">
        <f>D34-E34</f>
        <v/>
      </c>
    </row>
    <row r="35">
      <c r="A35" t="inlineStr">
        <is>
          <t>DRE_con</t>
        </is>
      </c>
      <c r="B35" t="inlineStr">
        <is>
          <t>3.02</t>
        </is>
      </c>
      <c r="C35" t="inlineStr">
        <is>
          <t>Custo dos Bens e/ou Serviços Vendidos</t>
        </is>
      </c>
      <c r="D35" s="8" t="n">
        <v>-2072805</v>
      </c>
      <c r="E35" s="8" t="n">
        <v>-2072805</v>
      </c>
      <c r="F35" s="8">
        <f>D35-E35</f>
        <v/>
      </c>
    </row>
    <row r="36">
      <c r="A36" t="inlineStr">
        <is>
          <t>DRE_con</t>
        </is>
      </c>
      <c r="B36" t="inlineStr">
        <is>
          <t>3.02.01</t>
        </is>
      </c>
      <c r="C36" t="inlineStr">
        <is>
          <t>Custo dos Bens e/ou Serviços Vendidos</t>
        </is>
      </c>
      <c r="D36" s="8" t="n">
        <v>-2072805</v>
      </c>
      <c r="E36" s="8" t="n">
        <v>-2072805</v>
      </c>
      <c r="F36" s="8">
        <f>D36-E36</f>
        <v/>
      </c>
    </row>
    <row r="37">
      <c r="A37" t="inlineStr">
        <is>
          <t>DRE_con</t>
        </is>
      </c>
      <c r="B37" t="inlineStr">
        <is>
          <t>3.03</t>
        </is>
      </c>
      <c r="C37" t="inlineStr">
        <is>
          <t>Resultado Bruto</t>
        </is>
      </c>
      <c r="D37" s="8" t="n">
        <v>1191749</v>
      </c>
      <c r="E37" s="8" t="n">
        <v>1191749</v>
      </c>
      <c r="F37" s="8">
        <f>D37-E37</f>
        <v/>
      </c>
    </row>
    <row r="38">
      <c r="A38" t="inlineStr">
        <is>
          <t>DRE_con</t>
        </is>
      </c>
      <c r="B38" t="inlineStr">
        <is>
          <t>3.04</t>
        </is>
      </c>
      <c r="C38" t="inlineStr">
        <is>
          <t>Despesas/Receitas Operacionais</t>
        </is>
      </c>
      <c r="D38" s="8" t="n">
        <v>-243529</v>
      </c>
      <c r="E38" s="8" t="n">
        <v>-243529</v>
      </c>
      <c r="F38" s="8">
        <f>D38-E38</f>
        <v/>
      </c>
    </row>
    <row r="39">
      <c r="A39" t="inlineStr">
        <is>
          <t>DRE_con</t>
        </is>
      </c>
      <c r="B39" t="inlineStr">
        <is>
          <t>3.04.02</t>
        </is>
      </c>
      <c r="C39" t="inlineStr">
        <is>
          <t>Despesas Gerais e Administrativas</t>
        </is>
      </c>
      <c r="D39" s="8" t="n">
        <v>-208715</v>
      </c>
      <c r="E39" s="8" t="n">
        <v>-208715</v>
      </c>
      <c r="F39" s="8">
        <f>D39-E39</f>
        <v/>
      </c>
    </row>
    <row r="40">
      <c r="A40" t="inlineStr">
        <is>
          <t>DRE_con</t>
        </is>
      </c>
      <c r="B40" t="inlineStr">
        <is>
          <t>3.04.05</t>
        </is>
      </c>
      <c r="C40" t="inlineStr">
        <is>
          <t>Outras Despesas Operacionais</t>
        </is>
      </c>
      <c r="D40" s="8" t="n">
        <v>-34814</v>
      </c>
      <c r="E40" s="8" t="n">
        <v>-34814</v>
      </c>
      <c r="F40" s="8">
        <f>D40-E40</f>
        <v/>
      </c>
    </row>
    <row r="41">
      <c r="A41" t="inlineStr">
        <is>
          <t>DRE_con</t>
        </is>
      </c>
      <c r="B41" t="inlineStr">
        <is>
          <t>3.05</t>
        </is>
      </c>
      <c r="C41" t="inlineStr">
        <is>
          <t>Resultado Antes do Resultado Financeiro e dos Tributos</t>
        </is>
      </c>
      <c r="D41" s="8" t="n">
        <v>948220</v>
      </c>
      <c r="E41" s="8" t="n">
        <v>948220</v>
      </c>
      <c r="F41" s="8">
        <f>D41-E41</f>
        <v/>
      </c>
    </row>
    <row r="42">
      <c r="A42" t="inlineStr">
        <is>
          <t>DRE_con</t>
        </is>
      </c>
      <c r="B42" t="inlineStr">
        <is>
          <t>3.06</t>
        </is>
      </c>
      <c r="C42" t="inlineStr">
        <is>
          <t>Resultado Financeiro</t>
        </is>
      </c>
      <c r="D42" s="8" t="n">
        <v>-584815</v>
      </c>
      <c r="E42" s="8" t="n">
        <v>-584815</v>
      </c>
      <c r="F42" s="8">
        <f>D42-E42</f>
        <v/>
      </c>
    </row>
    <row r="43">
      <c r="A43" t="inlineStr">
        <is>
          <t>DRE_con</t>
        </is>
      </c>
      <c r="B43" t="inlineStr">
        <is>
          <t>3.06.01</t>
        </is>
      </c>
      <c r="C43" t="inlineStr">
        <is>
          <t>Receitas Financeiras</t>
        </is>
      </c>
      <c r="D43" s="8" t="n">
        <v>289862</v>
      </c>
      <c r="E43" s="8" t="n">
        <v>289862</v>
      </c>
      <c r="F43" s="8">
        <f>D43-E43</f>
        <v/>
      </c>
    </row>
    <row r="44">
      <c r="A44" t="inlineStr">
        <is>
          <t>DRE_con</t>
        </is>
      </c>
      <c r="B44" t="inlineStr">
        <is>
          <t>3.06.02</t>
        </is>
      </c>
      <c r="C44" t="inlineStr">
        <is>
          <t>Despesas Financeiras</t>
        </is>
      </c>
      <c r="D44" s="8" t="n">
        <v>-874677</v>
      </c>
      <c r="E44" s="8" t="n">
        <v>-874677</v>
      </c>
      <c r="F44" s="8">
        <f>D44-E44</f>
        <v/>
      </c>
    </row>
    <row r="45">
      <c r="A45" t="inlineStr">
        <is>
          <t>DRE_con</t>
        </is>
      </c>
      <c r="B45" t="inlineStr">
        <is>
          <t>3.07</t>
        </is>
      </c>
      <c r="C45" t="inlineStr">
        <is>
          <t>Resultado Antes dos Tributos sobre o Lucro</t>
        </is>
      </c>
      <c r="D45" s="8" t="n">
        <v>363405</v>
      </c>
      <c r="E45" s="8" t="n">
        <v>363405</v>
      </c>
      <c r="F45" s="8">
        <f>D45-E45</f>
        <v/>
      </c>
    </row>
    <row r="46">
      <c r="A46" t="inlineStr">
        <is>
          <t>DRE_con</t>
        </is>
      </c>
      <c r="B46" t="inlineStr">
        <is>
          <t>3.08</t>
        </is>
      </c>
      <c r="C46" t="inlineStr">
        <is>
          <t>Imposto de Renda e Contribuição Social sobre o Lucro</t>
        </is>
      </c>
      <c r="D46" s="8" t="n">
        <v>74093</v>
      </c>
      <c r="E46" s="8" t="n">
        <v>74093</v>
      </c>
      <c r="F46" s="8">
        <f>D46-E46</f>
        <v/>
      </c>
    </row>
    <row r="47">
      <c r="A47" t="inlineStr">
        <is>
          <t>DRE_con</t>
        </is>
      </c>
      <c r="B47" t="inlineStr">
        <is>
          <t>3.08.01</t>
        </is>
      </c>
      <c r="C47" t="inlineStr">
        <is>
          <t>Corrente</t>
        </is>
      </c>
      <c r="D47" s="8" t="n">
        <v>-11188</v>
      </c>
      <c r="E47" s="8" t="n">
        <v>-11188</v>
      </c>
      <c r="F47" s="8">
        <f>D47-E47</f>
        <v/>
      </c>
    </row>
    <row r="48">
      <c r="A48" t="inlineStr">
        <is>
          <t>DRE_con</t>
        </is>
      </c>
      <c r="B48" t="inlineStr">
        <is>
          <t>3.08.02</t>
        </is>
      </c>
      <c r="C48" t="inlineStr">
        <is>
          <t>Diferido</t>
        </is>
      </c>
      <c r="D48" s="8" t="n">
        <v>85281</v>
      </c>
      <c r="E48" s="8" t="n">
        <v>85281</v>
      </c>
      <c r="F48" s="8">
        <f>D48-E48</f>
        <v/>
      </c>
    </row>
    <row r="49">
      <c r="A49" t="inlineStr">
        <is>
          <t>DRE_con</t>
        </is>
      </c>
      <c r="B49" t="inlineStr">
        <is>
          <t>3.09</t>
        </is>
      </c>
      <c r="C49" t="inlineStr">
        <is>
          <t>Resultado Líquido das Operações Continuadas</t>
        </is>
      </c>
      <c r="D49" s="8" t="n">
        <v>437498</v>
      </c>
      <c r="E49" s="8" t="n">
        <v>437498</v>
      </c>
      <c r="F49" s="8">
        <f>D49-E49</f>
        <v/>
      </c>
    </row>
    <row r="50">
      <c r="A50" t="inlineStr">
        <is>
          <t>DRE_con</t>
        </is>
      </c>
      <c r="B50" t="inlineStr">
        <is>
          <t>3.11</t>
        </is>
      </c>
      <c r="C50" t="inlineStr">
        <is>
          <t>Lucro/Prejuízo Consolidado do Período</t>
        </is>
      </c>
      <c r="D50" s="8" t="n">
        <v>437498</v>
      </c>
      <c r="E50" s="8" t="n">
        <v>437498</v>
      </c>
      <c r="F50" s="8">
        <f>D50-E50</f>
        <v/>
      </c>
    </row>
    <row r="51">
      <c r="A51" t="inlineStr">
        <is>
          <t>DRE_con</t>
        </is>
      </c>
      <c r="B51" t="inlineStr">
        <is>
          <t>3.11.01</t>
        </is>
      </c>
      <c r="C51" t="inlineStr">
        <is>
          <t>Atribuído a Sócios da Empresa Controladora</t>
        </is>
      </c>
      <c r="D51" s="8" t="n">
        <v>437498</v>
      </c>
      <c r="E51" s="8" t="n">
        <v>437498</v>
      </c>
      <c r="F51" s="8">
        <f>D51-E51</f>
        <v/>
      </c>
    </row>
    <row r="52">
      <c r="A52" t="inlineStr">
        <is>
          <t>DFC_MI_con</t>
        </is>
      </c>
      <c r="B52" t="inlineStr">
        <is>
          <t>6.01</t>
        </is>
      </c>
      <c r="C52" t="inlineStr">
        <is>
          <t>Caixa Líquido Atividades Operacionais</t>
        </is>
      </c>
      <c r="D52" s="8" t="n">
        <v>2219127</v>
      </c>
      <c r="E52" s="8" t="n">
        <v>2219127</v>
      </c>
      <c r="F52" s="8">
        <f>D52-E52</f>
        <v/>
      </c>
    </row>
    <row r="53">
      <c r="A53" t="inlineStr">
        <is>
          <t>DFC_MI_con</t>
        </is>
      </c>
      <c r="B53" t="inlineStr">
        <is>
          <t>6.01.01</t>
        </is>
      </c>
      <c r="C53" t="inlineStr">
        <is>
          <t>Caixa Gerado nas Operações</t>
        </is>
      </c>
      <c r="D53" s="8" t="n">
        <v>2360823</v>
      </c>
      <c r="E53" s="8" t="n">
        <v>2360823</v>
      </c>
      <c r="F53" s="8">
        <f>D53-E53</f>
        <v/>
      </c>
    </row>
    <row r="54">
      <c r="A54" t="inlineStr">
        <is>
          <t>DFC_MI_con</t>
        </is>
      </c>
      <c r="B54" t="inlineStr">
        <is>
          <t>6.01.02</t>
        </is>
      </c>
      <c r="C54" t="inlineStr">
        <is>
          <t>Variações nos Ativos e Passivos</t>
        </is>
      </c>
      <c r="D54" s="8" t="n">
        <v>145366</v>
      </c>
      <c r="E54" s="8" t="n">
        <v>145366</v>
      </c>
      <c r="F54" s="8">
        <f>D54-E54</f>
        <v/>
      </c>
    </row>
    <row r="55">
      <c r="A55" t="inlineStr">
        <is>
          <t>DFC_MI_con</t>
        </is>
      </c>
      <c r="B55" t="inlineStr">
        <is>
          <t>6.01.03</t>
        </is>
      </c>
      <c r="C55" t="inlineStr">
        <is>
          <t>Outros</t>
        </is>
      </c>
      <c r="D55" s="8" t="n">
        <v>-287062</v>
      </c>
      <c r="E55" s="8" t="n">
        <v>-287062</v>
      </c>
      <c r="F55" s="8">
        <f>D55-E55</f>
        <v/>
      </c>
    </row>
    <row r="56">
      <c r="A56" t="inlineStr">
        <is>
          <t>DFC_MI_con</t>
        </is>
      </c>
      <c r="B56" t="inlineStr">
        <is>
          <t>6.02</t>
        </is>
      </c>
      <c r="C56" t="inlineStr">
        <is>
          <t>Caixa Líquido Atividades de Investimento</t>
        </is>
      </c>
      <c r="D56" s="8" t="n">
        <v>-1602586</v>
      </c>
      <c r="E56" s="8" t="n">
        <v>-1602586</v>
      </c>
      <c r="F56" s="8">
        <f>D56-E56</f>
        <v/>
      </c>
    </row>
    <row r="57">
      <c r="A57" t="inlineStr">
        <is>
          <t>DFC_MI_con</t>
        </is>
      </c>
      <c r="B57" t="inlineStr">
        <is>
          <t>6.02.01</t>
        </is>
      </c>
      <c r="C57" t="inlineStr">
        <is>
          <t>Aplicações financeiras</t>
        </is>
      </c>
      <c r="D57" s="8" t="n">
        <v>-417179</v>
      </c>
      <c r="E57" s="8" t="n">
        <v>-417179</v>
      </c>
      <c r="F57" s="8">
        <f>D57-E57</f>
        <v/>
      </c>
    </row>
    <row r="58">
      <c r="A58" t="inlineStr">
        <is>
          <t>DFC_MI_con</t>
        </is>
      </c>
      <c r="B58" t="inlineStr">
        <is>
          <t>6.02.02</t>
        </is>
      </c>
      <c r="C58" t="inlineStr">
        <is>
          <t>Adições ao imobilizado e intangível</t>
        </is>
      </c>
      <c r="D58" s="8" t="n">
        <v>-1185407</v>
      </c>
      <c r="E58" s="8" t="n">
        <v>-1185407</v>
      </c>
      <c r="F58" s="8">
        <f>D58-E58</f>
        <v/>
      </c>
    </row>
    <row r="59">
      <c r="A59" t="inlineStr">
        <is>
          <t>DFC_MI_con</t>
        </is>
      </c>
      <c r="B59" t="inlineStr">
        <is>
          <t>6.03</t>
        </is>
      </c>
      <c r="C59" t="inlineStr">
        <is>
          <t>Caixa Líquido Atividades de Financiamento</t>
        </is>
      </c>
      <c r="D59" s="8" t="n">
        <v>-518177</v>
      </c>
      <c r="E59" s="8" t="n">
        <v>-518177</v>
      </c>
      <c r="F59" s="8">
        <f>D59-E59</f>
        <v/>
      </c>
    </row>
    <row r="60">
      <c r="A60" t="inlineStr">
        <is>
          <t>DFC_MI_con</t>
        </is>
      </c>
      <c r="B60" t="inlineStr">
        <is>
          <t>6.03.02</t>
        </is>
      </c>
      <c r="C60" t="inlineStr">
        <is>
          <t>Pagamentos de financiamentos</t>
        </is>
      </c>
      <c r="D60" s="8" t="n">
        <v>-1043520</v>
      </c>
      <c r="E60" s="8" t="n">
        <v>-1043520</v>
      </c>
      <c r="F60" s="8">
        <f>D60-E60</f>
        <v/>
      </c>
    </row>
    <row r="61">
      <c r="A61" t="inlineStr">
        <is>
          <t>DFC_MI_con</t>
        </is>
      </c>
      <c r="B61" t="inlineStr">
        <is>
          <t>6.03.03</t>
        </is>
      </c>
      <c r="C61" t="inlineStr">
        <is>
          <t>Emissão de debêntures, líquidas dos custos de captação</t>
        </is>
      </c>
      <c r="D61" s="8" t="n">
        <v>1746027</v>
      </c>
      <c r="E61" s="8" t="n">
        <v>1746027</v>
      </c>
      <c r="F61" s="8">
        <f>D61-E61</f>
        <v/>
      </c>
    </row>
    <row r="62">
      <c r="A62" t="inlineStr">
        <is>
          <t>DFC_MI_con</t>
        </is>
      </c>
      <c r="B62" t="inlineStr">
        <is>
          <t>6.03.04</t>
        </is>
      </c>
      <c r="C62" t="inlineStr">
        <is>
          <t>Amortização de arrendamento mercantil - principal</t>
        </is>
      </c>
      <c r="D62" s="8" t="n">
        <v>-33574</v>
      </c>
      <c r="E62" s="8" t="n">
        <v>-33574</v>
      </c>
      <c r="F62" s="8">
        <f>D62-E62</f>
        <v/>
      </c>
    </row>
    <row r="63">
      <c r="A63" t="inlineStr">
        <is>
          <t>DFC_MI_con</t>
        </is>
      </c>
      <c r="B63" t="inlineStr">
        <is>
          <t>6.03.05</t>
        </is>
      </c>
      <c r="C63" t="inlineStr">
        <is>
          <t>Dividendos e juros sobre capital próprio pagos</t>
        </is>
      </c>
      <c r="D63" s="8" t="n">
        <v>-775976</v>
      </c>
      <c r="E63" s="8" t="n">
        <v>-775976</v>
      </c>
      <c r="F63" s="8">
        <f>D63-E63</f>
        <v/>
      </c>
    </row>
    <row r="64">
      <c r="A64" t="inlineStr">
        <is>
          <t>DFC_MI_con</t>
        </is>
      </c>
      <c r="B64" t="inlineStr">
        <is>
          <t>6.03.07</t>
        </is>
      </c>
      <c r="C64" t="inlineStr">
        <is>
          <t>Exercício de opção de ações</t>
        </is>
      </c>
      <c r="D64" s="8" t="n">
        <v>1207</v>
      </c>
      <c r="E64" s="8" t="n">
        <v>1207</v>
      </c>
      <c r="F64" s="8">
        <f>D64-E64</f>
        <v/>
      </c>
    </row>
    <row r="65">
      <c r="A65" t="inlineStr">
        <is>
          <t>DFC_MI_con</t>
        </is>
      </c>
      <c r="B65" t="inlineStr">
        <is>
          <t>6.03.08</t>
        </is>
      </c>
      <c r="C65" t="inlineStr">
        <is>
          <t>Pagamentos valores a pagar por aquisições</t>
        </is>
      </c>
      <c r="D65" s="8" t="n">
        <v>-398712</v>
      </c>
      <c r="E65" s="8" t="n">
        <v>-398712</v>
      </c>
      <c r="F65" s="8">
        <f>D65-E65</f>
        <v/>
      </c>
    </row>
    <row r="66">
      <c r="A66" t="inlineStr">
        <is>
          <t>DFC_MI_con</t>
        </is>
      </c>
      <c r="B66" t="inlineStr">
        <is>
          <t>6.03.09</t>
        </is>
      </c>
      <c r="C66" t="inlineStr">
        <is>
          <t>Integralização de capital social subscrito</t>
        </is>
      </c>
      <c r="D66" s="8" t="n">
        <v>495</v>
      </c>
      <c r="E66" s="8" t="n">
        <v>495</v>
      </c>
      <c r="F66" s="8">
        <f>D66-E66</f>
        <v/>
      </c>
    </row>
    <row r="67">
      <c r="A67" t="inlineStr">
        <is>
          <t>DFC_MI_con</t>
        </is>
      </c>
      <c r="B67" t="inlineStr">
        <is>
          <t>6.03.10</t>
        </is>
      </c>
      <c r="C67" t="inlineStr">
        <is>
          <t>Caixa líquido da compra e venda de ações em tesouraria</t>
        </is>
      </c>
      <c r="D67" s="8" t="n">
        <v>-14124</v>
      </c>
      <c r="E67" s="8" t="n">
        <v>-14124</v>
      </c>
      <c r="F67" s="8">
        <f>D67-E67</f>
        <v/>
      </c>
    </row>
    <row r="68">
      <c r="A68" t="inlineStr">
        <is>
          <t>DFC_MI_con</t>
        </is>
      </c>
      <c r="B68" t="inlineStr">
        <is>
          <t>6.05</t>
        </is>
      </c>
      <c r="C68" t="inlineStr">
        <is>
          <t>Aumento (Redução) de Caixa e Equivalentes</t>
        </is>
      </c>
      <c r="D68" s="8" t="n">
        <v>98364</v>
      </c>
      <c r="E68" s="8" t="n">
        <v>98364</v>
      </c>
      <c r="F68" s="8">
        <f>D68-E68</f>
        <v/>
      </c>
    </row>
    <row r="69">
      <c r="A69" t="inlineStr">
        <is>
          <t>DFC_MI_con</t>
        </is>
      </c>
      <c r="B69" t="inlineStr">
        <is>
          <t>6.05.01</t>
        </is>
      </c>
      <c r="C69" t="inlineStr">
        <is>
          <t>Saldo Inicial de Caixa e Equivalentes</t>
        </is>
      </c>
      <c r="D69" s="8" t="n">
        <v>197184</v>
      </c>
      <c r="E69" s="8" t="n">
        <v>197184</v>
      </c>
      <c r="F69" s="8">
        <f>D69-E69</f>
        <v/>
      </c>
    </row>
    <row r="70">
      <c r="A70" t="inlineStr">
        <is>
          <t>DFC_MI_con</t>
        </is>
      </c>
      <c r="B70" t="inlineStr">
        <is>
          <t>6.05.02</t>
        </is>
      </c>
      <c r="C70" t="inlineStr">
        <is>
          <t>Saldo Final de Caixa e Equivalentes</t>
        </is>
      </c>
      <c r="D70" s="8" t="n">
        <v>295548</v>
      </c>
      <c r="E70" s="8" t="n">
        <v>295548</v>
      </c>
      <c r="F70" s="8">
        <f>D70-E70</f>
        <v/>
      </c>
    </row>
    <row r="71">
      <c r="A71" t="inlineStr">
        <is>
          <t>BPA_ind</t>
        </is>
      </c>
      <c r="B71" t="inlineStr">
        <is>
          <t>1</t>
        </is>
      </c>
      <c r="C71" t="inlineStr">
        <is>
          <t>Ativo Total</t>
        </is>
      </c>
      <c r="D71" s="8" t="n">
        <v>7337876</v>
      </c>
      <c r="E71" s="8" t="n">
        <v>7337876</v>
      </c>
      <c r="F71" s="8">
        <f>D71-E71</f>
        <v/>
      </c>
    </row>
    <row r="72">
      <c r="A72" t="inlineStr">
        <is>
          <t>BPA_ind</t>
        </is>
      </c>
      <c r="B72" t="inlineStr">
        <is>
          <t>1.01</t>
        </is>
      </c>
      <c r="C72" t="inlineStr">
        <is>
          <t>Ativo Circulante</t>
        </is>
      </c>
      <c r="D72" s="8" t="n">
        <v>1218135</v>
      </c>
      <c r="E72" s="8" t="n">
        <v>1218135</v>
      </c>
      <c r="F72" s="8">
        <f>D72-E72</f>
        <v/>
      </c>
    </row>
    <row r="73">
      <c r="A73" t="inlineStr">
        <is>
          <t>BPA_ind</t>
        </is>
      </c>
      <c r="B73" t="inlineStr">
        <is>
          <t>1.01.01</t>
        </is>
      </c>
      <c r="C73" t="inlineStr">
        <is>
          <t>Caixa e Equivalentes de Caixa</t>
        </is>
      </c>
      <c r="D73" s="8" t="n">
        <v>259482</v>
      </c>
      <c r="E73" s="8" t="n">
        <v>259482</v>
      </c>
      <c r="F73" s="8">
        <f>D73-E73</f>
        <v/>
      </c>
    </row>
    <row r="74">
      <c r="A74" t="inlineStr">
        <is>
          <t>BPA_ind</t>
        </is>
      </c>
      <c r="B74" t="inlineStr">
        <is>
          <t>1.01.02</t>
        </is>
      </c>
      <c r="C74" t="inlineStr">
        <is>
          <t>Aplicações Financeiras</t>
        </is>
      </c>
      <c r="D74" s="8" t="n">
        <v>506305</v>
      </c>
      <c r="E74" s="8" t="n">
        <v>506305</v>
      </c>
      <c r="F74" s="8">
        <f>D74-E74</f>
        <v/>
      </c>
    </row>
    <row r="75">
      <c r="A75" t="inlineStr">
        <is>
          <t>BPA_ind</t>
        </is>
      </c>
      <c r="B75" t="inlineStr">
        <is>
          <t>1.01.03</t>
        </is>
      </c>
      <c r="C75" t="inlineStr">
        <is>
          <t>Contas a Receber</t>
        </is>
      </c>
      <c r="D75" s="8" t="n">
        <v>315380</v>
      </c>
      <c r="E75" s="8" t="n">
        <v>315380</v>
      </c>
      <c r="F75" s="8">
        <f>D75-E75</f>
        <v/>
      </c>
    </row>
    <row r="76">
      <c r="A76" t="inlineStr">
        <is>
          <t>BPA_ind</t>
        </is>
      </c>
      <c r="B76" t="inlineStr">
        <is>
          <t>1.01.04</t>
        </is>
      </c>
      <c r="C76" t="inlineStr">
        <is>
          <t>Estoques</t>
        </is>
      </c>
      <c r="D76" s="8" t="n">
        <v>8744</v>
      </c>
      <c r="E76" s="8" t="n">
        <v>8744</v>
      </c>
      <c r="F76" s="8">
        <f>D76-E76</f>
        <v/>
      </c>
    </row>
    <row r="77">
      <c r="A77" t="inlineStr">
        <is>
          <t>BPA_ind</t>
        </is>
      </c>
      <c r="B77" t="inlineStr">
        <is>
          <t>1.01.06</t>
        </is>
      </c>
      <c r="C77" t="inlineStr">
        <is>
          <t>Tributos a Recuperar</t>
        </is>
      </c>
      <c r="D77" s="8" t="n">
        <v>85959</v>
      </c>
      <c r="E77" s="8" t="n">
        <v>85959</v>
      </c>
      <c r="F77" s="8">
        <f>D77-E77</f>
        <v/>
      </c>
    </row>
    <row r="78">
      <c r="A78" t="inlineStr">
        <is>
          <t>BPA_ind</t>
        </is>
      </c>
      <c r="B78" t="inlineStr">
        <is>
          <t>1.01.08</t>
        </is>
      </c>
      <c r="C78" t="inlineStr">
        <is>
          <t>Outros Ativos Circulantes</t>
        </is>
      </c>
      <c r="D78" s="8" t="n">
        <v>42265</v>
      </c>
      <c r="E78" s="8" t="n">
        <v>42265</v>
      </c>
      <c r="F78" s="8">
        <f>D78-E78</f>
        <v/>
      </c>
    </row>
    <row r="79">
      <c r="A79" t="inlineStr">
        <is>
          <t>BPA_ind</t>
        </is>
      </c>
      <c r="B79" t="inlineStr">
        <is>
          <t>1.02</t>
        </is>
      </c>
      <c r="C79" t="inlineStr">
        <is>
          <t>Ativo Não Circulante</t>
        </is>
      </c>
      <c r="D79" s="8" t="n">
        <v>6119741</v>
      </c>
      <c r="E79" s="8" t="n">
        <v>6119741</v>
      </c>
      <c r="F79" s="8">
        <f>D79-E79</f>
        <v/>
      </c>
    </row>
    <row r="80">
      <c r="A80" t="inlineStr">
        <is>
          <t>BPA_ind</t>
        </is>
      </c>
      <c r="B80" t="inlineStr">
        <is>
          <t>1.02.01</t>
        </is>
      </c>
      <c r="C80" t="inlineStr">
        <is>
          <t>Ativo Realizável a Longo Prazo</t>
        </is>
      </c>
      <c r="D80" s="8" t="n">
        <v>254644</v>
      </c>
      <c r="E80" s="8" t="n">
        <v>254644</v>
      </c>
      <c r="F80" s="8">
        <f>D80-E80</f>
        <v/>
      </c>
    </row>
    <row r="81">
      <c r="A81" t="inlineStr">
        <is>
          <t>BPA_ind</t>
        </is>
      </c>
      <c r="B81" t="inlineStr">
        <is>
          <t>1.02.02</t>
        </is>
      </c>
      <c r="C81" t="inlineStr">
        <is>
          <t>Investimentos</t>
        </is>
      </c>
      <c r="D81" s="8" t="n">
        <v>897113</v>
      </c>
      <c r="E81" s="8" t="n">
        <v>897113</v>
      </c>
      <c r="F81" s="8">
        <f>D81-E81</f>
        <v/>
      </c>
    </row>
    <row r="82">
      <c r="A82" t="inlineStr">
        <is>
          <t>BPA_ind</t>
        </is>
      </c>
      <c r="B82" t="inlineStr">
        <is>
          <t>1.02.03</t>
        </is>
      </c>
      <c r="C82" t="inlineStr">
        <is>
          <t>Imobilizado</t>
        </is>
      </c>
      <c r="D82" s="8" t="n">
        <v>4947449</v>
      </c>
      <c r="E82" s="8" t="n">
        <v>4947449</v>
      </c>
      <c r="F82" s="8">
        <f>D82-E82</f>
        <v/>
      </c>
    </row>
    <row r="83">
      <c r="A83" t="inlineStr">
        <is>
          <t>BPA_ind</t>
        </is>
      </c>
      <c r="B83" t="inlineStr">
        <is>
          <t>1.02.04</t>
        </is>
      </c>
      <c r="C83" t="inlineStr">
        <is>
          <t>Intangível</t>
        </is>
      </c>
      <c r="D83" s="8" t="n">
        <v>20535</v>
      </c>
      <c r="E83" s="8" t="n">
        <v>20535</v>
      </c>
      <c r="F83" s="8">
        <f>D83-E83</f>
        <v/>
      </c>
    </row>
    <row r="84">
      <c r="A84" t="inlineStr">
        <is>
          <t>BPP_ind</t>
        </is>
      </c>
      <c r="B84" t="inlineStr">
        <is>
          <t>2</t>
        </is>
      </c>
      <c r="C84" t="inlineStr">
        <is>
          <t>Passivo Total</t>
        </is>
      </c>
      <c r="D84" s="8" t="n">
        <v>7337876</v>
      </c>
      <c r="E84" s="8" t="n">
        <v>7337876</v>
      </c>
      <c r="F84" s="8">
        <f>D84-E84</f>
        <v/>
      </c>
    </row>
    <row r="85">
      <c r="A85" t="inlineStr">
        <is>
          <t>BPP_ind</t>
        </is>
      </c>
      <c r="B85" t="inlineStr">
        <is>
          <t>2.01</t>
        </is>
      </c>
      <c r="C85" t="inlineStr">
        <is>
          <t>Passivo Circulante</t>
        </is>
      </c>
      <c r="D85" s="8" t="n">
        <v>681184</v>
      </c>
      <c r="E85" s="8" t="n">
        <v>681184</v>
      </c>
      <c r="F85" s="8">
        <f>D85-E85</f>
        <v/>
      </c>
    </row>
    <row r="86">
      <c r="A86" t="inlineStr">
        <is>
          <t>BPP_ind</t>
        </is>
      </c>
      <c r="B86" t="inlineStr">
        <is>
          <t>2.01.01</t>
        </is>
      </c>
      <c r="C86" t="inlineStr">
        <is>
          <t>Obrigações Sociais e Trabalhistas</t>
        </is>
      </c>
      <c r="D86" s="8" t="n">
        <v>93000</v>
      </c>
      <c r="E86" s="8" t="n">
        <v>93000</v>
      </c>
      <c r="F86" s="8">
        <f>D86-E86</f>
        <v/>
      </c>
    </row>
    <row r="87">
      <c r="A87" t="inlineStr">
        <is>
          <t>BPP_ind</t>
        </is>
      </c>
      <c r="B87" t="inlineStr">
        <is>
          <t>2.01.02</t>
        </is>
      </c>
      <c r="C87" t="inlineStr">
        <is>
          <t>Fornecedores</t>
        </is>
      </c>
      <c r="D87" s="8" t="n">
        <v>269083</v>
      </c>
      <c r="E87" s="8" t="n">
        <v>269083</v>
      </c>
      <c r="F87" s="8">
        <f>D87-E87</f>
        <v/>
      </c>
    </row>
    <row r="88">
      <c r="A88" t="inlineStr">
        <is>
          <t>BPP_ind</t>
        </is>
      </c>
      <c r="B88" t="inlineStr">
        <is>
          <t>2.01.03</t>
        </is>
      </c>
      <c r="C88" t="inlineStr">
        <is>
          <t>Obrigações Fiscais</t>
        </is>
      </c>
      <c r="D88" s="8" t="n">
        <v>58643</v>
      </c>
      <c r="E88" s="8" t="n">
        <v>58643</v>
      </c>
      <c r="F88" s="8">
        <f>D88-E88</f>
        <v/>
      </c>
    </row>
    <row r="89">
      <c r="A89" t="inlineStr">
        <is>
          <t>BPP_ind</t>
        </is>
      </c>
      <c r="B89" t="inlineStr">
        <is>
          <t>2.01.04</t>
        </is>
      </c>
      <c r="C89" t="inlineStr">
        <is>
          <t>Empréstimos e Financiamentos</t>
        </is>
      </c>
      <c r="D89" s="8" t="n">
        <v>20907</v>
      </c>
      <c r="E89" s="8" t="n">
        <v>20907</v>
      </c>
      <c r="F89" s="8">
        <f>D89-E89</f>
        <v/>
      </c>
    </row>
    <row r="90">
      <c r="A90" t="inlineStr">
        <is>
          <t>BPP_ind</t>
        </is>
      </c>
      <c r="B90" t="inlineStr">
        <is>
          <t>2.01.05</t>
        </is>
      </c>
      <c r="C90" t="inlineStr">
        <is>
          <t>Outras Obrigações</t>
        </is>
      </c>
      <c r="D90" s="8" t="n">
        <v>239209</v>
      </c>
      <c r="E90" s="8" t="n">
        <v>239209</v>
      </c>
      <c r="F90" s="8">
        <f>D90-E90</f>
        <v/>
      </c>
    </row>
    <row r="91">
      <c r="A91" t="inlineStr">
        <is>
          <t>BPP_ind</t>
        </is>
      </c>
      <c r="B91" t="inlineStr">
        <is>
          <t>2.01.06</t>
        </is>
      </c>
      <c r="C91" t="inlineStr">
        <is>
          <t>Provisões</t>
        </is>
      </c>
      <c r="D91" s="8" t="n">
        <v>342</v>
      </c>
      <c r="E91" s="8" t="n">
        <v>342</v>
      </c>
      <c r="F91" s="8">
        <f>D91-E91</f>
        <v/>
      </c>
    </row>
    <row r="92">
      <c r="A92" t="inlineStr">
        <is>
          <t>BPP_ind</t>
        </is>
      </c>
      <c r="B92" t="inlineStr">
        <is>
          <t>2.02</t>
        </is>
      </c>
      <c r="C92" t="inlineStr">
        <is>
          <t>Passivo Não Circulante</t>
        </is>
      </c>
      <c r="D92" s="8" t="n">
        <v>2421415</v>
      </c>
      <c r="E92" s="8" t="n">
        <v>2421415</v>
      </c>
      <c r="F92" s="8">
        <f>D92-E92</f>
        <v/>
      </c>
    </row>
    <row r="93">
      <c r="A93" t="inlineStr">
        <is>
          <t>BPP_ind</t>
        </is>
      </c>
      <c r="B93" t="inlineStr">
        <is>
          <t>2.02.01</t>
        </is>
      </c>
      <c r="C93" t="inlineStr">
        <is>
          <t>Empréstimos e Financiamentos</t>
        </is>
      </c>
      <c r="D93" s="8" t="n">
        <v>1771414</v>
      </c>
      <c r="E93" s="8" t="n">
        <v>1771414</v>
      </c>
      <c r="F93" s="8">
        <f>D93-E93</f>
        <v/>
      </c>
    </row>
    <row r="94">
      <c r="A94" t="inlineStr">
        <is>
          <t>BPP_ind</t>
        </is>
      </c>
      <c r="B94" t="inlineStr">
        <is>
          <t>2.02.02</t>
        </is>
      </c>
      <c r="C94" t="inlineStr">
        <is>
          <t>Outras Obrigações</t>
        </is>
      </c>
      <c r="D94" s="8" t="n">
        <v>511284</v>
      </c>
      <c r="E94" s="8" t="n">
        <v>511284</v>
      </c>
      <c r="F94" s="8">
        <f>D94-E94</f>
        <v/>
      </c>
    </row>
    <row r="95">
      <c r="A95" t="inlineStr">
        <is>
          <t>BPP_ind</t>
        </is>
      </c>
      <c r="B95" t="inlineStr">
        <is>
          <t>2.02.04</t>
        </is>
      </c>
      <c r="C95" t="inlineStr">
        <is>
          <t>Provisões</t>
        </is>
      </c>
      <c r="D95" s="8" t="n">
        <v>138717</v>
      </c>
      <c r="E95" s="8" t="n">
        <v>138717</v>
      </c>
      <c r="F95" s="8">
        <f>D95-E95</f>
        <v/>
      </c>
    </row>
    <row r="96">
      <c r="A96" t="inlineStr">
        <is>
          <t>BPP_ind</t>
        </is>
      </c>
      <c r="B96" t="inlineStr">
        <is>
          <t>2.03</t>
        </is>
      </c>
      <c r="C96" t="inlineStr">
        <is>
          <t>Patrimônio Líquido</t>
        </is>
      </c>
      <c r="D96" s="8" t="n">
        <v>4235277</v>
      </c>
      <c r="E96" s="8" t="n">
        <v>4235277</v>
      </c>
      <c r="F96" s="8">
        <f>D96-E96</f>
        <v/>
      </c>
    </row>
    <row r="97">
      <c r="A97" t="inlineStr">
        <is>
          <t>BPP_ind</t>
        </is>
      </c>
      <c r="B97" t="inlineStr">
        <is>
          <t>2.03.01</t>
        </is>
      </c>
      <c r="C97" t="inlineStr">
        <is>
          <t>Capital Social Realizado</t>
        </is>
      </c>
      <c r="D97" s="8" t="n">
        <v>2832476</v>
      </c>
      <c r="E97" s="8" t="n">
        <v>2832476</v>
      </c>
      <c r="F97" s="8">
        <f>D97-E97</f>
        <v/>
      </c>
    </row>
    <row r="98">
      <c r="A98" t="inlineStr">
        <is>
          <t>BPP_ind</t>
        </is>
      </c>
      <c r="B98" t="inlineStr">
        <is>
          <t>2.03.02</t>
        </is>
      </c>
      <c r="C98" t="inlineStr">
        <is>
          <t>Reservas de Capital</t>
        </is>
      </c>
      <c r="D98" s="8" t="n">
        <v>49375</v>
      </c>
      <c r="E98" s="8" t="n">
        <v>49375</v>
      </c>
      <c r="F98" s="8">
        <f>D98-E98</f>
        <v/>
      </c>
    </row>
    <row r="99">
      <c r="A99" t="inlineStr">
        <is>
          <t>BPP_ind</t>
        </is>
      </c>
      <c r="B99" t="inlineStr">
        <is>
          <t>2.03.04</t>
        </is>
      </c>
      <c r="C99" t="inlineStr">
        <is>
          <t>Reservas de Lucros</t>
        </is>
      </c>
      <c r="D99" s="8" t="n">
        <v>1318945</v>
      </c>
      <c r="E99" s="8" t="n">
        <v>1318945</v>
      </c>
      <c r="F99" s="8">
        <f>D99-E99</f>
        <v/>
      </c>
    </row>
    <row r="100">
      <c r="A100" t="inlineStr">
        <is>
          <t>BPP_ind</t>
        </is>
      </c>
      <c r="B100" t="inlineStr">
        <is>
          <t>2.03.08</t>
        </is>
      </c>
      <c r="C100" t="inlineStr">
        <is>
          <t>Outros Resultados Abrangentes</t>
        </is>
      </c>
      <c r="D100" s="8" t="n">
        <v>34481</v>
      </c>
      <c r="E100" s="8" t="n">
        <v>34481</v>
      </c>
      <c r="F100" s="8">
        <f>D100-E100</f>
        <v/>
      </c>
    </row>
    <row r="101">
      <c r="A101" t="inlineStr">
        <is>
          <t>DRE_ind</t>
        </is>
      </c>
      <c r="B101" t="inlineStr">
        <is>
          <t>3.01</t>
        </is>
      </c>
      <c r="C101" t="inlineStr">
        <is>
          <t>Receita de Venda de Bens e/ou Serviços</t>
        </is>
      </c>
      <c r="D101" s="8" t="n">
        <v>2884640</v>
      </c>
      <c r="E101" s="8" t="n">
        <v>2884640</v>
      </c>
      <c r="F101" s="8">
        <f>D101-E101</f>
        <v/>
      </c>
    </row>
    <row r="102">
      <c r="A102" t="inlineStr">
        <is>
          <t>DRE_ind</t>
        </is>
      </c>
      <c r="B102" t="inlineStr">
        <is>
          <t>3.02</t>
        </is>
      </c>
      <c r="C102" t="inlineStr">
        <is>
          <t>Custo dos Bens e/ou Serviços Vendidos</t>
        </is>
      </c>
      <c r="D102" s="8" t="n">
        <v>-1809580</v>
      </c>
      <c r="E102" s="8" t="n">
        <v>-1809580</v>
      </c>
      <c r="F102" s="8">
        <f>D102-E102</f>
        <v/>
      </c>
    </row>
    <row r="103">
      <c r="A103" t="inlineStr">
        <is>
          <t>DRE_ind</t>
        </is>
      </c>
      <c r="B103" t="inlineStr">
        <is>
          <t>3.02.01</t>
        </is>
      </c>
      <c r="C103" t="inlineStr">
        <is>
          <t>Custo dos Bens e/ou Serviços Vendidos</t>
        </is>
      </c>
      <c r="D103" s="8" t="n">
        <v>-1809580</v>
      </c>
      <c r="E103" s="8" t="n">
        <v>-1809580</v>
      </c>
      <c r="F103" s="8">
        <f>D103-E103</f>
        <v/>
      </c>
    </row>
    <row r="104">
      <c r="A104" t="inlineStr">
        <is>
          <t>DRE_ind</t>
        </is>
      </c>
      <c r="B104" t="inlineStr">
        <is>
          <t>3.03</t>
        </is>
      </c>
      <c r="C104" t="inlineStr">
        <is>
          <t>Resultado Bruto</t>
        </is>
      </c>
      <c r="D104" s="8" t="n">
        <v>1075060</v>
      </c>
      <c r="E104" s="8" t="n">
        <v>1075060</v>
      </c>
      <c r="F104" s="8">
        <f>D104-E104</f>
        <v/>
      </c>
    </row>
    <row r="105">
      <c r="A105" t="inlineStr">
        <is>
          <t>DRE_ind</t>
        </is>
      </c>
      <c r="B105" t="inlineStr">
        <is>
          <t>3.04</t>
        </is>
      </c>
      <c r="C105" t="inlineStr">
        <is>
          <t>Despesas/Receitas Operacionais</t>
        </is>
      </c>
      <c r="D105" s="8" t="n">
        <v>-117480</v>
      </c>
      <c r="E105" s="8" t="n">
        <v>-117480</v>
      </c>
      <c r="F105" s="8">
        <f>D105-E105</f>
        <v/>
      </c>
    </row>
    <row r="106">
      <c r="A106" t="inlineStr">
        <is>
          <t>DRE_ind</t>
        </is>
      </c>
      <c r="B106" t="inlineStr">
        <is>
          <t>3.04.02</t>
        </is>
      </c>
      <c r="C106" t="inlineStr">
        <is>
          <t>Despesas Gerais e Administrativas</t>
        </is>
      </c>
      <c r="D106" s="8" t="n">
        <v>-188963</v>
      </c>
      <c r="E106" s="8" t="n">
        <v>-188963</v>
      </c>
      <c r="F106" s="8">
        <f>D106-E106</f>
        <v/>
      </c>
    </row>
    <row r="107">
      <c r="A107" t="inlineStr">
        <is>
          <t>DRE_ind</t>
        </is>
      </c>
      <c r="B107" t="inlineStr">
        <is>
          <t>3.04.05</t>
        </is>
      </c>
      <c r="C107" t="inlineStr">
        <is>
          <t>Outras Despesas Operacionais</t>
        </is>
      </c>
      <c r="D107" s="8" t="n">
        <v>-35372</v>
      </c>
      <c r="E107" s="8" t="n">
        <v>-35372</v>
      </c>
      <c r="F107" s="8">
        <f>D107-E107</f>
        <v/>
      </c>
    </row>
    <row r="108">
      <c r="A108" t="inlineStr">
        <is>
          <t>DRE_ind</t>
        </is>
      </c>
      <c r="B108" t="inlineStr">
        <is>
          <t>3.04.06</t>
        </is>
      </c>
      <c r="C108" t="inlineStr">
        <is>
          <t>Resultado de Equivalência Patrimonial</t>
        </is>
      </c>
      <c r="D108" s="8" t="n">
        <v>106855</v>
      </c>
      <c r="E108" s="8" t="n">
        <v>106855</v>
      </c>
      <c r="F108" s="8">
        <f>D108-E108</f>
        <v/>
      </c>
    </row>
    <row r="109">
      <c r="A109" t="inlineStr">
        <is>
          <t>DRE_ind</t>
        </is>
      </c>
      <c r="B109" t="inlineStr">
        <is>
          <t>3.05</t>
        </is>
      </c>
      <c r="C109" t="inlineStr">
        <is>
          <t>Resultado Antes do Resultado Financeiro e dos Tributos</t>
        </is>
      </c>
      <c r="D109" s="8" t="n">
        <v>957580</v>
      </c>
      <c r="E109" s="8" t="n">
        <v>957580</v>
      </c>
      <c r="F109" s="8">
        <f>D109-E109</f>
        <v/>
      </c>
    </row>
    <row r="110">
      <c r="A110" t="inlineStr">
        <is>
          <t>DRE_ind</t>
        </is>
      </c>
      <c r="B110" t="inlineStr">
        <is>
          <t>3.06</t>
        </is>
      </c>
      <c r="C110" t="inlineStr">
        <is>
          <t>Resultado Financeiro</t>
        </is>
      </c>
      <c r="D110" s="8" t="n">
        <v>-623910</v>
      </c>
      <c r="E110" s="8" t="n">
        <v>-623910</v>
      </c>
      <c r="F110" s="8">
        <f>D110-E110</f>
        <v/>
      </c>
    </row>
    <row r="111">
      <c r="A111" t="inlineStr">
        <is>
          <t>DRE_ind</t>
        </is>
      </c>
      <c r="B111" t="inlineStr">
        <is>
          <t>3.06.01</t>
        </is>
      </c>
      <c r="C111" t="inlineStr">
        <is>
          <t>Receitas Financeiras</t>
        </is>
      </c>
      <c r="D111" s="8" t="n">
        <v>244832</v>
      </c>
      <c r="E111" s="8" t="n">
        <v>244832</v>
      </c>
      <c r="F111" s="8">
        <f>D111-E111</f>
        <v/>
      </c>
    </row>
    <row r="112">
      <c r="A112" t="inlineStr">
        <is>
          <t>DRE_ind</t>
        </is>
      </c>
      <c r="B112" t="inlineStr">
        <is>
          <t>3.06.02</t>
        </is>
      </c>
      <c r="C112" t="inlineStr">
        <is>
          <t>Despesas Financeiras</t>
        </is>
      </c>
      <c r="D112" s="8" t="n">
        <v>-868742</v>
      </c>
      <c r="E112" s="8" t="n">
        <v>-868742</v>
      </c>
      <c r="F112" s="8">
        <f>D112-E112</f>
        <v/>
      </c>
    </row>
    <row r="113">
      <c r="A113" t="inlineStr">
        <is>
          <t>DRE_ind</t>
        </is>
      </c>
      <c r="B113" t="inlineStr">
        <is>
          <t>3.07</t>
        </is>
      </c>
      <c r="C113" t="inlineStr">
        <is>
          <t>Resultado Antes dos Tributos sobre o Lucro</t>
        </is>
      </c>
      <c r="D113" s="8" t="n">
        <v>333670</v>
      </c>
      <c r="E113" s="8" t="n">
        <v>333670</v>
      </c>
      <c r="F113" s="8">
        <f>D113-E113</f>
        <v/>
      </c>
    </row>
    <row r="114">
      <c r="A114" t="inlineStr">
        <is>
          <t>DRE_ind</t>
        </is>
      </c>
      <c r="B114" t="inlineStr">
        <is>
          <t>3.08</t>
        </is>
      </c>
      <c r="C114" t="inlineStr">
        <is>
          <t>Imposto de Renda e Contribuição Social sobre o Lucro</t>
        </is>
      </c>
      <c r="D114" s="8" t="n">
        <v>103828</v>
      </c>
      <c r="E114" s="8" t="n">
        <v>103828</v>
      </c>
      <c r="F114" s="8">
        <f>D114-E114</f>
        <v/>
      </c>
    </row>
    <row r="115">
      <c r="A115" t="inlineStr">
        <is>
          <t>DRE_ind</t>
        </is>
      </c>
      <c r="B115" t="inlineStr">
        <is>
          <t>3.08.01</t>
        </is>
      </c>
      <c r="C115" t="inlineStr">
        <is>
          <t>Corrente</t>
        </is>
      </c>
      <c r="D115" s="8" t="n">
        <v>-1652</v>
      </c>
      <c r="E115" s="8" t="n">
        <v>-1652</v>
      </c>
      <c r="F115" s="8">
        <f>D115-E115</f>
        <v/>
      </c>
    </row>
    <row r="116">
      <c r="A116" t="inlineStr">
        <is>
          <t>DRE_ind</t>
        </is>
      </c>
      <c r="B116" t="inlineStr">
        <is>
          <t>3.08.02</t>
        </is>
      </c>
      <c r="C116" t="inlineStr">
        <is>
          <t>Diferido</t>
        </is>
      </c>
      <c r="D116" s="8" t="n">
        <v>105480</v>
      </c>
      <c r="E116" s="8" t="n">
        <v>105480</v>
      </c>
      <c r="F116" s="8">
        <f>D116-E116</f>
        <v/>
      </c>
    </row>
    <row r="117">
      <c r="A117" t="inlineStr">
        <is>
          <t>DRE_ind</t>
        </is>
      </c>
      <c r="B117" t="inlineStr">
        <is>
          <t>3.09</t>
        </is>
      </c>
      <c r="C117" t="inlineStr">
        <is>
          <t>Resultado Líquido das Operações Continuadas</t>
        </is>
      </c>
      <c r="D117" s="8" t="n">
        <v>437498</v>
      </c>
      <c r="E117" s="8" t="n">
        <v>437498</v>
      </c>
      <c r="F117" s="8">
        <f>D117-E117</f>
        <v/>
      </c>
    </row>
    <row r="118">
      <c r="A118" t="inlineStr">
        <is>
          <t>DRE_ind</t>
        </is>
      </c>
      <c r="B118" t="inlineStr">
        <is>
          <t>3.11</t>
        </is>
      </c>
      <c r="C118" t="inlineStr">
        <is>
          <t>Lucro/Prejuízo do Período</t>
        </is>
      </c>
      <c r="D118" s="8" t="n">
        <v>437498</v>
      </c>
      <c r="E118" s="8" t="n">
        <v>437498</v>
      </c>
      <c r="F118" s="8">
        <f>D118-E118</f>
        <v/>
      </c>
    </row>
    <row r="120">
      <c r="A120" s="11" t="inlineStr">
        <is>
          <t>Linhas com diferenca (&gt; R$ 0,5 mil): 0. Diferencas indicam reclassificacao/reapresentacao do comparativo a ser explicada no PT 510.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38" customWidth="1" min="4" max="4"/>
    <col width="14" customWidth="1" min="5" max="5"/>
    <col width="26" customWidth="1" min="6" max="6"/>
  </cols>
  <sheetData>
    <row r="1">
      <c r="A1" s="1" t="inlineStr">
        <is>
          <t>NE 9 - Debentures (F01 p.71-75) e recalculo independente dos covenants (insumo PT 570)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Emissao / serie</t>
        </is>
      </c>
      <c r="B4" s="3" t="inlineStr">
        <is>
          <t>31/12/2025</t>
        </is>
      </c>
      <c r="C4" s="3" t="inlineStr">
        <is>
          <t>31/12/2024</t>
        </is>
      </c>
      <c r="D4" s="3" t="inlineStr">
        <is>
          <t>Indexador / taxa (NE 9)</t>
        </is>
      </c>
      <c r="E4" s="3" t="inlineStr">
        <is>
          <t>Vencimento</t>
        </is>
      </c>
      <c r="F4" s="3" t="inlineStr">
        <is>
          <t>Liquidacao</t>
        </is>
      </c>
    </row>
    <row r="5">
      <c r="A5" t="inlineStr">
        <is>
          <t>1a emissao - serie 1</t>
        </is>
      </c>
      <c r="B5" s="8" t="n">
        <v>811874</v>
      </c>
      <c r="C5" s="8" t="n">
        <v>777481</v>
      </c>
      <c r="D5" t="inlineStr">
        <is>
          <t>IPCA + 7,32% (Lei 12.431)</t>
        </is>
      </c>
      <c r="E5" t="inlineStr">
        <is>
          <t>15/05/2031</t>
        </is>
      </c>
      <c r="F5" t="inlineStr">
        <is>
          <t>04/06/2024</t>
        </is>
      </c>
    </row>
    <row r="6">
      <c r="A6" t="inlineStr">
        <is>
          <t>1a emissao - serie 2</t>
        </is>
      </c>
      <c r="B6" s="8" t="n">
        <v>381973</v>
      </c>
      <c r="C6" s="8" t="n">
        <v>381789</v>
      </c>
      <c r="D6" t="inlineStr">
        <is>
          <t>12,88% a.a. (pre)</t>
        </is>
      </c>
      <c r="E6" t="inlineStr">
        <is>
          <t>15/05/2031</t>
        </is>
      </c>
      <c r="F6" t="inlineStr">
        <is>
          <t>04/06/2024</t>
        </is>
      </c>
    </row>
    <row r="7">
      <c r="A7" t="inlineStr">
        <is>
          <t>1a emissao - custos a amortizar</t>
        </is>
      </c>
      <c r="B7" s="8" t="n">
        <v>-25185</v>
      </c>
      <c r="C7" s="8" t="n">
        <v>-29724</v>
      </c>
      <c r="D7" t="inlineStr"/>
      <c r="E7" t="inlineStr"/>
      <c r="F7" t="inlineStr"/>
    </row>
    <row r="8">
      <c r="A8" t="inlineStr">
        <is>
          <t>2a emissao</t>
        </is>
      </c>
      <c r="B8" s="8" t="n">
        <v>670449</v>
      </c>
      <c r="C8" s="8" t="n">
        <v>664190</v>
      </c>
      <c r="D8" t="inlineStr">
        <is>
          <t>nao informado na NE (swap: 6,16% em US$)</t>
        </is>
      </c>
      <c r="E8" t="inlineStr">
        <is>
          <t>15/10/2029</t>
        </is>
      </c>
      <c r="F8" t="inlineStr">
        <is>
          <t>11/10/2024</t>
        </is>
      </c>
    </row>
    <row r="9">
      <c r="A9" t="inlineStr">
        <is>
          <t>2a emissao - custos a amortizar</t>
        </is>
      </c>
      <c r="B9" s="8" t="n">
        <v>-1083</v>
      </c>
      <c r="C9" s="8" t="n">
        <v>-1415</v>
      </c>
      <c r="D9" t="inlineStr"/>
      <c r="E9" t="inlineStr"/>
      <c r="F9" t="inlineStr"/>
    </row>
    <row r="10">
      <c r="A10" t="inlineStr">
        <is>
          <t>3a emissao</t>
        </is>
      </c>
      <c r="B10" s="8" t="n">
        <v>539217</v>
      </c>
      <c r="C10" s="8" t="n">
        <v>0</v>
      </c>
      <c r="D10" t="inlineStr">
        <is>
          <t>nao informado na NE (swap: 5,66% em US$)</t>
        </is>
      </c>
      <c r="E10" t="inlineStr">
        <is>
          <t>04/07/2032</t>
        </is>
      </c>
      <c r="F10" t="inlineStr">
        <is>
          <t>04/07/2025</t>
        </is>
      </c>
    </row>
    <row r="11">
      <c r="A11" t="inlineStr">
        <is>
          <t>3a emissao - custos a amortizar</t>
        </is>
      </c>
      <c r="B11" s="8" t="n">
        <v>-2460</v>
      </c>
      <c r="C11" s="8" t="n">
        <v>0</v>
      </c>
      <c r="D11" t="inlineStr"/>
      <c r="E11" t="inlineStr"/>
      <c r="F11" t="inlineStr"/>
    </row>
    <row r="12">
      <c r="A12" t="inlineStr">
        <is>
          <t>4a emissao - serie 1 (rotulo da tabela NE 9.1)</t>
        </is>
      </c>
      <c r="B12" s="8" t="n">
        <v>225208</v>
      </c>
      <c r="C12" s="8" t="n">
        <v>0</v>
      </c>
      <c r="D12" t="inlineStr">
        <is>
          <t>IPCA + 7,40% (NE 9) / 7,4564% (NE 25)</t>
        </is>
      </c>
      <c r="E12" t="inlineStr">
        <is>
          <t>15/12/2032</t>
        </is>
      </c>
      <c r="F12" t="inlineStr">
        <is>
          <t>18/12/2025 (NE 9) / 29/12/2025 (NE 25)</t>
        </is>
      </c>
    </row>
    <row r="13">
      <c r="A13" t="inlineStr">
        <is>
          <t>4a emissao - serie 2 (rotulo da tabela NE 9.1)</t>
        </is>
      </c>
      <c r="B13" s="8" t="n">
        <v>525492</v>
      </c>
      <c r="C13" s="8" t="n">
        <v>0</v>
      </c>
      <c r="D13" t="inlineStr">
        <is>
          <t>IPCA + 7,40% (NE 9) / 7,2833% (NE 25)</t>
        </is>
      </c>
      <c r="E13" t="inlineStr">
        <is>
          <t>15/12/2035</t>
        </is>
      </c>
      <c r="F13" t="inlineStr">
        <is>
          <t>idem</t>
        </is>
      </c>
    </row>
    <row r="14">
      <c r="A14" t="inlineStr">
        <is>
          <t>4a emissao - custos a amortizar</t>
        </is>
      </c>
      <c r="B14" s="8" t="n">
        <v>-20469</v>
      </c>
      <c r="C14" s="8" t="n">
        <v>0</v>
      </c>
      <c r="D14" t="inlineStr"/>
      <c r="E14" t="inlineStr"/>
      <c r="F14" t="inlineStr"/>
    </row>
    <row r="15">
      <c r="A15" t="inlineStr">
        <is>
          <t>Total (recalculado)</t>
        </is>
      </c>
      <c r="B15" s="8">
        <f>SUM(B5:B14)</f>
        <v/>
      </c>
      <c r="C15" s="8">
        <f>SUM(C5:C14)</f>
        <v/>
      </c>
      <c r="D15" t="inlineStr"/>
      <c r="E15" t="inlineStr"/>
      <c r="F15" t="inlineStr"/>
    </row>
    <row r="16">
      <c r="A16" t="inlineStr">
        <is>
          <t>Total divulgado (NE 9.1)</t>
        </is>
      </c>
      <c r="B16" s="8" t="n">
        <v>3105016</v>
      </c>
      <c r="C16" s="8" t="n">
        <v>1792321</v>
      </c>
      <c r="D16" t="inlineStr"/>
      <c r="E16" t="inlineStr"/>
      <c r="F16" t="inlineStr"/>
    </row>
    <row r="17">
      <c r="A17" t="inlineStr">
        <is>
          <t>Diferenca</t>
        </is>
      </c>
      <c r="B17" s="8">
        <f>B15-B16</f>
        <v/>
      </c>
      <c r="C17" s="8">
        <f>C15-C16</f>
        <v/>
      </c>
      <c r="D17" t="inlineStr"/>
      <c r="E17" t="inlineStr"/>
      <c r="F17" t="inlineStr"/>
    </row>
    <row r="19">
      <c r="A19" s="11" t="inlineStr">
        <is>
          <t>Covenants financeiros (NE 9.3, p.75) - recalculo com dados publicos</t>
        </is>
      </c>
    </row>
    <row r="20">
      <c r="A20" s="3" t="inlineStr">
        <is>
          <t>Componente</t>
        </is>
      </c>
      <c r="B20" s="3" t="inlineStr">
        <is>
          <t>Valor</t>
        </is>
      </c>
      <c r="C20" s="3" t="inlineStr">
        <is>
          <t>Fonte / formula</t>
        </is>
      </c>
      <c r="D20" s="3" t="inlineStr">
        <is>
          <t>Limite</t>
        </is>
      </c>
      <c r="E20" s="3" t="inlineStr">
        <is>
          <t>Status</t>
        </is>
      </c>
      <c r="F20" s="3" t="inlineStr"/>
    </row>
    <row r="21">
      <c r="A21" t="inlineStr">
        <is>
          <t>Caixa e equivalentes</t>
        </is>
      </c>
      <c r="B21" s="8" t="n">
        <v>229508</v>
      </c>
      <c r="C21" t="inlineStr">
        <is>
          <t>F01 BP / NE 4.1</t>
        </is>
      </c>
      <c r="D21" t="inlineStr"/>
      <c r="E21" t="inlineStr"/>
      <c r="F21" t="inlineStr"/>
    </row>
    <row r="22">
      <c r="A22" t="inlineStr">
        <is>
          <t>Aplicacoes financeiras CP + LP</t>
        </is>
      </c>
      <c r="B22" s="8" t="n">
        <v>1400532</v>
      </c>
      <c r="C22" t="inlineStr">
        <is>
          <t>F01 NE 4.2</t>
        </is>
      </c>
      <c r="D22" t="inlineStr"/>
      <c r="E22" t="inlineStr"/>
      <c r="F22" t="inlineStr"/>
    </row>
    <row r="23">
      <c r="A23" t="inlineStr">
        <is>
          <t>Caixa livre (covenant: &gt;= R$ 100.000 mil)</t>
        </is>
      </c>
      <c r="B23" s="8">
        <f>B21+B22</f>
        <v/>
      </c>
      <c r="C23" t="inlineStr">
        <is>
          <t>soma</t>
        </is>
      </c>
      <c r="D23" t="n">
        <v>100000</v>
      </c>
      <c r="E23">
        <f>IF(B23&gt;=D23,"cumpre","NAO cumpre")</f>
        <v/>
      </c>
      <c r="F23" t="inlineStr"/>
    </row>
    <row r="24">
      <c r="A24" t="inlineStr">
        <is>
          <t>Divida bruta - debentures</t>
        </is>
      </c>
      <c r="B24" s="8" t="n">
        <v>3105016</v>
      </c>
      <c r="C24" t="inlineStr">
        <is>
          <t>F01 NE 9.1</t>
        </is>
      </c>
      <c r="D24" t="inlineStr"/>
      <c r="E24" t="inlineStr"/>
      <c r="F24" t="inlineStr"/>
    </row>
    <row r="25">
      <c r="A25" t="inlineStr">
        <is>
          <t>Derivativos passivos (LP)</t>
        </is>
      </c>
      <c r="B25" s="8" t="n">
        <v>88449</v>
      </c>
      <c r="C25" t="inlineStr">
        <is>
          <t>F01 BP</t>
        </is>
      </c>
      <c r="D25" t="inlineStr"/>
      <c r="E25" t="inlineStr"/>
      <c r="F25" t="inlineStr"/>
    </row>
    <row r="26">
      <c r="A26" t="inlineStr">
        <is>
          <t>Derivativos ativos (CP + LP)</t>
        </is>
      </c>
      <c r="B26" s="8" t="n">
        <v>-35055</v>
      </c>
      <c r="C26" t="inlineStr">
        <is>
          <t>F01 BP (33.771 + 1.284)</t>
        </is>
      </c>
      <c r="D26" t="inlineStr"/>
      <c r="E26" t="inlineStr"/>
      <c r="F26" t="inlineStr"/>
    </row>
    <row r="27">
      <c r="A27" t="inlineStr">
        <is>
          <t>Divida liquida (calculo do auditor, sem arrendamentos)</t>
        </is>
      </c>
      <c r="B27" s="8">
        <f>B24+B25+B26-B23</f>
        <v/>
      </c>
      <c r="C27" t="inlineStr">
        <is>
          <t>debentures + derivativos liquidos - caixa livre</t>
        </is>
      </c>
      <c r="D27" t="inlineStr"/>
      <c r="E27" t="inlineStr"/>
      <c r="F27" t="inlineStr"/>
    </row>
    <row r="28">
      <c r="A28" t="inlineStr">
        <is>
          <t>Lucro operacional consolidado</t>
        </is>
      </c>
      <c r="B28" s="8" t="n">
        <v>721579</v>
      </c>
      <c r="C28" t="inlineStr">
        <is>
          <t>F01 DRE p.52</t>
        </is>
      </c>
      <c r="D28" t="inlineStr"/>
      <c r="E28" t="inlineStr"/>
      <c r="F28" t="inlineStr"/>
    </row>
    <row r="29">
      <c r="A29" t="inlineStr">
        <is>
          <t>Depreciacao, amortizacao e deplecao</t>
        </is>
      </c>
      <c r="B29" s="8" t="n">
        <v>721077</v>
      </c>
      <c r="C29" t="inlineStr">
        <is>
          <t>F01 NE 19 / DFC</t>
        </is>
      </c>
      <c r="D29" t="inlineStr"/>
      <c r="E29" t="inlineStr"/>
      <c r="F29" t="inlineStr"/>
    </row>
    <row r="30">
      <c r="A30" t="inlineStr">
        <is>
          <t>EBITDA (calculo do auditor)</t>
        </is>
      </c>
      <c r="B30" s="8">
        <f>B28+B29</f>
        <v/>
      </c>
      <c r="C30" t="inlineStr">
        <is>
          <t>lucro operacional + D&amp;A</t>
        </is>
      </c>
      <c r="D30" t="inlineStr"/>
      <c r="E30" t="inlineStr"/>
      <c r="F30" t="inlineStr"/>
    </row>
    <row r="31">
      <c r="A31" t="inlineStr">
        <is>
          <t>Divida liquida / EBITDA (covenant: &lt;= 3,00x)</t>
        </is>
      </c>
      <c r="B31" s="14">
        <f>B27/B30</f>
        <v/>
      </c>
      <c r="C31" t="inlineStr">
        <is>
          <t>calculado</t>
        </is>
      </c>
      <c r="D31" s="15" t="n">
        <v>3</v>
      </c>
      <c r="E31">
        <f>IF(B31&lt;=D31,"cumpre","NAO cumpre")</f>
        <v/>
      </c>
      <c r="F31" t="inlineStr"/>
    </row>
    <row r="32">
      <c r="A32" t="inlineStr">
        <is>
          <t>Divida liquida / EBITDA divulgada pela administracao</t>
        </is>
      </c>
      <c r="B32" s="14" t="n">
        <v>1.1</v>
      </c>
      <c r="C32" t="inlineStr">
        <is>
          <t>F01 RA p.5 (divida liquida R$ 1,6 bi)</t>
        </is>
      </c>
      <c r="D32" t="inlineStr"/>
      <c r="E32" t="inlineStr"/>
      <c r="F32" t="inlineStr"/>
    </row>
    <row r="33">
      <c r="A33" t="inlineStr">
        <is>
          <t>PV-10 reservas 1P (US$ mil)</t>
        </is>
      </c>
      <c r="B33" s="8" t="n">
        <v>1900000</v>
      </c>
      <c r="C33" t="inlineStr">
        <is>
          <t>F01 RA 3.3 / F14 NSAI</t>
        </is>
      </c>
      <c r="D33" t="inlineStr"/>
      <c r="E33" t="inlineStr"/>
      <c r="F33" t="inlineStr"/>
    </row>
    <row r="34">
      <c r="A34" t="inlineStr">
        <is>
          <t>PTAX 31/12/2025 (R$/US$)</t>
        </is>
      </c>
      <c r="B34" s="16" t="n">
        <v>5.5024</v>
      </c>
      <c r="C34" t="inlineStr">
        <is>
          <t>F01 NE 21 nota (a) p.98</t>
        </is>
      </c>
      <c r="D34" t="inlineStr"/>
      <c r="E34" t="inlineStr"/>
      <c r="F34" t="inlineStr"/>
    </row>
    <row r="35">
      <c r="A35" t="inlineStr">
        <is>
          <t>PV-10 1P em R$ mil</t>
        </is>
      </c>
      <c r="B35" s="8">
        <f>B33*B34</f>
        <v/>
      </c>
      <c r="C35" t="inlineStr">
        <is>
          <t>conversao</t>
        </is>
      </c>
      <c r="D35" t="inlineStr"/>
      <c r="E35" t="inlineStr"/>
      <c r="F35" t="inlineStr"/>
    </row>
    <row r="36">
      <c r="A36" t="inlineStr">
        <is>
          <t>PV-10 / divida bruta (covenant: &gt;= 1,50x)</t>
        </is>
      </c>
      <c r="B36" s="14">
        <f>B35/B24</f>
        <v/>
      </c>
      <c r="C36" t="inlineStr">
        <is>
          <t>calculado</t>
        </is>
      </c>
      <c r="D36" s="15" t="n">
        <v>1.5</v>
      </c>
      <c r="E36">
        <f>IF(B36&gt;=D36,"cumpre","NAO cumpre")</f>
        <v/>
      </c>
      <c r="F36" t="inlineStr"/>
    </row>
    <row r="38">
      <c r="A38" t="inlineStr">
        <is>
          <t>Limitacao: escrituras nao disponiveis no RI; definicoes contratuais de Divida Liquida e EBITDA nao verificadas (F31-F34 a examinar no PT 570).</t>
        </is>
      </c>
    </row>
    <row r="39">
      <c r="A39" t="inlineStr">
        <is>
          <t>O calculo do auditor difere do divulgado (R$ 1,6 bi) por itens nao identificados (provavelmente arrendamentos e valores a pagar por aquisicoes).</t>
        </is>
      </c>
    </row>
    <row r="40">
      <c r="A40" t="inlineStr">
        <is>
          <t>Cronograma do nao circulante (NE 9.2): 2028 308.537; 2029 710.737; 2030 553.048; 2031 817.695; 2032+ 650.085 = 3.040.102. Sem principal relevante em 2026-2027.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0" customWidth="1" min="4" max="4"/>
    <col width="40" customWidth="1" min="5" max="5"/>
    <col width="16" customWidth="1" min="6" max="6"/>
  </cols>
  <sheetData>
    <row r="1">
      <c r="A1" s="1" t="inlineStr">
        <is>
          <t>Mapa das estimativas contabeis (NE 3) - insumo PT 540 e PT 315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Estimativa</t>
        </is>
      </c>
      <c r="B4" s="3" t="inlineStr">
        <is>
          <t>Saldo / efeito 2025 (R$ mil)</t>
        </is>
      </c>
      <c r="C4" s="3" t="inlineStr">
        <is>
          <t>Nota / pagina F01</t>
        </is>
      </c>
      <c r="D4" s="3" t="inlineStr">
        <is>
          <t>Premissas-chave divulgadas</t>
        </is>
      </c>
      <c r="E4" s="3" t="inlineStr">
        <is>
          <t>Grau de incerteza / julgamento</t>
        </is>
      </c>
      <c r="F4" s="3" t="inlineStr">
        <is>
          <t>Candidata ao PT 540?</t>
        </is>
      </c>
    </row>
    <row r="5">
      <c r="A5" s="17" t="inlineStr">
        <is>
          <t>Provisao para abandono de pocos (ARO)</t>
        </is>
      </c>
      <c r="B5" s="17" t="inlineStr">
        <is>
          <t>Passivo 145.192 (CP 4.728; LP 140.464); ativo ARO liquido 37.455</t>
        </is>
      </c>
      <c r="C5" s="17" t="inlineStr">
        <is>
          <t>NE 3.3 p.61; NE 13 p.82-83</t>
        </is>
      </c>
      <c r="D5" s="17" t="inlineStr">
        <is>
          <t>Taxa nominal 10,56% a.a. (2024: 10,92%); inflacao 3,56% a.a. (2024: 3,66%); epoca do abandono pela projecao de producao; custo por servico</t>
        </is>
      </c>
      <c r="E5" s="17" t="inlineStr">
        <is>
          <t>Alto: longo prazo, regulacao subjetiva (ANP); unico PAA do auditor</t>
        </is>
      </c>
      <c r="F5" s="17" t="inlineStr">
        <is>
          <t>SIM (principal)</t>
        </is>
      </c>
    </row>
    <row r="6">
      <c r="A6" s="17" t="inlineStr">
        <is>
          <t>Reservas -&gt; deplecao por unidades produzidas</t>
        </is>
      </c>
      <c r="B6" s="17" t="inlineStr">
        <is>
          <t>Deplecao 2025: direito de producao 132.263 + desenvolvimento 485.386 + ARO 1.174 = 618.823</t>
        </is>
      </c>
      <c r="C6" s="17" t="inlineStr">
        <is>
          <t>NE 3.2 p.61; NE 7 p.69</t>
        </is>
      </c>
      <c r="D6" s="17" t="inlineStr">
        <is>
          <t>Reservas 1P para custo de aquisicao; PDP para desenvolvimento; NSAI (F14): 1P 143,3 MMboe; PDP 61,4 MMboe</t>
        </is>
      </c>
      <c r="E6" s="17" t="inlineStr">
        <is>
          <t>Alto: depende de especialista (NSAI) e do preco do Brent</t>
        </is>
      </c>
      <c r="F6" s="17" t="inlineStr">
        <is>
          <t>SIM (alternativa)</t>
        </is>
      </c>
    </row>
    <row r="7">
      <c r="A7" s="17" t="inlineStr">
        <is>
          <t>Impairment do imobilizado (6 UGCs)</t>
        </is>
      </c>
      <c r="B7" s="17" t="inlineStr">
        <is>
          <t>Sem perda reconhecida; imobilizado liquido 6.170.841</t>
        </is>
      </c>
      <c r="C7" s="17" t="inlineStr">
        <is>
          <t>NE 3.4 p.62</t>
        </is>
      </c>
      <c r="D7" s="17" t="inlineStr">
        <is>
          <t>Administracao nao identificou indicativos; UGC = grupo de campos</t>
        </is>
      </c>
      <c r="E7" s="17" t="inlineStr">
        <is>
          <t>Alto: indicativo externo (valor de mercado &lt; PL; Brent -14%)</t>
        </is>
      </c>
      <c r="F7" s="17" t="inlineStr">
        <is>
          <t>SIM (risco significativo)</t>
        </is>
      </c>
    </row>
    <row r="8">
      <c r="A8" s="17" t="inlineStr">
        <is>
          <t>IR/CS diferidos</t>
        </is>
      </c>
      <c r="B8" s="17" t="inlineStr">
        <is>
          <t>Liquido passivo (52.211); ativo bruto 270.697</t>
        </is>
      </c>
      <c r="C8" s="17" t="inlineStr">
        <is>
          <t>NE 3.1; NE 10.2 p.77</t>
        </is>
      </c>
      <c r="D8" s="17" t="inlineStr">
        <is>
          <t>Realizacao conforme vencimento de derivativos, abandono e provisoes; SUDENE 75% ate 2032; deplecao acelerada (Lei 13.586/2017)</t>
        </is>
      </c>
      <c r="E8" s="17" t="inlineStr">
        <is>
          <t>Medio</t>
        </is>
      </c>
      <c r="F8" s="17" t="inlineStr">
        <is>
          <t>Nao</t>
        </is>
      </c>
    </row>
    <row r="9">
      <c r="A9" s="17" t="inlineStr">
        <is>
          <t>Valor justo de derivativos (swaps, NDF, collar)</t>
        </is>
      </c>
      <c r="B9" s="17" t="inlineStr">
        <is>
          <t>Ativo 35.055; passivo 88.449; resultado +366.796</t>
        </is>
      </c>
      <c r="C9" s="17" t="inlineStr">
        <is>
          <t>NE 3.5; NE 14; NE 20 p.94</t>
        </is>
      </c>
      <c r="D9" s="17" t="inlineStr">
        <is>
          <t>Curvas de mercado</t>
        </is>
      </c>
      <c r="E9" s="17" t="inlineStr">
        <is>
          <t>Medio, mas alto impacto no resultado</t>
        </is>
      </c>
      <c r="F9" s="17" t="inlineStr">
        <is>
          <t>Nao (testar no PT 330)</t>
        </is>
      </c>
    </row>
    <row r="10">
      <c r="A10" s="17" t="inlineStr">
        <is>
          <t>Pagamento baseado em acoes</t>
        </is>
      </c>
      <c r="B10" s="17" t="inlineStr">
        <is>
          <t>Programas ILP 2022-2024</t>
        </is>
      </c>
      <c r="C10" s="17" t="inlineStr">
        <is>
          <t>NE 3.6; NE 15.7</t>
        </is>
      </c>
      <c r="D10" s="17" t="inlineStr">
        <is>
          <t>Valor justo na outorga; parcela TSR</t>
        </is>
      </c>
      <c r="E10" s="17" t="inlineStr">
        <is>
          <t>Baixo</t>
        </is>
      </c>
      <c r="F10" s="17" t="inlineStr">
        <is>
          <t>Nao</t>
        </is>
      </c>
    </row>
    <row r="11">
      <c r="A11" s="17" t="inlineStr">
        <is>
          <t>Creditos em disputa (gas 2022) / perdas de credito</t>
        </is>
      </c>
      <c r="B11" s="17" t="inlineStr">
        <is>
          <t>Outros a receber liquidos 55.917 (LP)</t>
        </is>
      </c>
      <c r="C11" s="17" t="inlineStr">
        <is>
          <t>NE 5.1 (i) p.64; NE 12.3 p.82</t>
        </is>
      </c>
      <c r="D11" s="17" t="inlineStr">
        <is>
          <t>Melhor estimativa de realizacao; arbitragem CCI suspensa para mediacao</t>
        </is>
      </c>
      <c r="E11" s="17" t="inlineStr">
        <is>
          <t>Alto qualitativo (litigio confidencial)</t>
        </is>
      </c>
      <c r="F11" s="17" t="inlineStr">
        <is>
          <t>Nao (PT 501)</t>
        </is>
      </c>
    </row>
    <row r="12">
      <c r="A12" s="17" t="inlineStr">
        <is>
          <t>Provisoes para processos judiciais</t>
        </is>
      </c>
      <c r="B12" s="17" t="inlineStr">
        <is>
          <t>Provavel 47.946; possivel 181.206</t>
        </is>
      </c>
      <c r="C12" s="17" t="inlineStr">
        <is>
          <t>NE 12 p.80-81</t>
        </is>
      </c>
      <c r="D12" s="17" t="inlineStr">
        <is>
          <t>Opiniao de assessores juridicos</t>
        </is>
      </c>
      <c r="E12" s="17" t="inlineStr">
        <is>
          <t>Medio</t>
        </is>
      </c>
      <c r="F12" s="17" t="inlineStr">
        <is>
          <t>Nao (PT 501)</t>
        </is>
      </c>
    </row>
    <row r="13">
      <c r="A13" s="17" t="inlineStr">
        <is>
          <t>Contraprestacao contingente (earnouts)</t>
        </is>
      </c>
      <c r="B13" s="17" t="inlineStr">
        <is>
          <t>Zerada em 2025 (2024: 27.308)</t>
        </is>
      </c>
      <c r="C13" s="17" t="inlineStr">
        <is>
          <t>NE 11 p.79</t>
        </is>
      </c>
      <c r="D13" s="17" t="inlineStr">
        <is>
          <t>Curva futura do Brent</t>
        </is>
      </c>
      <c r="E13" s="17" t="inlineStr">
        <is>
          <t>Baixo em 2025</t>
        </is>
      </c>
      <c r="F13" s="17" t="inlineStr">
        <is>
          <t>Nao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Litigios (NE 12), partes relacionadas (NE 16) e receita (NE 18)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11" t="inlineStr">
        <is>
          <t>NE 12 - Processos judiciais - consolidado (F01 p.80-81)</t>
        </is>
      </c>
    </row>
    <row r="5">
      <c r="A5" s="3" t="inlineStr">
        <is>
          <t>Natureza</t>
        </is>
      </c>
      <c r="B5" s="3" t="inlineStr">
        <is>
          <t>Provavel 2025</t>
        </is>
      </c>
      <c r="C5" s="3" t="inlineStr">
        <is>
          <t>Provavel 2024</t>
        </is>
      </c>
      <c r="D5" s="3" t="inlineStr">
        <is>
          <t>Possivel 2025</t>
        </is>
      </c>
      <c r="E5" s="3" t="inlineStr">
        <is>
          <t>Possivel 2024</t>
        </is>
      </c>
    </row>
    <row r="6">
      <c r="A6" t="inlineStr">
        <is>
          <t>Trabalhistas</t>
        </is>
      </c>
      <c r="B6" s="8" t="n">
        <v>3214</v>
      </c>
      <c r="C6" s="8" t="n">
        <v>4810</v>
      </c>
      <c r="D6" s="8" t="n">
        <v>6283</v>
      </c>
      <c r="E6" s="8" t="n">
        <v>4098</v>
      </c>
    </row>
    <row r="7">
      <c r="A7" t="inlineStr">
        <is>
          <t>Fiscais</t>
        </is>
      </c>
      <c r="B7" s="8" t="n">
        <v>1698</v>
      </c>
      <c r="C7" s="8" t="n">
        <v>1472</v>
      </c>
      <c r="D7" s="8" t="n">
        <v>82797</v>
      </c>
      <c r="E7" s="8" t="n">
        <v>57300</v>
      </c>
    </row>
    <row r="8">
      <c r="A8" t="inlineStr">
        <is>
          <t>Regulatorios (ANP - PEM nao executado, SPE Tieta)</t>
        </is>
      </c>
      <c r="B8" s="8" t="n">
        <v>43034</v>
      </c>
      <c r="C8" s="8" t="n">
        <v>41641</v>
      </c>
      <c r="D8" s="8" t="n">
        <v>82965</v>
      </c>
      <c r="E8" s="8" t="n">
        <v>49891</v>
      </c>
    </row>
    <row r="9">
      <c r="A9" t="inlineStr">
        <is>
          <t>Civeis</t>
        </is>
      </c>
      <c r="B9" s="8" t="n">
        <v>0</v>
      </c>
      <c r="C9" s="8" t="n">
        <v>0</v>
      </c>
      <c r="D9" s="8" t="n">
        <v>9161</v>
      </c>
      <c r="E9" s="8" t="n">
        <v>8360</v>
      </c>
    </row>
    <row r="10">
      <c r="A10" t="inlineStr">
        <is>
          <t>Total (recalculado)</t>
        </is>
      </c>
      <c r="B10" s="8">
        <f>SUM(B6:B9)</f>
        <v/>
      </c>
      <c r="C10" s="8">
        <f>SUM(C6:C9)</f>
        <v/>
      </c>
      <c r="D10" s="8">
        <f>SUM(D6:D9)</f>
        <v/>
      </c>
      <c r="E10" s="8">
        <f>SUM(E6:E9)</f>
        <v/>
      </c>
    </row>
    <row r="11">
      <c r="A11" t="inlineStr">
        <is>
          <t>Total divulgado</t>
        </is>
      </c>
      <c r="B11" s="8" t="n">
        <v>47946</v>
      </c>
      <c r="C11" s="8" t="n">
        <v>47923</v>
      </c>
      <c r="D11" s="8" t="n">
        <v>181206</v>
      </c>
      <c r="E11" s="8" t="n">
        <v>119649</v>
      </c>
    </row>
    <row r="13">
      <c r="A13" s="11" t="inlineStr">
        <is>
          <t>NE 16 - Partes relacionadas (F01 p.90-91)</t>
        </is>
      </c>
    </row>
    <row r="14">
      <c r="A14" s="3" t="inlineStr">
        <is>
          <t>Parte / natureza</t>
        </is>
      </c>
      <c r="B14" s="3" t="inlineStr">
        <is>
          <t>Saldo 2025 (controladora)</t>
        </is>
      </c>
      <c r="C14" s="3" t="inlineStr">
        <is>
          <t>Saldo 2024 (controladora)</t>
        </is>
      </c>
      <c r="D14" s="3" t="inlineStr">
        <is>
          <t>Resultado 2025 (controladora)</t>
        </is>
      </c>
      <c r="E14" s="3" t="inlineStr">
        <is>
          <t>Resultado 2025 (consolidado)</t>
        </is>
      </c>
    </row>
    <row r="15">
      <c r="A15" t="inlineStr">
        <is>
          <t>SPE Tieta - outros ativos (intragrupo)</t>
        </is>
      </c>
      <c r="B15" s="8" t="n">
        <v>3165</v>
      </c>
      <c r="C15" s="8" t="n">
        <v>27399</v>
      </c>
      <c r="D15" s="8" t="n">
        <v>31667</v>
      </c>
      <c r="E15" s="8" t="n">
        <v>0</v>
      </c>
    </row>
    <row r="16">
      <c r="A16" t="inlineStr">
        <is>
          <t>SPE Tieta - fornecedores (intragrupo)</t>
        </is>
      </c>
      <c r="B16" s="8" t="n">
        <v>2597</v>
      </c>
      <c r="C16" s="8" t="n">
        <v>3314</v>
      </c>
      <c r="D16" s="8" t="n">
        <v>0</v>
      </c>
      <c r="E16" s="8" t="n">
        <v>0</v>
      </c>
    </row>
    <row r="17">
      <c r="A17" t="inlineStr">
        <is>
          <t>Grupo PERBRAS (acionista) - sondas e servicos</t>
        </is>
      </c>
      <c r="B17" s="8" t="n">
        <v>5027</v>
      </c>
      <c r="C17" s="8" t="n">
        <v>2054</v>
      </c>
      <c r="D17" s="8" t="n">
        <v>-4503</v>
      </c>
      <c r="E17" s="8" t="n">
        <v>-4509</v>
      </c>
    </row>
    <row r="18">
      <c r="A18" t="inlineStr">
        <is>
          <t>Grupo PetroSantander (acionista) - assistencia tecnica</t>
        </is>
      </c>
      <c r="B18" s="8" t="n">
        <v>0</v>
      </c>
      <c r="C18" s="8" t="n">
        <v>1</v>
      </c>
      <c r="D18" s="8" t="n">
        <v>-961</v>
      </c>
      <c r="E18" s="8" t="n">
        <v>-961</v>
      </c>
    </row>
    <row r="19">
      <c r="A19" t="inlineStr">
        <is>
          <t>Rateios de gastos corporativos (intragrupo)</t>
        </is>
      </c>
      <c r="B19" s="8" t="n">
        <v>0</v>
      </c>
      <c r="C19" s="8" t="n">
        <v>0</v>
      </c>
      <c r="D19" s="8" t="n">
        <v>44763</v>
      </c>
      <c r="E19" s="8" t="n">
        <v>0</v>
      </c>
    </row>
    <row r="20">
      <c r="A20" t="inlineStr">
        <is>
          <t>Remuneracao da administracao (total, c/ encargos)</t>
        </is>
      </c>
      <c r="B20" s="8" t="n">
        <v>0</v>
      </c>
      <c r="C20" s="8" t="n">
        <v>0</v>
      </c>
      <c r="D20" s="8" t="n">
        <v>-30694</v>
      </c>
      <c r="E20" s="8" t="n">
        <v>-30694</v>
      </c>
    </row>
    <row r="22">
      <c r="A22" s="11" t="inlineStr">
        <is>
          <t>NE 18 - Receita - consolidado (F01 p.93)</t>
        </is>
      </c>
    </row>
    <row r="23">
      <c r="A23" s="3" t="inlineStr">
        <is>
          <t>Componente</t>
        </is>
      </c>
      <c r="B23" s="3" t="inlineStr">
        <is>
          <t>2025</t>
        </is>
      </c>
      <c r="C23" s="3" t="inlineStr">
        <is>
          <t>2024</t>
        </is>
      </c>
      <c r="D23" s="3" t="inlineStr">
        <is>
          <t>AH %</t>
        </is>
      </c>
      <c r="E23" s="3" t="inlineStr">
        <is>
          <t>% receita bruta 2025</t>
        </is>
      </c>
    </row>
    <row r="24">
      <c r="A24" t="inlineStr">
        <is>
          <t>Venda de petroleo</t>
        </is>
      </c>
      <c r="B24" s="8" t="n">
        <v>2113133</v>
      </c>
      <c r="C24" s="8" t="n">
        <v>2440303</v>
      </c>
      <c r="D24" s="9">
        <f>IFERROR(B24/C24-1,"")</f>
        <v/>
      </c>
      <c r="E24" s="9">
        <f>B24/B28</f>
        <v/>
      </c>
    </row>
    <row r="25">
      <c r="A25" t="inlineStr">
        <is>
          <t>Venda de gas e subprodutos</t>
        </is>
      </c>
      <c r="B25" s="8" t="n">
        <v>1554086</v>
      </c>
      <c r="C25" s="8" t="n">
        <v>1480337</v>
      </c>
      <c r="D25" s="9">
        <f>IFERROR(B25/C25-1,"")</f>
        <v/>
      </c>
      <c r="E25" s="9">
        <f>B25/B28</f>
        <v/>
      </c>
    </row>
    <row r="26">
      <c r="A26" t="inlineStr">
        <is>
          <t>Prestacao de servicos</t>
        </is>
      </c>
      <c r="B26" s="8" t="n">
        <v>41583</v>
      </c>
      <c r="C26" s="8" t="n">
        <v>43315</v>
      </c>
      <c r="D26" s="9">
        <f>IFERROR(B26/C26-1,"")</f>
        <v/>
      </c>
      <c r="E26" s="9">
        <f>B26/B28</f>
        <v/>
      </c>
    </row>
    <row r="27">
      <c r="A27" t="inlineStr">
        <is>
          <t>Contrato de hedge</t>
        </is>
      </c>
      <c r="B27" s="8" t="n">
        <v>882</v>
      </c>
      <c r="C27" s="8" t="n">
        <v>-127212</v>
      </c>
      <c r="D27" s="9">
        <f>IFERROR(B27/C27-1,"")</f>
        <v/>
      </c>
      <c r="E27" s="9">
        <f>B27/B28</f>
        <v/>
      </c>
    </row>
    <row r="28">
      <c r="A28" t="inlineStr">
        <is>
          <t>Receita bruta</t>
        </is>
      </c>
      <c r="B28" s="8">
        <f>SUM(B24:B27)</f>
        <v/>
      </c>
      <c r="C28" s="8">
        <f>SUM(C24:C27)</f>
        <v/>
      </c>
      <c r="D28" s="9">
        <f>B28/C28-1</f>
        <v/>
      </c>
      <c r="E28" s="9" t="inlineStr"/>
    </row>
    <row r="29">
      <c r="A29" t="inlineStr">
        <is>
          <t>(-) Deducoes</t>
        </is>
      </c>
      <c r="B29" s="8" t="n">
        <v>-552075</v>
      </c>
      <c r="C29" s="8" t="n">
        <v>-572189</v>
      </c>
      <c r="D29" s="9">
        <f>B29/C29-1</f>
        <v/>
      </c>
      <c r="E29" s="9" t="inlineStr"/>
    </row>
    <row r="30">
      <c r="A30" t="inlineStr">
        <is>
          <t>Receita liquida (recalculada)</t>
        </is>
      </c>
      <c r="B30" s="8">
        <f>B28+B29</f>
        <v/>
      </c>
      <c r="C30" s="8">
        <f>C28+C29</f>
        <v/>
      </c>
      <c r="D30" s="9">
        <f>B30/C30-1</f>
        <v/>
      </c>
      <c r="E30" s="9" t="inlineStr"/>
    </row>
    <row r="31">
      <c r="A31" t="inlineStr">
        <is>
          <t>Receita liquida divulgada (DRE)</t>
        </is>
      </c>
      <c r="B31" s="8" t="n">
        <v>3157609</v>
      </c>
      <c r="C31" s="8" t="n">
        <v>3264554</v>
      </c>
      <c r="D31" s="9" t="inlineStr"/>
      <c r="E31" s="9" t="inlineStr"/>
    </row>
    <row r="33">
      <c r="A33" t="inlineStr">
        <is>
          <t>Concentracao de clientes (NE 21, p.97): ~83% da receita com clientes que representam &gt; 10% cada; os tres maiores = 22%, 28% e 33% da receita.</t>
        </is>
      </c>
    </row>
    <row r="34">
      <c r="A34" t="inlineStr">
        <is>
          <t>Exposicao cambial (NE 21, p.97): 97% da receita bruta vinculada ao US$ (Brent ou contratos em US$).</t>
        </is>
      </c>
    </row>
    <row r="35">
      <c r="A35" t="inlineStr">
        <is>
          <t>Royalties (NE 17.1, p.92): R$ 198.434 (2024: 196.246) + proprietarios de terra R$ 29.260. Royalties no custo (NE 19): R$ 227.694.</t>
        </is>
      </c>
    </row>
    <row r="36">
      <c r="A36" t="inlineStr">
        <is>
          <t>Arbitragem CCI sobre contratos de venda de gas (NE 12.3, p.82): confidencial, suspensa para mediacao; ativos/passivos relacionados podem variar.</t>
        </is>
      </c>
    </row>
    <row r="37">
      <c r="A37" t="inlineStr">
        <is>
          <t>Dividendos de R$ 300.000 aprovados em 18/12/2025 (NE 15.6, p.88) com base na Lei 15.270/2025: R$ 100.000 CP e R$ 200.000 LP (F01 BP).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Indicadores de liquidez, endividamento, rentabilidade e caixa - consolidado (insumo PT 520 e PT 570)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Item</t>
        </is>
      </c>
      <c r="B4" s="3" t="inlineStr">
        <is>
          <t>2025</t>
        </is>
      </c>
      <c r="C4" s="3" t="inlineStr">
        <is>
          <t>2024</t>
        </is>
      </c>
      <c r="D4" s="3" t="inlineStr">
        <is>
          <t>Fonte</t>
        </is>
      </c>
    </row>
    <row r="5">
      <c r="A5" t="inlineStr">
        <is>
          <t>Ativo circulante</t>
        </is>
      </c>
      <c r="B5" s="8" t="n">
        <v>2158236</v>
      </c>
      <c r="C5" s="8" t="n">
        <v>1569425</v>
      </c>
      <c r="D5" t="inlineStr">
        <is>
          <t>BP (CVM 1.01)</t>
        </is>
      </c>
    </row>
    <row r="6">
      <c r="A6" t="inlineStr">
        <is>
          <t>Passivo circulante</t>
        </is>
      </c>
      <c r="B6" s="8" t="n">
        <v>619377</v>
      </c>
      <c r="C6" s="8" t="n">
        <v>732356</v>
      </c>
      <c r="D6" t="inlineStr">
        <is>
          <t>CVM 2.01</t>
        </is>
      </c>
    </row>
    <row r="7">
      <c r="A7" t="inlineStr">
        <is>
          <t>Estoques</t>
        </is>
      </c>
      <c r="B7" s="8" t="n">
        <v>6139</v>
      </c>
      <c r="C7" s="8" t="n">
        <v>9766</v>
      </c>
      <c r="D7" t="inlineStr">
        <is>
          <t>BP</t>
        </is>
      </c>
    </row>
    <row r="8">
      <c r="A8" t="inlineStr">
        <is>
          <t>Caixa e equivalentes</t>
        </is>
      </c>
      <c r="B8" s="8" t="n">
        <v>229508</v>
      </c>
      <c r="C8" s="8" t="n">
        <v>295548</v>
      </c>
      <c r="D8" t="inlineStr">
        <is>
          <t>BP</t>
        </is>
      </c>
    </row>
    <row r="9">
      <c r="A9" t="inlineStr">
        <is>
          <t>Aplicacoes financeiras CP</t>
        </is>
      </c>
      <c r="B9" s="8" t="n">
        <v>1395510</v>
      </c>
      <c r="C9" s="8" t="n">
        <v>761939</v>
      </c>
      <c r="D9" t="inlineStr">
        <is>
          <t>BP</t>
        </is>
      </c>
    </row>
    <row r="10">
      <c r="A10" t="inlineStr">
        <is>
          <t>Ativo total</t>
        </is>
      </c>
      <c r="B10" s="8" t="n">
        <v>8668015</v>
      </c>
      <c r="C10" s="8" t="n">
        <v>7437571</v>
      </c>
      <c r="D10" t="inlineStr">
        <is>
          <t>BP</t>
        </is>
      </c>
    </row>
    <row r="11">
      <c r="A11" t="inlineStr">
        <is>
          <t>Passivo nao circulante</t>
        </is>
      </c>
      <c r="B11" s="8" t="n">
        <v>3717922</v>
      </c>
      <c r="C11" s="8" t="n">
        <v>2469938</v>
      </c>
      <c r="D11" t="inlineStr">
        <is>
          <t>CVM 2.02</t>
        </is>
      </c>
    </row>
    <row r="12">
      <c r="A12" t="inlineStr">
        <is>
          <t>Patrimonio liquido</t>
        </is>
      </c>
      <c r="B12" s="8" t="n">
        <v>4330716</v>
      </c>
      <c r="C12" s="8" t="n">
        <v>4235277</v>
      </c>
      <c r="D12" t="inlineStr">
        <is>
          <t>BP</t>
        </is>
      </c>
    </row>
    <row r="13">
      <c r="A13" t="inlineStr">
        <is>
          <t>Debentures (CP + LP)</t>
        </is>
      </c>
      <c r="B13" s="8" t="n">
        <v>3105016</v>
      </c>
      <c r="C13" s="8" t="n">
        <v>1792321</v>
      </c>
      <c r="D13" t="inlineStr">
        <is>
          <t>NE 9.1</t>
        </is>
      </c>
    </row>
    <row r="14">
      <c r="A14" t="inlineStr">
        <is>
          <t>Receita liquida</t>
        </is>
      </c>
      <c r="B14" s="8" t="n">
        <v>3157609</v>
      </c>
      <c r="C14" s="8" t="n">
        <v>3264554</v>
      </c>
      <c r="D14" t="inlineStr">
        <is>
          <t>DRE</t>
        </is>
      </c>
    </row>
    <row r="15">
      <c r="A15" t="inlineStr">
        <is>
          <t>Lucro operacional</t>
        </is>
      </c>
      <c r="B15" s="8" t="n">
        <v>721579</v>
      </c>
      <c r="C15" s="8" t="n">
        <v>948220</v>
      </c>
      <c r="D15" t="inlineStr">
        <is>
          <t>DRE</t>
        </is>
      </c>
    </row>
    <row r="16">
      <c r="A16" t="inlineStr">
        <is>
          <t>D&amp;A</t>
        </is>
      </c>
      <c r="B16" s="8" t="n">
        <v>721077</v>
      </c>
      <c r="C16" s="8" t="n">
        <v>694816</v>
      </c>
      <c r="D16" t="inlineStr">
        <is>
          <t>NE 19</t>
        </is>
      </c>
    </row>
    <row r="17">
      <c r="A17" t="inlineStr">
        <is>
          <t>Lucro liquido</t>
        </is>
      </c>
      <c r="B17" s="8" t="n">
        <v>638352</v>
      </c>
      <c r="C17" s="8" t="n">
        <v>437498</v>
      </c>
      <c r="D17" t="inlineStr">
        <is>
          <t>DRE</t>
        </is>
      </c>
    </row>
    <row r="18">
      <c r="A18" t="inlineStr">
        <is>
          <t>Juros sobre debentures</t>
        </is>
      </c>
      <c r="B18" s="8" t="n">
        <v>281098</v>
      </c>
      <c r="C18" s="8" t="n">
        <v>84840</v>
      </c>
      <c r="D18" t="inlineStr">
        <is>
          <t>NE 20</t>
        </is>
      </c>
    </row>
    <row r="19">
      <c r="A19" t="inlineStr">
        <is>
          <t>Caixa liquido das atividades operacionais (FCO)</t>
        </is>
      </c>
      <c r="B19" s="8" t="n">
        <v>1504449</v>
      </c>
      <c r="C19" s="8" t="n">
        <v>2219127</v>
      </c>
      <c r="D19" t="inlineStr">
        <is>
          <t>DFC 6.01</t>
        </is>
      </c>
    </row>
    <row r="20">
      <c r="A20" t="inlineStr">
        <is>
          <t>Adicoes ao imobilizado e intangivel (capex caixa)</t>
        </is>
      </c>
      <c r="B20" s="8" t="n">
        <v>1639363</v>
      </c>
      <c r="C20" s="8" t="n">
        <v>1185407</v>
      </c>
      <c r="D20" t="inlineStr">
        <is>
          <t>DFC 6.02.02 (sinal invertido)</t>
        </is>
      </c>
    </row>
    <row r="21">
      <c r="A21" t="inlineStr">
        <is>
          <t>Valor de mercado em 31/12 (R$ 11,32 x 292.977.928 acoes em circulacao)</t>
        </is>
      </c>
      <c r="B21" s="8">
        <f>11.32*292977.928</f>
        <v/>
      </c>
      <c r="C21" s="8" t="n"/>
      <c r="D21" t="inlineStr">
        <is>
          <t>F01 RA p.28 (R$ 3,3 bi) e NE 15.1 p.86</t>
        </is>
      </c>
    </row>
    <row r="23">
      <c r="A23" s="11" t="inlineStr">
        <is>
          <t>Indicadores</t>
        </is>
      </c>
    </row>
    <row r="24">
      <c r="A24" s="18" t="inlineStr">
        <is>
          <t>Liquidez corrente (AC / PC)</t>
        </is>
      </c>
      <c r="B24" s="14">
        <f>B5/B6</f>
        <v/>
      </c>
      <c r="C24" s="14">
        <f>C5/C6</f>
        <v/>
      </c>
    </row>
    <row r="25">
      <c r="A25" s="18" t="inlineStr">
        <is>
          <t>Liquidez seca ((AC - estoques) / PC)</t>
        </is>
      </c>
      <c r="B25" s="14">
        <f>(B5-B7)/B6</f>
        <v/>
      </c>
      <c r="C25" s="14">
        <f>(C5-C7)/C6</f>
        <v/>
      </c>
    </row>
    <row r="26">
      <c r="A26" s="18" t="inlineStr">
        <is>
          <t>Liquidez imediata ((caixa + aplic. CP) / PC)</t>
        </is>
      </c>
      <c r="B26" s="14">
        <f>(B8+B9)/B6</f>
        <v/>
      </c>
      <c r="C26" s="14">
        <f>(C8+C9)/C6</f>
        <v/>
      </c>
    </row>
    <row r="27">
      <c r="A27" s="18" t="inlineStr">
        <is>
          <t>Endividamento geral ((PC + PNC) / AT)</t>
        </is>
      </c>
      <c r="B27" s="9">
        <f>(B6+B11)/B10</f>
        <v/>
      </c>
      <c r="C27" s="9">
        <f>(C6+C11)/C10</f>
        <v/>
      </c>
    </row>
    <row r="28">
      <c r="A28" s="18" t="inlineStr">
        <is>
          <t>Debentures / PL</t>
        </is>
      </c>
      <c r="B28" s="14">
        <f>B13/B12</f>
        <v/>
      </c>
      <c r="C28" s="14">
        <f>C13/C12</f>
        <v/>
      </c>
    </row>
    <row r="29">
      <c r="A29" s="18" t="inlineStr">
        <is>
          <t>Divida liquida simples (debentures - caixa - aplic. CP)</t>
        </is>
      </c>
      <c r="B29" s="8">
        <f>B13-B8-B9</f>
        <v/>
      </c>
      <c r="C29" s="8">
        <f>C13-C8-C9</f>
        <v/>
      </c>
    </row>
    <row r="30">
      <c r="A30" s="18" t="inlineStr">
        <is>
          <t>EBITDA (lucro operacional + D&amp;A)</t>
        </is>
      </c>
      <c r="B30" s="8">
        <f>B15+B16</f>
        <v/>
      </c>
      <c r="C30" s="8">
        <f>C15+C16</f>
        <v/>
      </c>
    </row>
    <row r="31">
      <c r="A31" s="18" t="inlineStr">
        <is>
          <t>Divida liquida simples / EBITDA</t>
        </is>
      </c>
      <c r="B31" s="14">
        <f>B29/B30</f>
        <v/>
      </c>
      <c r="C31" s="14">
        <f>C29/C30</f>
        <v/>
      </c>
    </row>
    <row r="32">
      <c r="A32" s="18" t="inlineStr">
        <is>
          <t>Cobertura de juros (EBITDA / juros de debentures)</t>
        </is>
      </c>
      <c r="B32" s="10">
        <f>B30/B18</f>
        <v/>
      </c>
      <c r="C32" s="10">
        <f>C30/C18</f>
        <v/>
      </c>
    </row>
    <row r="33">
      <c r="A33" s="18" t="inlineStr">
        <is>
          <t>Margem EBITDA</t>
        </is>
      </c>
      <c r="B33" s="9">
        <f>B30/B14</f>
        <v/>
      </c>
      <c r="C33" s="9">
        <f>C30/C14</f>
        <v/>
      </c>
    </row>
    <row r="34">
      <c r="A34" s="18" t="inlineStr">
        <is>
          <t>Margem liquida</t>
        </is>
      </c>
      <c r="B34" s="9">
        <f>B17/B14</f>
        <v/>
      </c>
      <c r="C34" s="9">
        <f>C17/C14</f>
        <v/>
      </c>
    </row>
    <row r="35">
      <c r="A35" s="18" t="inlineStr">
        <is>
          <t>ROE (lucro liquido / PL final)</t>
        </is>
      </c>
      <c r="B35" s="9">
        <f>B17/B12</f>
        <v/>
      </c>
      <c r="C35" s="9">
        <f>C17/C12</f>
        <v/>
      </c>
    </row>
    <row r="36">
      <c r="A36" s="18" t="inlineStr">
        <is>
          <t>FCO - capex (fluxo de caixa livre simplificado)</t>
        </is>
      </c>
      <c r="B36" s="8">
        <f>B19-B20</f>
        <v/>
      </c>
      <c r="C36" s="8">
        <f>C19-C20</f>
        <v/>
      </c>
    </row>
    <row r="37">
      <c r="A37" s="18" t="inlineStr">
        <is>
          <t>Valor de mercado / PL (&lt; 1 = indicativo de impairment, CPC 01 item 12(d))</t>
        </is>
      </c>
      <c r="B37" s="14">
        <f>B21/B12</f>
        <v/>
      </c>
      <c r="C37" s="1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4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Mapa do grupo e dos componentes (insumo PT 600)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Componente</t>
        </is>
      </c>
      <c r="B4" s="3" t="inlineStr">
        <is>
          <t>Natureza / tratamento contabil</t>
        </is>
      </c>
      <c r="C4" s="3" t="inlineStr">
        <is>
          <t>Ativo total</t>
        </is>
      </c>
      <c r="D4" s="3" t="inlineStr">
        <is>
          <t>PL</t>
        </is>
      </c>
      <c r="E4" s="3" t="inlineStr">
        <is>
          <t>Participacao</t>
        </is>
      </c>
      <c r="F4" s="3" t="inlineStr">
        <is>
          <t>Fonte</t>
        </is>
      </c>
    </row>
    <row r="5">
      <c r="A5" s="17" t="inlineStr">
        <is>
          <t>PetroReconcavo S.A. (controladora)</t>
        </is>
      </c>
      <c r="B5" s="17" t="inlineStr">
        <is>
          <t>Entidade principal; concessionaria e operadora</t>
        </is>
      </c>
      <c r="C5" s="8" t="n">
        <v>8597497</v>
      </c>
      <c r="D5" s="8" t="n">
        <v>4330716</v>
      </c>
      <c r="E5" t="inlineStr">
        <is>
          <t>-</t>
        </is>
      </c>
      <c r="F5" t="inlineStr">
        <is>
          <t>F01 BP p.51</t>
        </is>
      </c>
    </row>
    <row r="6">
      <c r="A6" s="17" t="inlineStr">
        <is>
          <t>SPE Tieta Ltda. (ex-Maha Energy Brasil Ltda.)</t>
        </is>
      </c>
      <c r="B6" s="17" t="inlineStr">
        <is>
          <t>Controlada integral: consolidacao; MEP na controladora; mais-valia amortizada R$ 37.602 em 2025</t>
        </is>
      </c>
      <c r="C6" s="8" t="n">
        <v>879674</v>
      </c>
      <c r="D6" s="8" t="n">
        <v>803390</v>
      </c>
      <c r="E6" t="inlineStr">
        <is>
          <t>100%</t>
        </is>
      </c>
      <c r="F6" t="inlineStr">
        <is>
          <t>F01 NE 1.1 e 6 p.57/65</t>
        </is>
      </c>
    </row>
    <row r="7">
      <c r="A7" s="17" t="inlineStr">
        <is>
          <t>Consorcios de E&amp;P (14 dos 58 campos)</t>
        </is>
      </c>
      <c r="B7" s="17" t="inlineStr">
        <is>
          <t>Operacoes em conjunto: reconhecimento proporcional</t>
        </is>
      </c>
      <c r="C7" s="8" t="n"/>
      <c r="D7" s="8" t="n"/>
      <c r="E7" t="inlineStr">
        <is>
          <t>varia</t>
        </is>
      </c>
      <c r="F7" t="inlineStr">
        <is>
          <t>F01 NE 1 p.57</t>
        </is>
      </c>
    </row>
    <row r="8">
      <c r="A8" s="17" t="inlineStr">
        <is>
          <t>JOA midstream Brava (UPGN Guamare, RN)</t>
        </is>
      </c>
      <c r="B8" s="17" t="inlineStr">
        <is>
          <t>Operacao em conjunto (CPC 19): 50%; aquisicao US$ 65 mi em 30/09/2025; operadora Brava</t>
        </is>
      </c>
      <c r="C8" s="8" t="n"/>
      <c r="D8" s="8" t="n"/>
      <c r="E8" t="inlineStr">
        <is>
          <t>50%</t>
        </is>
      </c>
      <c r="F8" t="inlineStr">
        <is>
          <t>F01 NE 7 (i) p.70</t>
        </is>
      </c>
    </row>
    <row r="9">
      <c r="A9" s="17" t="inlineStr">
        <is>
          <t>Consorcio/JOA Mandacaru (7 concessoes, RN)</t>
        </is>
      </c>
      <c r="B9" s="17" t="inlineStr">
        <is>
          <t>Farm-out de 50% em 10/10/2025; operadora Mandacaru; ativos mantidos no imobilizado</t>
        </is>
      </c>
      <c r="C9" s="8" t="n"/>
      <c r="D9" s="8" t="n"/>
      <c r="E9" t="inlineStr">
        <is>
          <t>50%</t>
        </is>
      </c>
      <c r="F9" t="inlineStr">
        <is>
          <t>F01 NE 7.4 p.71</t>
        </is>
      </c>
    </row>
    <row r="11">
      <c r="A11" t="inlineStr">
        <is>
          <t>Eliminacoes: investimento de 847.106 (controladora) eliminado; transacoes intragrupo 2025: R$ 31.667 (servicos/vendas) + R$ 44.763 (rateios) - NE 16.</t>
        </is>
      </c>
    </row>
    <row r="12">
      <c r="A12" t="inlineStr">
        <is>
          <t>Ativo da SPE Tieta = 10,1% do ativo consolidado; receita liquida consolidada menos a da controladora = R$ 444.831 (14,1%), antes de eliminacoes.</t>
        </is>
      </c>
    </row>
    <row r="13">
      <c r="A13" t="inlineStr">
        <is>
          <t>Auditor: a EY audita controladora e controlada (F12 9.1); nao ha auditor de componente distinto identificado nas fontes publicas.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38" customWidth="1" min="3" max="3"/>
    <col width="24" customWidth="1" min="4" max="4"/>
    <col width="18" customWidth="1" min="5" max="5"/>
  </cols>
  <sheetData>
    <row r="1">
      <c r="A1" s="1" t="inlineStr">
        <is>
          <t>Achados preliminares do diagnostico - HIPOTESES a investigar (nao sao constatacoes de auditoria)</t>
        </is>
      </c>
    </row>
    <row r="2">
      <c r="A2" s="2" t="inlineStr">
        <is>
          <t>Preparador: matricula 211059370 | Data: 22/10/2026 | Valores em R$ mil | Revisao: ______ (campo reservado; nao preenchido)</t>
        </is>
      </c>
    </row>
    <row r="4">
      <c r="A4" s="3" t="inlineStr">
        <is>
          <t>#</t>
        </is>
      </c>
      <c r="B4" s="3" t="inlineStr">
        <is>
          <t>Observacao</t>
        </is>
      </c>
      <c r="C4" s="3" t="inlineStr">
        <is>
          <t>Evidencia (fonte / pagina)</t>
        </is>
      </c>
      <c r="D4" s="3" t="inlineStr">
        <is>
          <t>Norma / PT de destino</t>
        </is>
      </c>
      <c r="E4" s="3" t="inlineStr">
        <is>
          <t>Natureza</t>
        </is>
      </c>
    </row>
    <row r="5">
      <c r="A5" s="17" t="n">
        <v>1</v>
      </c>
      <c r="B5" s="17" t="inlineStr">
        <is>
          <t>Indicativo externo de impairment: valor de mercado (R$ 3,3 bi) inferior ao PL (R$ 4,33 bi) em 31/12/2025, com Brent medio 14% menor e lucro operacional 24% menor; a NE 3.4 afirma que nao houve indicativos. Avaliar o teste de recuperabilidade (CPC 01, item 12(d)).</t>
        </is>
      </c>
      <c r="C5" s="17" t="inlineStr">
        <is>
          <t>F01 RA p.28 (valor de mercado); NE 3.4 p.62; DRE p.52</t>
        </is>
      </c>
      <c r="D5" s="17" t="inlineStr">
        <is>
          <t>NBC TA 540/315/330 (PT 540, 315)</t>
        </is>
      </c>
      <c r="E5" s="17" t="inlineStr">
        <is>
          <t>Risco significativo</t>
        </is>
      </c>
    </row>
    <row r="6">
      <c r="A6" s="17" t="n">
        <v>2</v>
      </c>
      <c r="B6" s="17" t="inlineStr">
        <is>
          <t>Divergencia na 4a emissao: a tabela NE 9.1 mostra serie 1 = 225.208 e serie 2 = 525.492, mas o texto da NE 9 e a NE 25 informam 1a serie R$ 525 mi e 2a serie R$ 225 mi; o texto cita 225.500 debentures da 2a serie (total 750.500 vs. R$ 750.000). Possivel troca de rotulos.</t>
        </is>
      </c>
      <c r="C6" s="17" t="inlineStr">
        <is>
          <t>F01 NE 9.1 p.72; NE 9 p.74-75; NE 25 p.101</t>
        </is>
      </c>
      <c r="D6" s="17" t="inlineStr">
        <is>
          <t>NBC TA 450/500 (PT 450, 500)</t>
        </is>
      </c>
      <c r="E6" s="17" t="inlineStr">
        <is>
          <t>Divulgacao</t>
        </is>
      </c>
    </row>
    <row r="7">
      <c r="A7" s="17" t="n">
        <v>3</v>
      </c>
      <c r="B7" s="17" t="inlineStr">
        <is>
          <t>Data de liquidacao da 4a emissao: 18/12/2025 (NE 9 e NE 21) x 29/12/2025 (NE 25). Taxas: IPCA + 7,40% (NE 9) x 7,4564% e 7,2833% (NE 25).</t>
        </is>
      </c>
      <c r="C7" s="17" t="inlineStr">
        <is>
          <t>F01 NE 9 p.74; NE 25 p.101</t>
        </is>
      </c>
      <c r="D7" s="17" t="inlineStr">
        <is>
          <t>NBC TA 450/560</t>
        </is>
      </c>
      <c r="E7" s="17" t="inlineStr">
        <is>
          <t>Divulgacao</t>
        </is>
      </c>
    </row>
    <row r="8">
      <c r="A8" s="17" t="n">
        <v>4</v>
      </c>
      <c r="B8" s="17" t="inlineStr">
        <is>
          <t>A NE 25 "Evento subsequente" descreve fatos de dezembro/2025 (anteriores a data do balanco); apenas o swap de 12/01/2026 e evento subsequente (sem ajuste).</t>
        </is>
      </c>
      <c r="C8" s="17" t="inlineStr">
        <is>
          <t>F01 NE 25 p.101; F23</t>
        </is>
      </c>
      <c r="D8" s="17" t="inlineStr">
        <is>
          <t>NBC TA 560 (PT 560)</t>
        </is>
      </c>
      <c r="E8" s="17" t="inlineStr">
        <is>
          <t>Divulgacao</t>
        </is>
      </c>
    </row>
    <row r="9">
      <c r="A9" s="17" t="n">
        <v>5</v>
      </c>
      <c r="B9" s="17" t="inlineStr">
        <is>
          <t>Valores a pagar por aquisicoes - UPGN Guamare: R$ 18.515 descrito como US$ 3.559 (NE 11.1 e NE 21) e como US$ 9.952 (NE 11 a); com a PTAX de 31/12/2025 (5,5024) equivaleria a ~US$ 3.365.</t>
        </is>
      </c>
      <c r="C9" s="17" t="inlineStr">
        <is>
          <t>F01 NE 11 p.79-80; NE 21 p.98</t>
        </is>
      </c>
      <c r="D9" s="17" t="inlineStr">
        <is>
          <t>NBC TA 450/500</t>
        </is>
      </c>
      <c r="E9" s="17" t="inlineStr">
        <is>
          <t>Divulgacao / mensuracao</t>
        </is>
      </c>
    </row>
    <row r="10">
      <c r="A10" s="17" t="n">
        <v>6</v>
      </c>
      <c r="B10" s="17" t="inlineStr">
        <is>
          <t>As transferencias da movimentacao do imobilizado nao zeram (custo -81.390; depreciacao -62.640); a nota (a) atribui a creditos tributarios e itens de alto giro, sem quantificar.</t>
        </is>
      </c>
      <c r="C10" s="17" t="inlineStr">
        <is>
          <t>F01 NE 7.1 p.69</t>
        </is>
      </c>
      <c r="D10" s="17" t="inlineStr">
        <is>
          <t>NBC TA 500/520</t>
        </is>
      </c>
      <c r="E10" s="17" t="inlineStr">
        <is>
          <t>Analitico</t>
        </is>
      </c>
    </row>
    <row r="11">
      <c r="A11" s="17" t="n">
        <v>7</v>
      </c>
      <c r="B11" s="17" t="inlineStr">
        <is>
          <t>Troca de auditor (Deloitte -&gt; EY) em 2025: auditoria inicial; o PAA de 2024 (receita) nao foi repetido em 2025, cujo PAA e a provisao para abandono.</t>
        </is>
      </c>
      <c r="C11" s="17" t="inlineStr">
        <is>
          <t>F01 p.46-47; F07 p.37 e 42-45; F12 9.1</t>
        </is>
      </c>
      <c r="D11" s="17" t="inlineStr">
        <is>
          <t>NBC TA 510/300/240</t>
        </is>
      </c>
      <c r="E11" s="17" t="inlineStr">
        <is>
          <t>Contexto</t>
        </is>
      </c>
    </row>
    <row r="12">
      <c r="A12" s="17" t="n">
        <v>8</v>
      </c>
      <c r="B12" s="17" t="inlineStr">
        <is>
          <t>Creditos de 2022 em disputa (gas) e arbitragem CCI confidencial com pedido contraposto: possivel passivo contingente e incerteza sobre o recebivel de R$ 55.917.</t>
        </is>
      </c>
      <c r="C12" s="17" t="inlineStr">
        <is>
          <t>F01 NE 5.1 p.64; NE 12.3 p.82</t>
        </is>
      </c>
      <c r="D12" s="17" t="inlineStr">
        <is>
          <t>NBC TA 501/540/250</t>
        </is>
      </c>
      <c r="E12" s="17" t="inlineStr">
        <is>
          <t>Risco</t>
        </is>
      </c>
    </row>
    <row r="13">
      <c r="A13" s="17" t="n">
        <v>9</v>
      </c>
      <c r="B13" s="17" t="inlineStr">
        <is>
          <t>Dividendos de R$ 300 mi declarados em 18/12/2025 com base na Lei 15.270/2025 (tributacao de dividendos a partir de 2026), R$ 200 mi no passivo nao circulante: verificar conformidade legal e as restricoes de covenants (distribuicao acima de 25% do lucro).</t>
        </is>
      </c>
      <c r="C13" s="17" t="inlineStr">
        <is>
          <t>F01 NE 15.6 p.88; NE 9.3 p.75; BP</t>
        </is>
      </c>
      <c r="D13" s="17" t="inlineStr">
        <is>
          <t>NBC TA 250/570</t>
        </is>
      </c>
      <c r="E13" s="17" t="inlineStr">
        <is>
          <t>Leis e regulamentos</t>
        </is>
      </c>
    </row>
    <row r="14">
      <c r="A14" s="17" t="n">
        <v>10</v>
      </c>
      <c r="B14" s="17" t="inlineStr">
        <is>
          <t>A NE 16.2 cita AGO de "24 de abril de 2024" fixando a remuneracao de 2025: provavel erro de data (AGO de 2025).</t>
        </is>
      </c>
      <c r="C14" s="17" t="inlineStr">
        <is>
          <t>F01 NE 16.2 p.91</t>
        </is>
      </c>
      <c r="D14" s="17" t="inlineStr">
        <is>
          <t>NBC TA 550/450</t>
        </is>
      </c>
      <c r="E14" s="17" t="inlineStr">
        <is>
          <t>Divulgacao (menor)</t>
        </is>
      </c>
    </row>
    <row r="15">
      <c r="A15" s="17" t="n">
        <v>11</v>
      </c>
      <c r="B15" s="17" t="inlineStr">
        <is>
          <t>Concentracao de receita: tres clientes = 83% da receita. Risco de credito, de corte e de dependencia; foi o PAA do auditor anterior.</t>
        </is>
      </c>
      <c r="C15" s="17" t="inlineStr">
        <is>
          <t>F01 NE 21 p.97</t>
        </is>
      </c>
      <c r="D15" s="17" t="inlineStr">
        <is>
          <t>NBC TA 240/315/505</t>
        </is>
      </c>
      <c r="E15" s="17" t="inlineStr">
        <is>
          <t>Risco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2026-10-22T20:35:08Z</dcterms:created>
  <dcterms:modified xmlns:dcterms="http://purl.org/dc/terms/" xmlns:xsi="http://www.w3.org/2001/XMLSchema-instance" xsi:type="dcterms:W3CDTF">2026-10-22T20:35:08Z</dcterms:modified>
</cp:coreProperties>
</file>