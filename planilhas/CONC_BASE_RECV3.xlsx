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_classe" sheetId="1" state="visible" r:id="rId1"/>
    <sheet xmlns:r="http://schemas.openxmlformats.org/officeDocument/2006/relationships" name="Balancete_plano_simu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9C5700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1" t="inlineStr">
        <is>
          <t>Conciliacao: base simulada x NE 7.1 (F01 p.68-69) - R$ (centavos)</t>
        </is>
      </c>
    </row>
    <row r="2">
      <c r="A2" s="2" t="inlineStr">
        <is>
          <t>DADOS SINTETICOS - procedimento SIMULADO PARA FINS DIDATICOS | Preparador: matricula 211059370 | Data: 23/10/2026 | Revisao: ______ (nao preenchido)</t>
        </is>
      </c>
    </row>
    <row r="4">
      <c r="A4" s="3" t="inlineStr">
        <is>
          <t>Classe NE 7</t>
        </is>
      </c>
      <c r="B4" s="3" t="inlineStr">
        <is>
          <t>Registros</t>
        </is>
      </c>
      <c r="C4" s="3" t="inlineStr">
        <is>
          <t>Custo base (ctr)</t>
        </is>
      </c>
      <c r="D4" s="3" t="inlineStr">
        <is>
          <t>Custo NE 7 (ctr)</t>
        </is>
      </c>
      <c r="E4" s="3" t="inlineStr">
        <is>
          <t>Dif.</t>
        </is>
      </c>
      <c r="F4" s="3" t="inlineStr">
        <is>
          <t>Custo base (cons)</t>
        </is>
      </c>
      <c r="G4" s="3" t="inlineStr">
        <is>
          <t>Custo NE 7 (cons)</t>
        </is>
      </c>
      <c r="H4" s="3" t="inlineStr">
        <is>
          <t>Dif.</t>
        </is>
      </c>
      <c r="I4" s="3" t="inlineStr">
        <is>
          <t>Acum. base (ctr)</t>
        </is>
      </c>
      <c r="J4" s="3" t="inlineStr">
        <is>
          <t>Acum. NE 7 (ctr)</t>
        </is>
      </c>
      <c r="K4" s="3" t="inlineStr">
        <is>
          <t>Dif.</t>
        </is>
      </c>
      <c r="L4" s="3" t="inlineStr">
        <is>
          <t>Acum. base (cons)</t>
        </is>
      </c>
      <c r="M4" s="3" t="inlineStr">
        <is>
          <t>Acum. NE 7 (cons)</t>
        </is>
      </c>
      <c r="N4" s="3" t="inlineStr">
        <is>
          <t>Dif.</t>
        </is>
      </c>
      <c r="O4" s="3" t="inlineStr">
        <is>
          <t>Deprec. 2025 base (cons)</t>
        </is>
      </c>
      <c r="P4" s="3" t="inlineStr">
        <is>
          <t>Deprec. 2025 NE 7 (cons)</t>
        </is>
      </c>
      <c r="Q4" s="3" t="inlineStr">
        <is>
          <t>Dif.</t>
        </is>
      </c>
    </row>
    <row r="5">
      <c r="A5" s="4" t="inlineStr">
        <is>
          <t>MAQUINAS_EQUIPAMENTOS</t>
        </is>
      </c>
      <c r="B5" s="4" t="n">
        <v>45780</v>
      </c>
      <c r="C5" s="5" t="n">
        <v>716487106</v>
      </c>
      <c r="D5" s="5" t="n">
        <v>716487000</v>
      </c>
      <c r="E5" s="5">
        <f>C5-D5</f>
        <v/>
      </c>
      <c r="F5" s="5" t="n">
        <v>718521296</v>
      </c>
      <c r="G5" s="5" t="n">
        <v>718521000</v>
      </c>
      <c r="H5" s="5">
        <f>F5-G5</f>
        <v/>
      </c>
      <c r="I5" s="5" t="n">
        <v>103732997</v>
      </c>
      <c r="J5" s="5" t="n">
        <v>103733000</v>
      </c>
      <c r="K5" s="5">
        <f>I5-J5</f>
        <v/>
      </c>
      <c r="L5" s="5" t="n">
        <v>103787870</v>
      </c>
      <c r="M5" s="5" t="n">
        <v>103788000</v>
      </c>
      <c r="N5" s="5">
        <f>L5-M5</f>
        <v/>
      </c>
      <c r="O5" s="5" t="n">
        <v>38928573.72</v>
      </c>
      <c r="P5" s="5" t="n">
        <v>38884000</v>
      </c>
      <c r="Q5" s="5">
        <f>O5-P5</f>
        <v/>
      </c>
    </row>
    <row r="6">
      <c r="A6" s="4" t="inlineStr">
        <is>
          <t>IMOBILIZADO_EM_ANDAMENTO</t>
        </is>
      </c>
      <c r="B6" s="4" t="n">
        <v>2500</v>
      </c>
      <c r="C6" s="5" t="n">
        <v>68419190</v>
      </c>
      <c r="D6" s="5" t="n">
        <v>68419000</v>
      </c>
      <c r="E6" s="5">
        <f>C6-D6</f>
        <v/>
      </c>
      <c r="F6" s="5" t="n">
        <v>72171064</v>
      </c>
      <c r="G6" s="5" t="n">
        <v>72171000</v>
      </c>
      <c r="H6" s="5">
        <f>F6-G6</f>
        <v/>
      </c>
      <c r="I6" s="5" t="n">
        <v>0</v>
      </c>
      <c r="J6" s="5" t="n">
        <v>0</v>
      </c>
      <c r="K6" s="5">
        <f>I6-J6</f>
        <v/>
      </c>
      <c r="L6" s="5" t="n">
        <v>0</v>
      </c>
      <c r="M6" s="5" t="n">
        <v>0</v>
      </c>
      <c r="N6" s="5">
        <f>L6-M6</f>
        <v/>
      </c>
      <c r="O6" s="5" t="n">
        <v>0</v>
      </c>
      <c r="P6" s="5" t="n">
        <v>0</v>
      </c>
      <c r="Q6" s="5">
        <f>O6-P6</f>
        <v/>
      </c>
    </row>
    <row r="7">
      <c r="A7" s="4" t="inlineStr">
        <is>
          <t>DIREITO_PRODUCAO_OLEO_GAS</t>
        </is>
      </c>
      <c r="B7" s="4" t="n">
        <v>76</v>
      </c>
      <c r="C7" s="5" t="n">
        <v>2851954692</v>
      </c>
      <c r="D7" s="5" t="n">
        <v>2851955000</v>
      </c>
      <c r="E7" s="5">
        <f>C7-D7</f>
        <v/>
      </c>
      <c r="F7" s="5" t="n">
        <v>2931328820</v>
      </c>
      <c r="G7" s="5" t="n">
        <v>2931329000</v>
      </c>
      <c r="H7" s="5">
        <f>F7-G7</f>
        <v/>
      </c>
      <c r="I7" s="5" t="n">
        <v>850980203</v>
      </c>
      <c r="J7" s="5" t="n">
        <v>850980000</v>
      </c>
      <c r="K7" s="5">
        <f>I7-J7</f>
        <v/>
      </c>
      <c r="L7" s="5" t="n">
        <v>922414031</v>
      </c>
      <c r="M7" s="5" t="n">
        <v>922414000</v>
      </c>
      <c r="N7" s="5">
        <f>L7-M7</f>
        <v/>
      </c>
      <c r="O7" s="5" t="n">
        <v>132262883</v>
      </c>
      <c r="P7" s="5" t="n">
        <v>132263000</v>
      </c>
      <c r="Q7" s="5">
        <f>O7-P7</f>
        <v/>
      </c>
    </row>
    <row r="8">
      <c r="A8" s="4" t="inlineStr">
        <is>
          <t>DESENVOLVIMENTO_CAMPOS</t>
        </is>
      </c>
      <c r="B8" s="4" t="n">
        <v>189928</v>
      </c>
      <c r="C8" s="5" t="n">
        <v>4018461039</v>
      </c>
      <c r="D8" s="5" t="n">
        <v>4018461000</v>
      </c>
      <c r="E8" s="5">
        <f>C8-D8</f>
        <v/>
      </c>
      <c r="F8" s="5" t="n">
        <v>5186675801</v>
      </c>
      <c r="G8" s="5" t="n">
        <v>5186676000</v>
      </c>
      <c r="H8" s="5">
        <f>F8-G8</f>
        <v/>
      </c>
      <c r="I8" s="5" t="n">
        <v>1749489200</v>
      </c>
      <c r="J8" s="5" t="n">
        <v>1749489000</v>
      </c>
      <c r="K8" s="5">
        <f>I8-J8</f>
        <v/>
      </c>
      <c r="L8" s="5" t="n">
        <v>2422704184</v>
      </c>
      <c r="M8" s="5" t="n">
        <v>2422704000</v>
      </c>
      <c r="N8" s="5">
        <f>L8-M8</f>
        <v/>
      </c>
      <c r="O8" s="5" t="n">
        <v>485531844.42</v>
      </c>
      <c r="P8" s="5" t="n">
        <v>485386000</v>
      </c>
      <c r="Q8" s="5">
        <f>O8-P8</f>
        <v/>
      </c>
    </row>
    <row r="9">
      <c r="A9" s="4" t="inlineStr">
        <is>
          <t>BLOCOS_EXPLORATORIOS</t>
        </is>
      </c>
      <c r="B9" s="4" t="n">
        <v>6</v>
      </c>
      <c r="C9" s="5" t="n">
        <v>9552767</v>
      </c>
      <c r="D9" s="5" t="n">
        <v>9553000</v>
      </c>
      <c r="E9" s="5">
        <f>C9-D9</f>
        <v/>
      </c>
      <c r="F9" s="5" t="n">
        <v>20156531</v>
      </c>
      <c r="G9" s="5" t="n">
        <v>20157000</v>
      </c>
      <c r="H9" s="5">
        <f>F9-G9</f>
        <v/>
      </c>
      <c r="I9" s="5" t="n">
        <v>0</v>
      </c>
      <c r="J9" s="5" t="n">
        <v>0</v>
      </c>
      <c r="K9" s="5">
        <f>I9-J9</f>
        <v/>
      </c>
      <c r="L9" s="5" t="n">
        <v>0</v>
      </c>
      <c r="M9" s="5" t="n">
        <v>0</v>
      </c>
      <c r="N9" s="5">
        <f>L9-M9</f>
        <v/>
      </c>
      <c r="O9" s="5" t="n">
        <v>0</v>
      </c>
      <c r="P9" s="5" t="n">
        <v>0</v>
      </c>
      <c r="Q9" s="5">
        <f>O9-P9</f>
        <v/>
      </c>
    </row>
    <row r="10">
      <c r="A10" s="4" t="inlineStr">
        <is>
          <t>ABANDONO_POCO_ARO</t>
        </is>
      </c>
      <c r="B10" s="4" t="n">
        <v>7200</v>
      </c>
      <c r="C10" s="5" t="n">
        <v>73826840</v>
      </c>
      <c r="D10" s="5" t="n">
        <v>73827000</v>
      </c>
      <c r="E10" s="5">
        <f>C10-D10</f>
        <v/>
      </c>
      <c r="F10" s="5" t="n">
        <v>79302672</v>
      </c>
      <c r="G10" s="5" t="n">
        <v>79303000</v>
      </c>
      <c r="H10" s="5">
        <f>F10-G10</f>
        <v/>
      </c>
      <c r="I10" s="5" t="n">
        <v>36676112</v>
      </c>
      <c r="J10" s="5" t="n">
        <v>36676000</v>
      </c>
      <c r="K10" s="5">
        <f>I10-J10</f>
        <v/>
      </c>
      <c r="L10" s="5" t="n">
        <v>41848296</v>
      </c>
      <c r="M10" s="5" t="n">
        <v>41848000</v>
      </c>
      <c r="N10" s="5">
        <f>L10-M10</f>
        <v/>
      </c>
      <c r="O10" s="5" t="n">
        <v>1174187</v>
      </c>
      <c r="P10" s="5" t="n">
        <v>1174000</v>
      </c>
      <c r="Q10" s="5">
        <f>O10-P10</f>
        <v/>
      </c>
    </row>
    <row r="11">
      <c r="A11" s="4" t="inlineStr">
        <is>
          <t>ALMOXARIFADO_INVERSOES_FIXAS</t>
        </is>
      </c>
      <c r="B11" s="4" t="n">
        <v>210083</v>
      </c>
      <c r="C11" s="5" t="n">
        <v>435242121</v>
      </c>
      <c r="D11" s="5" t="n">
        <v>435242000</v>
      </c>
      <c r="E11" s="5">
        <f>C11-D11</f>
        <v/>
      </c>
      <c r="F11" s="5" t="n">
        <v>477650882</v>
      </c>
      <c r="G11" s="5" t="n">
        <v>477651000</v>
      </c>
      <c r="H11" s="5">
        <f>F11-G11</f>
        <v/>
      </c>
      <c r="I11" s="5" t="n">
        <v>0</v>
      </c>
      <c r="J11" s="5" t="n">
        <v>0</v>
      </c>
      <c r="K11" s="5">
        <f>I11-J11</f>
        <v/>
      </c>
      <c r="L11" s="5" t="n">
        <v>0</v>
      </c>
      <c r="M11" s="5" t="n">
        <v>0</v>
      </c>
      <c r="N11" s="5">
        <f>L11-M11</f>
        <v/>
      </c>
      <c r="O11" s="5" t="n">
        <v>0</v>
      </c>
      <c r="P11" s="5" t="n">
        <v>0</v>
      </c>
      <c r="Q11" s="5">
        <f>O11-P11</f>
        <v/>
      </c>
    </row>
    <row r="12">
      <c r="A12" s="4" t="inlineStr">
        <is>
          <t>ADIANTAMENTOS</t>
        </is>
      </c>
      <c r="B12" s="4" t="n">
        <v>1800</v>
      </c>
      <c r="C12" s="5" t="n">
        <v>15676861</v>
      </c>
      <c r="D12" s="5" t="n">
        <v>15677000</v>
      </c>
      <c r="E12" s="5">
        <f>C12-D12</f>
        <v/>
      </c>
      <c r="F12" s="5" t="n">
        <v>18418664</v>
      </c>
      <c r="G12" s="5" t="n">
        <v>18419000</v>
      </c>
      <c r="H12" s="5">
        <f>F12-G12</f>
        <v/>
      </c>
      <c r="I12" s="5" t="n">
        <v>0</v>
      </c>
      <c r="J12" s="5" t="n">
        <v>0</v>
      </c>
      <c r="K12" s="5">
        <f>I12-J12</f>
        <v/>
      </c>
      <c r="L12" s="5" t="n">
        <v>0</v>
      </c>
      <c r="M12" s="5" t="n">
        <v>0</v>
      </c>
      <c r="N12" s="5">
        <f>L12-M12</f>
        <v/>
      </c>
      <c r="O12" s="5" t="n">
        <v>0</v>
      </c>
      <c r="P12" s="5" t="n">
        <v>0</v>
      </c>
      <c r="Q12" s="5">
        <f>O12-P12</f>
        <v/>
      </c>
    </row>
    <row r="13">
      <c r="A13" s="4" t="inlineStr">
        <is>
          <t>OUTROS</t>
        </is>
      </c>
      <c r="B13" s="4" t="n">
        <v>75225</v>
      </c>
      <c r="C13" s="5" t="n">
        <v>195996836</v>
      </c>
      <c r="D13" s="5" t="n">
        <v>195997000</v>
      </c>
      <c r="E13" s="5">
        <f>C13-D13</f>
        <v/>
      </c>
      <c r="F13" s="5" t="n">
        <v>199325044</v>
      </c>
      <c r="G13" s="5" t="n">
        <v>199325000</v>
      </c>
      <c r="H13" s="5">
        <f>F13-G13</f>
        <v/>
      </c>
      <c r="I13" s="5" t="n">
        <v>39031988</v>
      </c>
      <c r="J13" s="5" t="n">
        <v>39032000</v>
      </c>
      <c r="K13" s="5">
        <f>I13-J13</f>
        <v/>
      </c>
      <c r="L13" s="5" t="n">
        <v>41957074</v>
      </c>
      <c r="M13" s="5" t="n">
        <v>41957000</v>
      </c>
      <c r="N13" s="5">
        <f>L13-M13</f>
        <v/>
      </c>
      <c r="O13" s="5" t="n">
        <v>14166748.47</v>
      </c>
      <c r="P13" s="5" t="n">
        <v>14161000</v>
      </c>
      <c r="Q13" s="5">
        <f>O13-P13</f>
        <v/>
      </c>
    </row>
    <row r="14">
      <c r="A14" s="6" t="inlineStr">
        <is>
          <t>TOTAL IMOBILIZADO</t>
        </is>
      </c>
      <c r="B14" s="7">
        <f>SUM(B5:B13)</f>
        <v/>
      </c>
      <c r="C14" s="7">
        <f>SUM(C5:C13)</f>
        <v/>
      </c>
      <c r="D14" s="7">
        <f>SUM(D5:D13)</f>
        <v/>
      </c>
      <c r="E14" s="7">
        <f>SUM(E5:E13)</f>
        <v/>
      </c>
      <c r="F14" s="7">
        <f>SUM(F5:F13)</f>
        <v/>
      </c>
      <c r="G14" s="7">
        <f>SUM(G5:G13)</f>
        <v/>
      </c>
      <c r="H14" s="7">
        <f>SUM(H5:H13)</f>
        <v/>
      </c>
      <c r="I14" s="7">
        <f>SUM(I5:I13)</f>
        <v/>
      </c>
      <c r="J14" s="7">
        <f>SUM(J5:J13)</f>
        <v/>
      </c>
      <c r="K14" s="7">
        <f>SUM(K5:K13)</f>
        <v/>
      </c>
      <c r="L14" s="7">
        <f>SUM(L5:L13)</f>
        <v/>
      </c>
      <c r="M14" s="7">
        <f>SUM(M5:M13)</f>
        <v/>
      </c>
      <c r="N14" s="7">
        <f>SUM(N5:N13)</f>
        <v/>
      </c>
      <c r="O14" s="7">
        <f>SUM(O5:O13)</f>
        <v/>
      </c>
      <c r="P14" s="7">
        <f>SUM(P5:P13)</f>
        <v/>
      </c>
      <c r="Q14" s="7">
        <f>SUM(Q5:Q13)</f>
        <v/>
      </c>
    </row>
    <row r="15">
      <c r="A15" t="inlineStr">
        <is>
          <t>Valor liquido consolidado - base</t>
        </is>
      </c>
      <c r="F15" s="7">
        <f>F14-L14</f>
        <v/>
      </c>
    </row>
    <row r="16">
      <c r="A16" t="inlineStr">
        <is>
          <t>Valor liquido consolidado - CVM 1.02.03 (F03) / BP (F01 p.51, R$ mil x 1.000)</t>
        </is>
      </c>
      <c r="F16" s="7" t="n">
        <v>6170841000</v>
      </c>
    </row>
    <row r="17">
      <c r="A17" t="inlineStr">
        <is>
          <t>Diferenca (arredondamento da DF em R$ mil)</t>
        </is>
      </c>
      <c r="F17" s="7">
        <f>F15-F16</f>
        <v/>
      </c>
    </row>
    <row r="19">
      <c r="A19" t="inlineStr">
        <is>
          <t>Explicacao das diferencas: (1) A DF e publicada em R$ mil (arredondada); a base, em centavos. A geracao introduz, por classe/entidade, diferenca simulada de</t>
        </is>
      </c>
    </row>
    <row r="20">
      <c r="A20" t="inlineStr">
        <is>
          <t>arredondamento de no maximo R$ 240, de modo que cada subtotal arredondado para R$ mil coincide com a NE 7.1. (2) A depreciacao do exercicio dos itens LINEARES</t>
        </is>
      </c>
    </row>
    <row r="21">
      <c r="A21" t="inlineStr">
        <is>
          <t>resulta das datas simuladas e excede a NE 7.1 (a base foi calibrada para os SALDOS e para a deplecao UoP); a diferenca nao afeta a conciliacao do saldo e e uma</t>
        </is>
      </c>
    </row>
    <row r="22">
      <c r="A22" t="inlineStr">
        <is>
          <t>limitacao do dado sintetico. (3) Intangivel (software, R$ 83.384 mil) fora da base: a conta escolhida e o imobilizado (98,7% da rubrica Imobilizado e intangivel).</t>
        </is>
      </c>
    </row>
    <row r="23">
      <c r="A23" t="inlineStr">
        <is>
          <t>(4) Os erros inseridos estao DENTRO do saldo contabil (a base reproduz um razao que contem distorcoes simuladas); por isso o total da base continua igual a 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8" customWidth="1" min="3" max="3"/>
    <col width="18" customWidth="1" min="4" max="4"/>
    <col width="18" customWidth="1" min="5" max="5"/>
    <col width="10" customWidth="1" min="6" max="6"/>
  </cols>
  <sheetData>
    <row r="1">
      <c r="A1" s="1" t="inlineStr">
        <is>
          <t>Balancete do imobilizado por conta do PLANO DE CONTAS SIMULADO</t>
        </is>
      </c>
    </row>
    <row r="2">
      <c r="A2" s="2" t="inlineStr">
        <is>
          <t>DADOS SINTETICOS - procedimento SIMULADO PARA FINS DIDATICOS | Preparador: matricula 211059370 | Data: 23/10/2026 | Revisao: ______ (nao preenchido)</t>
        </is>
      </c>
    </row>
    <row r="4">
      <c r="A4" s="3" t="inlineStr">
        <is>
          <t>Conta</t>
        </is>
      </c>
      <c r="B4" s="3" t="inlineStr">
        <is>
          <t>Descricao (simulada)</t>
        </is>
      </c>
      <c r="C4" s="3" t="inlineStr">
        <is>
          <t>Custo</t>
        </is>
      </c>
      <c r="D4" s="3" t="inlineStr">
        <is>
          <t>Deprec. acumulada</t>
        </is>
      </c>
      <c r="E4" s="3" t="inlineStr">
        <is>
          <t>Valor liquido</t>
        </is>
      </c>
      <c r="F4" s="3" t="inlineStr">
        <is>
          <t>Registros</t>
        </is>
      </c>
    </row>
    <row r="5">
      <c r="A5" s="4" t="inlineStr">
        <is>
          <t>1.2.03.01.001</t>
        </is>
      </c>
      <c r="B5" s="4" t="inlineStr">
        <is>
          <t>Maquinas e equip. - sondas e equipamentos de perfuracao/producao</t>
        </is>
      </c>
      <c r="C5" s="5" t="n">
        <v>110222956.36</v>
      </c>
      <c r="D5" s="5" t="n">
        <v>27649394.25</v>
      </c>
      <c r="E5" s="5" t="n">
        <v>82573562.11</v>
      </c>
      <c r="F5" s="4" t="n">
        <v>2213</v>
      </c>
    </row>
    <row r="6">
      <c r="A6" s="4" t="inlineStr">
        <is>
          <t>1.2.03.01.002</t>
        </is>
      </c>
      <c r="B6" s="4" t="inlineStr">
        <is>
          <t>Maquinas e equip. - unidades de bombeio e elevacao artificial</t>
        </is>
      </c>
      <c r="C6" s="5" t="n">
        <v>83511184.41</v>
      </c>
      <c r="D6" s="5" t="n">
        <v>19379184.88</v>
      </c>
      <c r="E6" s="5" t="n">
        <v>64131999.53</v>
      </c>
      <c r="F6" s="4" t="n">
        <v>5205</v>
      </c>
    </row>
    <row r="7">
      <c r="A7" s="4" t="inlineStr">
        <is>
          <t>1.2.03.01.003</t>
        </is>
      </c>
      <c r="B7" s="4" t="inlineStr">
        <is>
          <t>Maquinas e equip. - compressores, separadores, tanques e facilities</t>
        </is>
      </c>
      <c r="C7" s="5" t="n">
        <v>160907058.76</v>
      </c>
      <c r="D7" s="5" t="n">
        <v>39538655.43</v>
      </c>
      <c r="E7" s="5" t="n">
        <v>121368403.33</v>
      </c>
      <c r="F7" s="4" t="n">
        <v>8405</v>
      </c>
    </row>
    <row r="8">
      <c r="A8" s="4" t="inlineStr">
        <is>
          <t>1.2.03.01.004</t>
        </is>
      </c>
      <c r="B8" s="4" t="inlineStr">
        <is>
          <t>Maquinas e equip. - UPGN Guamare (50% JOA Brava)</t>
        </is>
      </c>
      <c r="C8" s="5" t="n">
        <v>284999000</v>
      </c>
      <c r="D8" s="5" t="n">
        <v>4322000</v>
      </c>
      <c r="E8" s="5" t="n">
        <v>280677000</v>
      </c>
      <c r="F8" s="4" t="n">
        <v>3100</v>
      </c>
    </row>
    <row r="9">
      <c r="A9" s="4" t="inlineStr">
        <is>
          <t>1.2.03.01.005</t>
        </is>
      </c>
      <c r="B9" s="4" t="inlineStr">
        <is>
          <t>Maquinas e equip. - veiculos pesados e ferramentas</t>
        </is>
      </c>
      <c r="C9" s="5" t="n">
        <v>78881096.47</v>
      </c>
      <c r="D9" s="5" t="n">
        <v>12898635.44</v>
      </c>
      <c r="E9" s="5" t="n">
        <v>65982461.03</v>
      </c>
      <c r="F9" s="4" t="n">
        <v>26857</v>
      </c>
    </row>
    <row r="10">
      <c r="A10" s="4" t="inlineStr">
        <is>
          <t>1.2.03.02.001</t>
        </is>
      </c>
      <c r="B10" s="4" t="inlineStr">
        <is>
          <t>Imobilizado em andamento - projetos de facilities</t>
        </is>
      </c>
      <c r="C10" s="5" t="n">
        <v>37143814.13</v>
      </c>
      <c r="D10" s="5" t="n">
        <v>0</v>
      </c>
      <c r="E10" s="5" t="n">
        <v>37143814.13</v>
      </c>
      <c r="F10" s="4" t="n">
        <v>1360</v>
      </c>
    </row>
    <row r="11">
      <c r="A11" s="4" t="inlineStr">
        <is>
          <t>1.2.03.02.002</t>
        </is>
      </c>
      <c r="B11" s="4" t="inlineStr">
        <is>
          <t>Imobilizado em andamento - pocos em perfuracao/completacao</t>
        </is>
      </c>
      <c r="C11" s="5" t="n">
        <v>35027249.87</v>
      </c>
      <c r="D11" s="5" t="n">
        <v>0</v>
      </c>
      <c r="E11" s="5" t="n">
        <v>35027249.87</v>
      </c>
      <c r="F11" s="4" t="n">
        <v>1140</v>
      </c>
    </row>
    <row r="12">
      <c r="A12" s="4" t="inlineStr">
        <is>
          <t>1.2.03.03.001</t>
        </is>
      </c>
      <c r="B12" s="4" t="inlineStr">
        <is>
          <t>Direito de producao - Polo Remanso</t>
        </is>
      </c>
      <c r="C12" s="5" t="n">
        <v>95628903</v>
      </c>
      <c r="D12" s="5" t="n">
        <v>24819431.19</v>
      </c>
      <c r="E12" s="5" t="n">
        <v>70809471.81</v>
      </c>
      <c r="F12" s="4" t="n">
        <v>14</v>
      </c>
    </row>
    <row r="13">
      <c r="A13" s="4" t="inlineStr">
        <is>
          <t>1.2.03.03.002</t>
        </is>
      </c>
      <c r="B13" s="4" t="inlineStr">
        <is>
          <t>Direito de producao - Remanso BT-REC</t>
        </is>
      </c>
      <c r="C13" s="5" t="n">
        <v>1248052</v>
      </c>
      <c r="D13" s="5" t="n">
        <v>630442.55</v>
      </c>
      <c r="E13" s="5" t="n">
        <v>617609.45</v>
      </c>
      <c r="F13" s="4" t="n">
        <v>6</v>
      </c>
    </row>
    <row r="14">
      <c r="A14" s="4" t="inlineStr">
        <is>
          <t>1.2.03.03.003</t>
        </is>
      </c>
      <c r="B14" s="4" t="inlineStr">
        <is>
          <t>Direito de producao - Polo Miranga</t>
        </is>
      </c>
      <c r="C14" s="5" t="n">
        <v>1247505857</v>
      </c>
      <c r="D14" s="5" t="n">
        <v>294307754.71</v>
      </c>
      <c r="E14" s="5" t="n">
        <v>953198102.2900001</v>
      </c>
      <c r="F14" s="4" t="n">
        <v>11</v>
      </c>
    </row>
    <row r="15">
      <c r="A15" s="4" t="inlineStr">
        <is>
          <t>1.2.03.03.004</t>
        </is>
      </c>
      <c r="B15" s="4" t="inlineStr">
        <is>
          <t>Direito de producao - Polo Potiguar</t>
        </is>
      </c>
      <c r="C15" s="5" t="n">
        <v>1507571880</v>
      </c>
      <c r="D15" s="5" t="n">
        <v>531222574.55</v>
      </c>
      <c r="E15" s="5" t="n">
        <v>976349305.4499999</v>
      </c>
      <c r="F15" s="4" t="n">
        <v>42</v>
      </c>
    </row>
    <row r="16">
      <c r="A16" s="4" t="inlineStr">
        <is>
          <t>1.2.03.03.005</t>
        </is>
      </c>
      <c r="B16" s="4" t="inlineStr">
        <is>
          <t>Direito de producao - Polo Tieta (SPE Tieta)</t>
        </is>
      </c>
      <c r="C16" s="5" t="n">
        <v>79374128</v>
      </c>
      <c r="D16" s="5" t="n">
        <v>71433828</v>
      </c>
      <c r="E16" s="5" t="n">
        <v>7940300</v>
      </c>
      <c r="F16" s="4" t="n">
        <v>3</v>
      </c>
    </row>
    <row r="17">
      <c r="A17" s="4" t="inlineStr">
        <is>
          <t>1.2.03.04.001</t>
        </is>
      </c>
      <c r="B17" s="4" t="inlineStr">
        <is>
          <t>Desenvolvimento de campos - perfuracao e completacao</t>
        </is>
      </c>
      <c r="C17" s="5" t="n">
        <v>4030544028.34</v>
      </c>
      <c r="D17" s="5" t="n">
        <v>1889999813.83</v>
      </c>
      <c r="E17" s="5" t="n">
        <v>2140544214.51</v>
      </c>
      <c r="F17" s="4" t="n">
        <v>18916</v>
      </c>
    </row>
    <row r="18">
      <c r="A18" s="4" t="inlineStr">
        <is>
          <t>1.2.03.04.002</t>
        </is>
      </c>
      <c r="B18" s="4" t="inlineStr">
        <is>
          <t>Desenvolvimento de campos - workover/recompletacao capitalizados</t>
        </is>
      </c>
      <c r="C18" s="5" t="n">
        <v>841751002.47</v>
      </c>
      <c r="D18" s="5" t="n">
        <v>390341286.15</v>
      </c>
      <c r="E18" s="5" t="n">
        <v>451409716.32</v>
      </c>
      <c r="F18" s="4" t="n">
        <v>72480</v>
      </c>
    </row>
    <row r="19">
      <c r="A19" s="4" t="inlineStr">
        <is>
          <t>1.2.03.04.003</t>
        </is>
      </c>
      <c r="B19" s="4" t="inlineStr">
        <is>
          <t>Desenvolvimento de campos - equipamentos de subsuperficie e cabeca de poco</t>
        </is>
      </c>
      <c r="C19" s="5" t="n">
        <v>168971390.65</v>
      </c>
      <c r="D19" s="5" t="n">
        <v>77022398.06999999</v>
      </c>
      <c r="E19" s="5" t="n">
        <v>91948992.58</v>
      </c>
      <c r="F19" s="4" t="n">
        <v>71980</v>
      </c>
    </row>
    <row r="20">
      <c r="A20" s="4" t="inlineStr">
        <is>
          <t>1.2.03.04.004</t>
        </is>
      </c>
      <c r="B20" s="4" t="inlineStr">
        <is>
          <t>Desenvolvimento de campos - linhas e instalacoes de superficie</t>
        </is>
      </c>
      <c r="C20" s="5" t="n">
        <v>54743382.88</v>
      </c>
      <c r="D20" s="5" t="n">
        <v>24156809.91</v>
      </c>
      <c r="E20" s="5" t="n">
        <v>30586572.97</v>
      </c>
      <c r="F20" s="4" t="n">
        <v>17087</v>
      </c>
    </row>
    <row r="21">
      <c r="A21" s="4" t="inlineStr">
        <is>
          <t>1.2.03.04.005</t>
        </is>
      </c>
      <c r="B21" s="4" t="inlineStr">
        <is>
          <t>Desenvolvimento de campos - pocos injetores e recuperacao secundaria</t>
        </is>
      </c>
      <c r="C21" s="5" t="n">
        <v>90665996.66</v>
      </c>
      <c r="D21" s="5" t="n">
        <v>41183876.04</v>
      </c>
      <c r="E21" s="5" t="n">
        <v>49482120.62</v>
      </c>
      <c r="F21" s="4" t="n">
        <v>9465</v>
      </c>
    </row>
    <row r="22">
      <c r="A22" s="4" t="inlineStr">
        <is>
          <t>1.2.03.05.001</t>
        </is>
      </c>
      <c r="B22" s="4" t="inlineStr">
        <is>
          <t>Blocos exploratorios</t>
        </is>
      </c>
      <c r="C22" s="5" t="n">
        <v>20156531</v>
      </c>
      <c r="D22" s="5" t="n">
        <v>0</v>
      </c>
      <c r="E22" s="5" t="n">
        <v>20156531</v>
      </c>
      <c r="F22" s="4" t="n">
        <v>6</v>
      </c>
    </row>
    <row r="23">
      <c r="A23" s="4" t="inlineStr">
        <is>
          <t>1.2.03.06.001</t>
        </is>
      </c>
      <c r="B23" s="4" t="inlineStr">
        <is>
          <t>Abandono de pocos - ativo de desmantelamento (ARO)</t>
        </is>
      </c>
      <c r="C23" s="5" t="n">
        <v>79302672</v>
      </c>
      <c r="D23" s="5" t="n">
        <v>41848296</v>
      </c>
      <c r="E23" s="5" t="n">
        <v>37454376</v>
      </c>
      <c r="F23" s="4" t="n">
        <v>7200</v>
      </c>
    </row>
    <row r="24">
      <c r="A24" s="4" t="inlineStr">
        <is>
          <t>1.2.03.07.001</t>
        </is>
      </c>
      <c r="B24" s="4" t="inlineStr">
        <is>
          <t>Almoxarifado p/ inversoes fixas - tubulares (OCTG)</t>
        </is>
      </c>
      <c r="C24" s="5" t="n">
        <v>232801267.36</v>
      </c>
      <c r="D24" s="5" t="n">
        <v>0</v>
      </c>
      <c r="E24" s="5" t="n">
        <v>232801267.36</v>
      </c>
      <c r="F24" s="4" t="n">
        <v>54393</v>
      </c>
    </row>
    <row r="25">
      <c r="A25" s="4" t="inlineStr">
        <is>
          <t>1.2.03.07.002</t>
        </is>
      </c>
      <c r="B25" s="4" t="inlineStr">
        <is>
          <t>Almoxarifado p/ inversoes fixas - hastes, bombas e componentes de elevacao</t>
        </is>
      </c>
      <c r="C25" s="5" t="n">
        <v>162554368.16</v>
      </c>
      <c r="D25" s="5" t="n">
        <v>0</v>
      </c>
      <c r="E25" s="5" t="n">
        <v>162554368.16</v>
      </c>
      <c r="F25" s="4" t="n">
        <v>71797</v>
      </c>
    </row>
    <row r="26">
      <c r="A26" s="4" t="inlineStr">
        <is>
          <t>1.2.03.07.003</t>
        </is>
      </c>
      <c r="B26" s="4" t="inlineStr">
        <is>
          <t>Almoxarifado p/ inversoes fixas - equipamentos de superficie e valvulas</t>
        </is>
      </c>
      <c r="C26" s="5" t="n">
        <v>60338529.27</v>
      </c>
      <c r="D26" s="5" t="n">
        <v>0</v>
      </c>
      <c r="E26" s="5" t="n">
        <v>60338529.27</v>
      </c>
      <c r="F26" s="4" t="n">
        <v>37970</v>
      </c>
    </row>
    <row r="27">
      <c r="A27" s="4" t="inlineStr">
        <is>
          <t>1.2.03.07.004</t>
        </is>
      </c>
      <c r="B27" s="4" t="inlineStr">
        <is>
          <t>Almoxarifado p/ inversoes fixas - materiais diversos</t>
        </is>
      </c>
      <c r="C27" s="5" t="n">
        <v>21956717.21</v>
      </c>
      <c r="D27" s="5" t="n">
        <v>0</v>
      </c>
      <c r="E27" s="5" t="n">
        <v>21956717.21</v>
      </c>
      <c r="F27" s="4" t="n">
        <v>45923</v>
      </c>
    </row>
    <row r="28">
      <c r="A28" s="4" t="inlineStr">
        <is>
          <t>1.2.03.08.001</t>
        </is>
      </c>
      <c r="B28" s="4" t="inlineStr">
        <is>
          <t>Adiantamentos a fornecedores de imobilizado</t>
        </is>
      </c>
      <c r="C28" s="5" t="n">
        <v>18418664</v>
      </c>
      <c r="D28" s="5" t="n">
        <v>0</v>
      </c>
      <c r="E28" s="5" t="n">
        <v>18418664</v>
      </c>
      <c r="F28" s="4" t="n">
        <v>1800</v>
      </c>
    </row>
    <row r="29">
      <c r="A29" s="4" t="inlineStr">
        <is>
          <t>1.2.03.09.001</t>
        </is>
      </c>
      <c r="B29" s="4" t="inlineStr">
        <is>
          <t>Outros - terrenos</t>
        </is>
      </c>
      <c r="C29" s="5" t="n">
        <v>7060421.87</v>
      </c>
      <c r="D29" s="5" t="n">
        <v>0</v>
      </c>
      <c r="E29" s="5" t="n">
        <v>7060421.87</v>
      </c>
      <c r="F29" s="4" t="n">
        <v>210</v>
      </c>
    </row>
    <row r="30">
      <c r="A30" s="4" t="inlineStr">
        <is>
          <t>1.2.03.09.002</t>
        </is>
      </c>
      <c r="B30" s="4" t="inlineStr">
        <is>
          <t>Outros - edificacoes e benfeitorias</t>
        </is>
      </c>
      <c r="C30" s="5" t="n">
        <v>48912404.79</v>
      </c>
      <c r="D30" s="5" t="n">
        <v>2660427.28</v>
      </c>
      <c r="E30" s="5" t="n">
        <v>46251977.51</v>
      </c>
      <c r="F30" s="4" t="n">
        <v>4432</v>
      </c>
    </row>
    <row r="31">
      <c r="A31" s="4" t="inlineStr">
        <is>
          <t>1.2.03.09.003</t>
        </is>
      </c>
      <c r="B31" s="4" t="inlineStr">
        <is>
          <t>Outros - moveis e utensilios</t>
        </is>
      </c>
      <c r="C31" s="5" t="n">
        <v>12765127.66</v>
      </c>
      <c r="D31" s="5" t="n">
        <v>3351315.05</v>
      </c>
      <c r="E31" s="5" t="n">
        <v>9413812.609999999</v>
      </c>
      <c r="F31" s="4" t="n">
        <v>33874</v>
      </c>
    </row>
    <row r="32">
      <c r="A32" s="4" t="inlineStr">
        <is>
          <t>1.2.03.09.004</t>
        </is>
      </c>
      <c r="B32" s="4" t="inlineStr">
        <is>
          <t>Outros - equipamentos de informatica</t>
        </is>
      </c>
      <c r="C32" s="5" t="n">
        <v>21934176.29</v>
      </c>
      <c r="D32" s="5" t="n">
        <v>6391725.57</v>
      </c>
      <c r="E32" s="5" t="n">
        <v>15542450.72</v>
      </c>
      <c r="F32" s="4" t="n">
        <v>32334</v>
      </c>
    </row>
    <row r="33">
      <c r="A33" s="4" t="inlineStr">
        <is>
          <t>1.2.03.09.005</t>
        </is>
      </c>
      <c r="B33" s="4" t="inlineStr">
        <is>
          <t>Outros - veiculos leves</t>
        </is>
      </c>
      <c r="C33" s="5" t="n">
        <v>108652913.39</v>
      </c>
      <c r="D33" s="5" t="n">
        <v>29553606.1</v>
      </c>
      <c r="E33" s="5" t="n">
        <v>79099307.29000001</v>
      </c>
      <c r="F33" s="4" t="n">
        <v>4375</v>
      </c>
    </row>
    <row r="34">
      <c r="B34" s="6" t="inlineStr">
        <is>
          <t>TOTAL</t>
        </is>
      </c>
      <c r="C34" s="7">
        <f>SUM(C5:C33)</f>
        <v/>
      </c>
      <c r="D34" s="7">
        <f>SUM(D5:D33)</f>
        <v/>
      </c>
      <c r="E34" s="7">
        <f>SUM(E5:E33)</f>
        <v/>
      </c>
      <c r="F34" s="7">
        <f>SUM(F5:F33)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2026-10-24T22:26:09Z</dcterms:created>
  <dcterms:modified xmlns:dcterms="http://purl.org/dc/terms/" xmlns:xsi="http://www.w3.org/2001/XMLSchema-instance" xsi:type="dcterms:W3CDTF">2026-10-24T22:26:09Z</dcterms:modified>
</cp:coreProperties>
</file>