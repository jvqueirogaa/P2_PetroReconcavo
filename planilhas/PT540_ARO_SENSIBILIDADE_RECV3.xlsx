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missas" sheetId="1" state="visible" r:id="rId3"/>
    <sheet name="Retrospectiva_item14" sheetId="2" state="visible" r:id="rId4"/>
    <sheet name="Cronograma_SIMULADO" sheetId="3" state="visible" r:id="rId5"/>
    <sheet name="Sensibilida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<sst xmlns="http://schemas.openxmlformats.org/spreadsheetml/2006/main" count="113" uniqueCount="87">
  <si>
    <t xml:space="preserve">PT 540 - Provisao para abandono de pocos (ARO) - premissas e dados publicos</t>
  </si>
  <si>
    <t xml:space="preserve">PetroReconcavo S.A. - consolidado - R$ mil | Preparador: matricula 211059370 | 24/10/2026 | Revisao: ______ (nao preenchido)</t>
  </si>
  <si>
    <t xml:space="preserve">Item</t>
  </si>
  <si>
    <t xml:space="preserve">Valor</t>
  </si>
  <si>
    <t xml:space="preserve">Fonte / classificacao</t>
  </si>
  <si>
    <t xml:space="preserve">Taxa de desconto nominal 2025</t>
  </si>
  <si>
    <t xml:space="preserve">NE 3.3 F01 - REALIZADO</t>
  </si>
  <si>
    <t xml:space="preserve">Inflacao 2025</t>
  </si>
  <si>
    <t xml:space="preserve">Taxa de desconto nominal 2024</t>
  </si>
  <si>
    <t xml:space="preserve">Inflacao 2024</t>
  </si>
  <si>
    <t xml:space="preserve">Saldo da provisao 31/12/2025</t>
  </si>
  <si>
    <t xml:space="preserve">NE 13.1 F01 - REALIZADO</t>
  </si>
  <si>
    <t xml:space="preserve">  parcela circulante 31/12/2025</t>
  </si>
  <si>
    <t xml:space="preserve">NE 13.1 F01</t>
  </si>
  <si>
    <t xml:space="preserve">Saldo da provisao 31/12/2024</t>
  </si>
  <si>
    <t xml:space="preserve">NE 13.1 F01 / NE 14 F07</t>
  </si>
  <si>
    <t xml:space="preserve">  parcela circulante 31/12/2024</t>
  </si>
  <si>
    <t xml:space="preserve">NE 14 F07 (DF 2024)</t>
  </si>
  <si>
    <t xml:space="preserve">Materialidade para execucao (ME)</t>
  </si>
  <si>
    <t xml:space="preserve">PT 320</t>
  </si>
  <si>
    <t xml:space="preserve">Materialidade global (MG)</t>
  </si>
  <si>
    <t xml:space="preserve">Movimentacao 2025 e revisao retrospectiva (NBC TA 540 item 14) - REALIZADO COM EVIDENCIA PUBLICA</t>
  </si>
  <si>
    <t xml:space="preserve">Movimentacao 2025 (NE 13.1 consolidado)</t>
  </si>
  <si>
    <t xml:space="preserve">Observacao</t>
  </si>
  <si>
    <t xml:space="preserve">Saldo 31/12/2024</t>
  </si>
  <si>
    <t xml:space="preserve">Constituicao</t>
  </si>
  <si>
    <t xml:space="preserve">Reversao</t>
  </si>
  <si>
    <t xml:space="preserve">Atualizacao (unwinding)</t>
  </si>
  <si>
    <t xml:space="preserve">Baixas (abandonos realizados)</t>
  </si>
  <si>
    <t xml:space="preserve">Saldo recalculado 31/12/2025</t>
  </si>
  <si>
    <t xml:space="preserve">Deve igualar a NE 13.1</t>
  </si>
  <si>
    <t xml:space="preserve">Saldo publicado 31/12/2025</t>
  </si>
  <si>
    <t xml:space="preserve">Diferenca</t>
  </si>
  <si>
    <t xml:space="preserve">Zero = movimentacao fecha</t>
  </si>
  <si>
    <t xml:space="preserve">Recalculos</t>
  </si>
  <si>
    <t xml:space="preserve">Esperado</t>
  </si>
  <si>
    <t xml:space="preserve">Publicado</t>
  </si>
  <si>
    <t xml:space="preserve">Leitura</t>
  </si>
  <si>
    <t xml:space="preserve">Atualizacao 2025 = saldo 2024 x taxa nominal 2024</t>
  </si>
  <si>
    <t xml:space="preserve">Unwinding coerente com a taxa de 2024</t>
  </si>
  <si>
    <t xml:space="preserve">Baixas 2025 x parcela circulante estimada em 31/12/2024</t>
  </si>
  <si>
    <t xml:space="preserve">Baixas realizadas muito acima do previsto como circulante</t>
  </si>
  <si>
    <t xml:space="preserve">Multiplo baixas realizadas / circulante previsto</t>
  </si>
  <si>
    <t xml:space="preserve">Indicador de falha na estimativa de EPOCA (A55-A60); ver PT 540</t>
  </si>
  <si>
    <t xml:space="preserve">Baixas 2025 x parcela circulante de 31/12/2025</t>
  </si>
  <si>
    <t xml:space="preserve">Se o padrao se repetir, o circulante de 2025 pode estar subestimado (classificacao)</t>
  </si>
  <si>
    <t xml:space="preserve">Taxa real implicita 2025 = (1+r)/(1+pi)-1</t>
  </si>
  <si>
    <t xml:space="preserve">Queda da taxa real aumenta a provisao</t>
  </si>
  <si>
    <t xml:space="preserve">Taxa real implicita 2024</t>
  </si>
  <si>
    <t xml:space="preserve">Direcao da mudanca de premissa: AUMENTA o passivo (nao indica vies para reduzir)</t>
  </si>
  <si>
    <t xml:space="preserve">Cronograma SINTETICO de desembolsos calibrado ao saldo publicado - SIMULADO PARA FINS DIDATICOS</t>
  </si>
  <si>
    <t xml:space="preserve">A companhia nao divulga o cronograma. Perfil: 2026 = parcela circulante; 2027-2050 triangular com pico em 2040 (~14,8 anos de reservas 1P / producao). Custo em moeda de 31/12/2025.</t>
  </si>
  <si>
    <t xml:space="preserve">r=0.1056; pi=0.0356; x1.0; desloc 0</t>
  </si>
  <si>
    <t xml:space="preserve">r=0.1156; pi=0.0356; x1.0; desloc 0</t>
  </si>
  <si>
    <t xml:space="preserve">r=0.0956; pi=0.0356; x1.0; desloc 0</t>
  </si>
  <si>
    <t xml:space="preserve">r=0.1056; pi=0.0456; x1.0; desloc 0</t>
  </si>
  <si>
    <t xml:space="preserve">r=0.1056; pi=0.0256; x1.0; desloc 0</t>
  </si>
  <si>
    <t xml:space="preserve">r=0.0956; pi=0.0456; x1.0; desloc 0</t>
  </si>
  <si>
    <t xml:space="preserve">r=0.1056; pi=0.0356; x1.01; desloc 0</t>
  </si>
  <si>
    <t xml:space="preserve">r=0.1056; pi=0.0356; x1.1; desloc 0</t>
  </si>
  <si>
    <t xml:space="preserve">r=0.1056; pi=0.0356; x1.0; desloc -2</t>
  </si>
  <si>
    <t xml:space="preserve">r=0.1092; pi=0.0366; x1.0; desloc 0</t>
  </si>
  <si>
    <t xml:space="preserve">Ano</t>
  </si>
  <si>
    <t xml:space="preserve">t</t>
  </si>
  <si>
    <t xml:space="preserve">Custo (moeda 2025)</t>
  </si>
  <si>
    <t xml:space="preserve">Base (NE 3.3: 10,56% / 3,56%)</t>
  </si>
  <si>
    <t xml:space="preserve">Taxa de desconto +1 p.p. (11,56%)</t>
  </si>
  <si>
    <t xml:space="preserve">Taxa de desconto -1 p.p. (9,56%)</t>
  </si>
  <si>
    <t xml:space="preserve">Inflacao +1 p.p. (4,56%)</t>
  </si>
  <si>
    <t xml:space="preserve">Inflacao -1 p.p. (2,56%)</t>
  </si>
  <si>
    <t xml:space="preserve">Pior combinacao: taxa -1 p.p. e inflacao +1 p.p.</t>
  </si>
  <si>
    <t xml:space="preserve">Custos +1% (sensibilidade de 1% - aula)</t>
  </si>
  <si>
    <t xml:space="preserve">Custos +10%</t>
  </si>
  <si>
    <t xml:space="preserve">Antecipacao de 2 anos no abandono</t>
  </si>
  <si>
    <t xml:space="preserve">Premissas de 2024 (10,92% / 3,66%) sobre o mesmo cronograma</t>
  </si>
  <si>
    <t xml:space="preserve">TOTAL</t>
  </si>
  <si>
    <t xml:space="preserve">Sensibilidade da provisao (NBC TA 540 itens 26 e 29; NBC TA 320 A11) - SIMULADO sobre cronograma calibrado</t>
  </si>
  <si>
    <t xml:space="preserve">Cenario</t>
  </si>
  <si>
    <t xml:space="preserve">Provisao (PV)</t>
  </si>
  <si>
    <t xml:space="preserve">Variacao vs base</t>
  </si>
  <si>
    <t xml:space="preserve">% da ME</t>
  </si>
  <si>
    <t xml:space="preserve">% da MG</t>
  </si>
  <si>
    <t xml:space="preserve">trivial</t>
  </si>
  <si>
    <t xml:space="preserve">acima do trivial (1.575)</t>
  </si>
  <si>
    <t xml:space="preserve">acima da ME</t>
  </si>
  <si>
    <t xml:space="preserve">Total nao descontado do cronograma (moeda 2025): 336.882</t>
  </si>
  <si>
    <t xml:space="preserve">Valores ILUSTRATIVOS: dependem do cronograma sintetico; a direcao e a ordem de grandeza servem para planejar o teste do item 24 e avaliar a divulgacao (item 26).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</si>
</sst>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;\(#,##0\);\-"/>
    <numFmt numFmtId="167" formatCode="0.0\x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3" t="s">
        <v>5</v>
      </c>
      <c r="B5" s="4" t="n">
        <v>0.1056</v>
      </c>
      <c r="C5" s="3" t="s">
        <v>6</v>
      </c>
    </row>
    <row r="6" customFormat="false" ht="15" hidden="false" customHeight="false" outlineLevel="0" collapsed="false">
      <c r="A6" s="3" t="s">
        <v>7</v>
      </c>
      <c r="B6" s="4" t="n">
        <v>0.0356</v>
      </c>
      <c r="C6" s="3" t="s">
        <v>6</v>
      </c>
    </row>
    <row r="7" customFormat="false" ht="15" hidden="false" customHeight="false" outlineLevel="0" collapsed="false">
      <c r="A7" s="3" t="s">
        <v>8</v>
      </c>
      <c r="B7" s="4" t="n">
        <v>0.1092</v>
      </c>
      <c r="C7" s="3" t="s">
        <v>6</v>
      </c>
    </row>
    <row r="8" customFormat="false" ht="15" hidden="false" customHeight="false" outlineLevel="0" collapsed="false">
      <c r="A8" s="3" t="s">
        <v>9</v>
      </c>
      <c r="B8" s="4" t="n">
        <v>0.0366</v>
      </c>
      <c r="C8" s="3" t="s">
        <v>6</v>
      </c>
    </row>
    <row r="9" customFormat="false" ht="15" hidden="false" customHeight="false" outlineLevel="0" collapsed="false">
      <c r="A9" s="3" t="s">
        <v>10</v>
      </c>
      <c r="B9" s="5" t="n">
        <v>145192</v>
      </c>
      <c r="C9" s="3" t="s">
        <v>11</v>
      </c>
    </row>
    <row r="10" customFormat="false" ht="15" hidden="false" customHeight="false" outlineLevel="0" collapsed="false">
      <c r="A10" s="3" t="s">
        <v>12</v>
      </c>
      <c r="B10" s="5" t="n">
        <v>4728</v>
      </c>
      <c r="C10" s="3" t="s">
        <v>13</v>
      </c>
    </row>
    <row r="11" customFormat="false" ht="15" hidden="false" customHeight="false" outlineLevel="0" collapsed="false">
      <c r="A11" s="3" t="s">
        <v>14</v>
      </c>
      <c r="B11" s="5" t="n">
        <v>136972</v>
      </c>
      <c r="C11" s="3" t="s">
        <v>15</v>
      </c>
    </row>
    <row r="12" customFormat="false" ht="15" hidden="false" customHeight="false" outlineLevel="0" collapsed="false">
      <c r="A12" s="3" t="s">
        <v>16</v>
      </c>
      <c r="B12" s="5" t="n">
        <v>342</v>
      </c>
      <c r="C12" s="3" t="s">
        <v>17</v>
      </c>
    </row>
    <row r="13" customFormat="false" ht="15" hidden="false" customHeight="false" outlineLevel="0" collapsed="false">
      <c r="A13" s="3" t="s">
        <v>18</v>
      </c>
      <c r="B13" s="5" t="n">
        <v>20475</v>
      </c>
      <c r="C13" s="3" t="s">
        <v>19</v>
      </c>
    </row>
    <row r="14" customFormat="false" ht="15" hidden="false" customHeight="false" outlineLevel="0" collapsed="false">
      <c r="A14" s="3" t="s">
        <v>20</v>
      </c>
      <c r="B14" s="5" t="n">
        <v>31500</v>
      </c>
      <c r="C1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22</v>
      </c>
      <c r="B4" s="2" t="s">
        <v>3</v>
      </c>
      <c r="C4" s="2"/>
      <c r="D4" s="2" t="s">
        <v>23</v>
      </c>
    </row>
    <row r="5" customFormat="false" ht="15" hidden="false" customHeight="false" outlineLevel="0" collapsed="false">
      <c r="A5" s="3" t="s">
        <v>24</v>
      </c>
      <c r="B5" s="5" t="n">
        <f aca="false">Premissas!B11</f>
        <v>136972</v>
      </c>
    </row>
    <row r="6" customFormat="false" ht="15" hidden="false" customHeight="false" outlineLevel="0" collapsed="false">
      <c r="A6" s="3" t="s">
        <v>25</v>
      </c>
      <c r="B6" s="5" t="n">
        <v>8383</v>
      </c>
    </row>
    <row r="7" customFormat="false" ht="15" hidden="false" customHeight="false" outlineLevel="0" collapsed="false">
      <c r="A7" s="3" t="s">
        <v>26</v>
      </c>
      <c r="B7" s="5" t="n">
        <v>-265</v>
      </c>
    </row>
    <row r="8" customFormat="false" ht="15" hidden="false" customHeight="false" outlineLevel="0" collapsed="false">
      <c r="A8" s="3" t="s">
        <v>27</v>
      </c>
      <c r="B8" s="5" t="n">
        <v>14958</v>
      </c>
    </row>
    <row r="9" customFormat="false" ht="15" hidden="false" customHeight="false" outlineLevel="0" collapsed="false">
      <c r="A9" s="3" t="s">
        <v>28</v>
      </c>
      <c r="B9" s="5" t="n">
        <v>-14856</v>
      </c>
    </row>
    <row r="10" customFormat="false" ht="15" hidden="false" customHeight="false" outlineLevel="0" collapsed="false">
      <c r="A10" s="3" t="s">
        <v>29</v>
      </c>
      <c r="B10" s="5" t="n">
        <f aca="false">SUM(B5:B9)</f>
        <v>145192</v>
      </c>
      <c r="C10" s="3"/>
      <c r="D10" s="3" t="s">
        <v>30</v>
      </c>
    </row>
    <row r="11" customFormat="false" ht="15" hidden="false" customHeight="false" outlineLevel="0" collapsed="false">
      <c r="A11" s="3" t="s">
        <v>31</v>
      </c>
      <c r="B11" s="5" t="n">
        <f aca="false">Premissas!B9</f>
        <v>145192</v>
      </c>
      <c r="C11" s="3"/>
      <c r="D11" s="3"/>
    </row>
    <row r="12" customFormat="false" ht="15" hidden="false" customHeight="false" outlineLevel="0" collapsed="false">
      <c r="A12" s="3" t="s">
        <v>32</v>
      </c>
      <c r="B12" s="5" t="n">
        <f aca="false">B10-B11</f>
        <v>0</v>
      </c>
      <c r="C12" s="3"/>
      <c r="D12" s="3" t="s">
        <v>33</v>
      </c>
    </row>
    <row r="14" customFormat="false" ht="15" hidden="false" customHeight="false" outlineLevel="0" collapsed="false">
      <c r="A14" s="2" t="s">
        <v>34</v>
      </c>
      <c r="B14" s="2" t="s">
        <v>35</v>
      </c>
      <c r="C14" s="2" t="s">
        <v>36</v>
      </c>
      <c r="D14" s="2" t="s">
        <v>37</v>
      </c>
    </row>
    <row r="15" customFormat="false" ht="15" hidden="false" customHeight="false" outlineLevel="0" collapsed="false">
      <c r="A15" s="3" t="s">
        <v>38</v>
      </c>
      <c r="B15" s="5" t="n">
        <f aca="false">Premissas!B11*Premissas!B7</f>
        <v>14957.3424</v>
      </c>
      <c r="C15" s="5" t="n">
        <f aca="false">B8</f>
        <v>14958</v>
      </c>
      <c r="D15" s="3" t="s">
        <v>39</v>
      </c>
    </row>
    <row r="16" customFormat="false" ht="15" hidden="false" customHeight="false" outlineLevel="0" collapsed="false">
      <c r="A16" s="3" t="s">
        <v>40</v>
      </c>
      <c r="B16" s="5" t="n">
        <f aca="false">Premissas!B12</f>
        <v>342</v>
      </c>
      <c r="C16" s="5" t="n">
        <f aca="false">-B9</f>
        <v>14856</v>
      </c>
      <c r="D16" s="3" t="s">
        <v>41</v>
      </c>
    </row>
    <row r="17" customFormat="false" ht="15" hidden="false" customHeight="false" outlineLevel="0" collapsed="false">
      <c r="A17" s="3" t="s">
        <v>42</v>
      </c>
      <c r="B17" s="6" t="n">
        <f aca="false">C16/B16</f>
        <v>43.4385964912281</v>
      </c>
      <c r="C17" s="3"/>
      <c r="D17" s="3" t="s">
        <v>43</v>
      </c>
    </row>
    <row r="18" customFormat="false" ht="15" hidden="false" customHeight="false" outlineLevel="0" collapsed="false">
      <c r="A18" s="3" t="s">
        <v>44</v>
      </c>
      <c r="B18" s="5" t="n">
        <f aca="false">Premissas!B10</f>
        <v>4728</v>
      </c>
      <c r="C18" s="5" t="n">
        <f aca="false">-B9</f>
        <v>14856</v>
      </c>
      <c r="D18" s="3" t="s">
        <v>45</v>
      </c>
    </row>
    <row r="19" customFormat="false" ht="15" hidden="false" customHeight="false" outlineLevel="0" collapsed="false">
      <c r="A19" s="3" t="s">
        <v>46</v>
      </c>
      <c r="B19" s="4" t="n">
        <f aca="false">(1+Premissas!B5)/(1+Premissas!B6)-1</f>
        <v>0.0675936655079179</v>
      </c>
      <c r="C19" s="3"/>
      <c r="D19" s="3" t="s">
        <v>47</v>
      </c>
    </row>
    <row r="20" customFormat="false" ht="15" hidden="false" customHeight="false" outlineLevel="0" collapsed="false">
      <c r="A20" s="3" t="s">
        <v>48</v>
      </c>
      <c r="B20" s="4" t="n">
        <f aca="false">(1+Premissas!B7)/(1+Premissas!B8)-1</f>
        <v>0.0700366583060004</v>
      </c>
      <c r="C20" s="3"/>
      <c r="D20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12" min="3" style="0" width="18"/>
  </cols>
  <sheetData>
    <row r="1" customFormat="false" ht="16.15" hidden="false" customHeight="false" outlineLevel="0" collapsed="false">
      <c r="A1" s="1" t="s">
        <v>50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51</v>
      </c>
    </row>
    <row r="4" customFormat="false" ht="15" hidden="false" customHeight="false" outlineLevel="0" collapsed="false"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 t="s">
        <v>59</v>
      </c>
      <c r="L4" s="0" t="s">
        <v>60</v>
      </c>
      <c r="M4" s="0" t="s">
        <v>61</v>
      </c>
    </row>
    <row r="5" customFormat="false" ht="122.35" hidden="false" customHeight="false" outlineLevel="0" collapsed="false">
      <c r="A5" s="2" t="s">
        <v>62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71</v>
      </c>
      <c r="K5" s="2" t="s">
        <v>72</v>
      </c>
      <c r="L5" s="2" t="s">
        <v>73</v>
      </c>
      <c r="M5" s="2" t="s">
        <v>74</v>
      </c>
    </row>
    <row r="6" customFormat="false" ht="15" hidden="false" customHeight="false" outlineLevel="0" collapsed="false">
      <c r="A6" s="0" t="n">
        <v>2026</v>
      </c>
      <c r="B6" s="0" t="n">
        <f aca="false">A6-2025</f>
        <v>1</v>
      </c>
      <c r="C6" s="7" t="n">
        <v>5047.582851</v>
      </c>
      <c r="D6" s="7" t="n">
        <f aca="false">C6*1*(1+0.0356)^MAX(1,B6+(0))/(1+0.1056)^MAX(1,B6+(0))</f>
        <v>4728.00000044826</v>
      </c>
      <c r="E6" s="7" t="n">
        <f aca="false">C6*1*(1+0.0356)^MAX(1,B6+(0))/(1+0.1156)^MAX(1,B6+(0))</f>
        <v>4685.61921880208</v>
      </c>
      <c r="F6" s="7" t="n">
        <f aca="false">C6*1*(1+0.0356)^MAX(1,B6+(0))/(1+0.0956)^MAX(1,B6+(0))</f>
        <v>4771.15443637788</v>
      </c>
      <c r="G6" s="7" t="n">
        <f aca="false">C6*1*(1+0.0456)^MAX(1,B6+(0))/(1+0.1056)^MAX(1,B6+(0))</f>
        <v>4773.65469338423</v>
      </c>
      <c r="H6" s="7" t="n">
        <f aca="false">C6*1*(1+0.0256)^MAX(1,B6+(0))/(1+0.1056)^MAX(1,B6+(0))</f>
        <v>4682.3453075123</v>
      </c>
      <c r="I6" s="7" t="n">
        <f aca="false">C6*1*(1+0.0456)^MAX(1,B6+(0))/(1+0.0956)^MAX(1,B6+(0))</f>
        <v>4817.2258388149</v>
      </c>
      <c r="J6" s="7" t="n">
        <f aca="false">C6*1.01*(1+0.0356)^MAX(1,B6+(0))/(1+0.1056)^MAX(1,B6+(0))</f>
        <v>4775.28000045275</v>
      </c>
      <c r="K6" s="7" t="n">
        <f aca="false">C6*1.1*(1+0.0356)^MAX(1,B6+(0))/(1+0.1056)^MAX(1,B6+(0))</f>
        <v>5200.80000049309</v>
      </c>
      <c r="L6" s="7" t="n">
        <f aca="false">C6*1*(1+0.0356)^MAX(1,B6+(-2))/(1+0.1056)^MAX(1,B6+(-2))</f>
        <v>4728.00000044826</v>
      </c>
      <c r="M6" s="7" t="n">
        <f aca="false">C6*1*(1+0.0366)^MAX(1,B6+(0))/(1+0.1092)^MAX(1,B6+(0))</f>
        <v>4717.20553853823</v>
      </c>
    </row>
    <row r="7" customFormat="false" ht="15" hidden="false" customHeight="false" outlineLevel="0" collapsed="false">
      <c r="A7" s="0" t="n">
        <v>2027</v>
      </c>
      <c r="B7" s="0" t="n">
        <f aca="false">A7-2025</f>
        <v>2</v>
      </c>
      <c r="C7" s="7" t="n">
        <v>1896.197318</v>
      </c>
      <c r="D7" s="7" t="n">
        <f aca="false">C7*1*(1+0.0356)^MAX(1,B7+(0))/(1+0.1056)^MAX(1,B7+(0))</f>
        <v>1663.68672561917</v>
      </c>
      <c r="E7" s="7" t="n">
        <f aca="false">C7*1*(1+0.0356)^MAX(1,B7+(0))/(1+0.1156)^MAX(1,B7+(0))</f>
        <v>1633.99453738903</v>
      </c>
      <c r="F7" s="7" t="n">
        <f aca="false">C7*1*(1+0.0356)^MAX(1,B7+(0))/(1+0.0956)^MAX(1,B7+(0))</f>
        <v>1694.19565786341</v>
      </c>
      <c r="G7" s="7" t="n">
        <f aca="false">C7*1*(1+0.0456)^MAX(1,B7+(0))/(1+0.1056)^MAX(1,B7+(0))</f>
        <v>1695.97176237179</v>
      </c>
      <c r="H7" s="7" t="n">
        <f aca="false">C7*1*(1+0.0256)^MAX(1,B7+(0))/(1+0.1056)^MAX(1,B7+(0))</f>
        <v>1631.71194291953</v>
      </c>
      <c r="I7" s="7" t="n">
        <f aca="false">C7*1*(1+0.0456)^MAX(1,B7+(0))/(1+0.0956)^MAX(1,B7+(0))</f>
        <v>1727.07274237575</v>
      </c>
      <c r="J7" s="7" t="n">
        <f aca="false">C7*1.01*(1+0.0356)^MAX(1,B7+(0))/(1+0.1056)^MAX(1,B7+(0))</f>
        <v>1680.32359287536</v>
      </c>
      <c r="K7" s="7" t="n">
        <f aca="false">C7*1.1*(1+0.0356)^MAX(1,B7+(0))/(1+0.1056)^MAX(1,B7+(0))</f>
        <v>1830.05539818109</v>
      </c>
      <c r="L7" s="7" t="n">
        <f aca="false">C7*1*(1+0.0356)^MAX(1,B7+(-2))/(1+0.1056)^MAX(1,B7+(-2))</f>
        <v>1776.14140966064</v>
      </c>
      <c r="M7" s="7" t="n">
        <f aca="false">C7*1*(1+0.0366)^MAX(1,B7+(0))/(1+0.1092)^MAX(1,B7+(0))</f>
        <v>1656.09869583438</v>
      </c>
    </row>
    <row r="8" customFormat="false" ht="15" hidden="false" customHeight="false" outlineLevel="0" collapsed="false">
      <c r="A8" s="0" t="n">
        <v>2028</v>
      </c>
      <c r="B8" s="0" t="n">
        <f aca="false">A8-2025</f>
        <v>3</v>
      </c>
      <c r="C8" s="7" t="n">
        <v>3792.394635</v>
      </c>
      <c r="D8" s="7" t="n">
        <f aca="false">C8*1*(1+0.0356)^MAX(1,B8+(0))/(1+0.1056)^MAX(1,B8+(0))</f>
        <v>3116.70400252697</v>
      </c>
      <c r="E8" s="7" t="n">
        <f aca="false">C8*1*(1+0.0356)^MAX(1,B8+(0))/(1+0.1156)^MAX(1,B8+(0))</f>
        <v>3033.6406283146</v>
      </c>
      <c r="F8" s="7" t="n">
        <f aca="false">C8*1*(1+0.0356)^MAX(1,B8+(0))/(1+0.0956)^MAX(1,B8+(0))</f>
        <v>3202.82771599253</v>
      </c>
      <c r="G8" s="7" t="n">
        <f aca="false">C8*1*(1+0.0456)^MAX(1,B8+(0))/(1+0.1056)^MAX(1,B8+(0))</f>
        <v>3207.86554679514</v>
      </c>
      <c r="H8" s="7" t="n">
        <f aca="false">C8*1*(1+0.0256)^MAX(1,B8+(0))/(1+0.1056)^MAX(1,B8+(0))</f>
        <v>3027.28612195549</v>
      </c>
      <c r="I8" s="7" t="n">
        <f aca="false">C8*1*(1+0.0456)^MAX(1,B8+(0))/(1+0.0956)^MAX(1,B8+(0))</f>
        <v>3296.50832229266</v>
      </c>
      <c r="J8" s="7" t="n">
        <f aca="false">C8*1.01*(1+0.0356)^MAX(1,B8+(0))/(1+0.1056)^MAX(1,B8+(0))</f>
        <v>3147.87104255223</v>
      </c>
      <c r="K8" s="7" t="n">
        <f aca="false">C8*1.1*(1+0.0356)^MAX(1,B8+(0))/(1+0.1056)^MAX(1,B8+(0))</f>
        <v>3428.37440277966</v>
      </c>
      <c r="L8" s="7" t="n">
        <f aca="false">C8*1*(1+0.0356)^MAX(1,B8+(-2))/(1+0.1056)^MAX(1,B8+(-2))</f>
        <v>3552.28281838459</v>
      </c>
      <c r="M8" s="7" t="n">
        <f aca="false">C8*1*(1+0.0366)^MAX(1,B8+(0))/(1+0.1092)^MAX(1,B8+(0))</f>
        <v>3095.40553128245</v>
      </c>
    </row>
    <row r="9" customFormat="false" ht="15" hidden="false" customHeight="false" outlineLevel="0" collapsed="false">
      <c r="A9" s="0" t="n">
        <v>2029</v>
      </c>
      <c r="B9" s="0" t="n">
        <f aca="false">A9-2025</f>
        <v>4</v>
      </c>
      <c r="C9" s="7" t="n">
        <v>5688.591953</v>
      </c>
      <c r="D9" s="7" t="n">
        <f aca="false">C9*1*(1+0.0356)^MAX(1,B9+(0))/(1+0.1056)^MAX(1,B9+(0))</f>
        <v>4379.05933244477</v>
      </c>
      <c r="E9" s="7" t="n">
        <f aca="false">C9*1*(1+0.0356)^MAX(1,B9+(0))/(1+0.1156)^MAX(1,B9+(0))</f>
        <v>4224.14606708328</v>
      </c>
      <c r="F9" s="7" t="n">
        <f aca="false">C9*1*(1+0.0356)^MAX(1,B9+(0))/(1+0.0956)^MAX(1,B9+(0))</f>
        <v>4541.13962619578</v>
      </c>
      <c r="G9" s="7" t="n">
        <f aca="false">C9*1*(1+0.0456)^MAX(1,B9+(0))/(1+0.1056)^MAX(1,B9+(0))</f>
        <v>4550.66599496718</v>
      </c>
      <c r="H9" s="7" t="n">
        <f aca="false">C9*1*(1+0.0256)^MAX(1,B9+(0))/(1+0.1056)^MAX(1,B9+(0))</f>
        <v>4212.35254199137</v>
      </c>
      <c r="I9" s="7" t="n">
        <f aca="false">C9*1*(1+0.0456)^MAX(1,B9+(0))/(1+0.0956)^MAX(1,B9+(0))</f>
        <v>4719.09789443067</v>
      </c>
      <c r="J9" s="7" t="n">
        <f aca="false">C9*1.01*(1+0.0356)^MAX(1,B9+(0))/(1+0.1056)^MAX(1,B9+(0))</f>
        <v>4422.84992576921</v>
      </c>
      <c r="K9" s="7" t="n">
        <f aca="false">C9*1.1*(1+0.0356)^MAX(1,B9+(0))/(1+0.1056)^MAX(1,B9+(0))</f>
        <v>4816.96526568924</v>
      </c>
      <c r="L9" s="7" t="n">
        <f aca="false">C9*1*(1+0.0356)^MAX(1,B9+(-2))/(1+0.1056)^MAX(1,B9+(-2))</f>
        <v>4991.06017598013</v>
      </c>
      <c r="M9" s="7" t="n">
        <f aca="false">C9*1*(1+0.0366)^MAX(1,B9+(0))/(1+0.1092)^MAX(1,B9+(0))</f>
        <v>4339.20488731889</v>
      </c>
    </row>
    <row r="10" customFormat="false" ht="15" hidden="false" customHeight="false" outlineLevel="0" collapsed="false">
      <c r="A10" s="0" t="n">
        <v>2030</v>
      </c>
      <c r="B10" s="0" t="n">
        <f aca="false">A10-2025</f>
        <v>5</v>
      </c>
      <c r="C10" s="7" t="n">
        <v>7584.78927</v>
      </c>
      <c r="D10" s="7" t="n">
        <f aca="false">C10*1*(1+0.0356)^MAX(1,B10+(0))/(1+0.1056)^MAX(1,B10+(0))</f>
        <v>5469.07120632079</v>
      </c>
      <c r="E10" s="7" t="n">
        <f aca="false">C10*1*(1+0.0356)^MAX(1,B10+(0))/(1+0.1156)^MAX(1,B10+(0))</f>
        <v>5228.30843395117</v>
      </c>
      <c r="F10" s="7" t="n">
        <f aca="false">C10*1*(1+0.0356)^MAX(1,B10+(0))/(1+0.0956)^MAX(1,B10+(0))</f>
        <v>5723.26177008031</v>
      </c>
      <c r="G10" s="7" t="n">
        <f aca="false">C10*1*(1+0.0456)^MAX(1,B10+(0))/(1+0.1056)^MAX(1,B10+(0))</f>
        <v>5738.27347313008</v>
      </c>
      <c r="H10" s="7" t="n">
        <f aca="false">C10*1*(1+0.0256)^MAX(1,B10+(0))/(1+0.1056)^MAX(1,B10+(0))</f>
        <v>5210.06845958349</v>
      </c>
      <c r="I10" s="7" t="n">
        <f aca="false">C10*1*(1+0.0456)^MAX(1,B10+(0))/(1+0.0956)^MAX(1,B10+(0))</f>
        <v>6004.97597417915</v>
      </c>
      <c r="J10" s="7" t="n">
        <f aca="false">C10*1.01*(1+0.0356)^MAX(1,B10+(0))/(1+0.1056)^MAX(1,B10+(0))</f>
        <v>5523.761918384</v>
      </c>
      <c r="K10" s="7" t="n">
        <f aca="false">C10*1.1*(1+0.0356)^MAX(1,B10+(0))/(1+0.1056)^MAX(1,B10+(0))</f>
        <v>6015.97832695287</v>
      </c>
      <c r="L10" s="7" t="n">
        <f aca="false">C10*1*(1+0.0356)^MAX(1,B10+(-2))/(1+0.1056)^MAX(1,B10+(-2))</f>
        <v>6233.40800505393</v>
      </c>
      <c r="M10" s="7" t="n">
        <f aca="false">C10*1*(1+0.0366)^MAX(1,B10+(0))/(1+0.1092)^MAX(1,B10+(0))</f>
        <v>5406.92365164011</v>
      </c>
    </row>
    <row r="11" customFormat="false" ht="15" hidden="false" customHeight="false" outlineLevel="0" collapsed="false">
      <c r="A11" s="0" t="n">
        <v>2031</v>
      </c>
      <c r="B11" s="0" t="n">
        <f aca="false">A11-2025</f>
        <v>6</v>
      </c>
      <c r="C11" s="7" t="n">
        <v>9480.986588</v>
      </c>
      <c r="D11" s="7" t="n">
        <f aca="false">C11*1*(1+0.0356)^MAX(1,B11+(0))/(1+0.1056)^MAX(1,B11+(0))</f>
        <v>6403.50278306406</v>
      </c>
      <c r="E11" s="7" t="n">
        <f aca="false">C11*1*(1+0.0356)^MAX(1,B11+(0))/(1+0.1156)^MAX(1,B11+(0))</f>
        <v>6066.7311474603</v>
      </c>
      <c r="F11" s="7" t="n">
        <f aca="false">C11*1*(1+0.0356)^MAX(1,B11+(0))/(1+0.0956)^MAX(1,B11+(0))</f>
        <v>6762.28766133597</v>
      </c>
      <c r="G11" s="7" t="n">
        <f aca="false">C11*1*(1+0.0456)^MAX(1,B11+(0))/(1+0.1056)^MAX(1,B11+(0))</f>
        <v>6783.57763185287</v>
      </c>
      <c r="H11" s="7" t="n">
        <f aca="false">C11*1*(1+0.0256)^MAX(1,B11+(0))/(1+0.1056)^MAX(1,B11+(0))</f>
        <v>6041.34204553029</v>
      </c>
      <c r="I11" s="7" t="n">
        <f aca="false">C11*1*(1+0.0456)^MAX(1,B11+(0))/(1+0.0956)^MAX(1,B11+(0))</f>
        <v>7163.65790312711</v>
      </c>
      <c r="J11" s="7" t="n">
        <f aca="false">C11*1.01*(1+0.0356)^MAX(1,B11+(0))/(1+0.1056)^MAX(1,B11+(0))</f>
        <v>6467.5378108947</v>
      </c>
      <c r="K11" s="7" t="n">
        <f aca="false">C11*1.1*(1+0.0356)^MAX(1,B11+(0))/(1+0.1056)^MAX(1,B11+(0))</f>
        <v>7043.85306137047</v>
      </c>
      <c r="L11" s="7" t="n">
        <f aca="false">C11*1*(1+0.0356)^MAX(1,B11+(-2))/(1+0.1056)^MAX(1,B11+(-2))</f>
        <v>7298.43222048468</v>
      </c>
      <c r="M11" s="7" t="n">
        <f aca="false">C11*1*(1+0.0366)^MAX(1,B11+(0))/(1+0.1092)^MAX(1,B11+(0))</f>
        <v>6316.28319688258</v>
      </c>
    </row>
    <row r="12" customFormat="false" ht="15" hidden="false" customHeight="false" outlineLevel="0" collapsed="false">
      <c r="A12" s="0" t="n">
        <v>2032</v>
      </c>
      <c r="B12" s="0" t="n">
        <f aca="false">A12-2025</f>
        <v>7</v>
      </c>
      <c r="C12" s="7" t="n">
        <v>11377.183905</v>
      </c>
      <c r="D12" s="7" t="n">
        <f aca="false">C12*1*(1+0.0356)^MAX(1,B12+(0))/(1+0.1056)^MAX(1,B12+(0))</f>
        <v>7197.68539991833</v>
      </c>
      <c r="E12" s="7" t="n">
        <f aca="false">C12*1*(1+0.0356)^MAX(1,B12+(0))/(1+0.1156)^MAX(1,B12+(0))</f>
        <v>6758.02091356604</v>
      </c>
      <c r="F12" s="7" t="n">
        <f aca="false">C12*1*(1+0.0356)^MAX(1,B12+(0))/(1+0.0956)^MAX(1,B12+(0))</f>
        <v>7670.34512783155</v>
      </c>
      <c r="G12" s="7" t="n">
        <f aca="false">C12*1*(1+0.0456)^MAX(1,B12+(0))/(1+0.1056)^MAX(1,B12+(0))</f>
        <v>7698.52616297898</v>
      </c>
      <c r="H12" s="7" t="n">
        <f aca="false">C12*1*(1+0.0256)^MAX(1,B12+(0))/(1+0.1056)^MAX(1,B12+(0))</f>
        <v>6725.03661530655</v>
      </c>
      <c r="I12" s="7" t="n">
        <f aca="false">C12*1*(1+0.0456)^MAX(1,B12+(0))/(1+0.0956)^MAX(1,B12+(0))</f>
        <v>8204.0752498518</v>
      </c>
      <c r="J12" s="7" t="n">
        <f aca="false">C12*1.01*(1+0.0356)^MAX(1,B12+(0))/(1+0.1056)^MAX(1,B12+(0))</f>
        <v>7269.66225391751</v>
      </c>
      <c r="K12" s="7" t="n">
        <f aca="false">C12*1.1*(1+0.0356)^MAX(1,B12+(0))/(1+0.1056)^MAX(1,B12+(0))</f>
        <v>7917.45393991016</v>
      </c>
      <c r="L12" s="7" t="n">
        <f aca="false">C12*1*(1+0.0356)^MAX(1,B12+(-2))/(1+0.1056)^MAX(1,B12+(-2))</f>
        <v>8203.60680948119</v>
      </c>
      <c r="M12" s="7" t="n">
        <f aca="false">C12*1*(1+0.0366)^MAX(1,B12+(0))/(1+0.1092)^MAX(1,B12+(0))</f>
        <v>7083.43941025227</v>
      </c>
    </row>
    <row r="13" customFormat="false" ht="15" hidden="false" customHeight="false" outlineLevel="0" collapsed="false">
      <c r="A13" s="0" t="n">
        <v>2033</v>
      </c>
      <c r="B13" s="0" t="n">
        <f aca="false">A13-2025</f>
        <v>8</v>
      </c>
      <c r="C13" s="7" t="n">
        <v>13273.381223</v>
      </c>
      <c r="D13" s="7" t="n">
        <f aca="false">C13*1*(1+0.0356)^MAX(1,B13+(0))/(1+0.1056)^MAX(1,B13+(0))</f>
        <v>7865.63268859344</v>
      </c>
      <c r="E13" s="7" t="n">
        <f aca="false">C13*1*(1+0.0356)^MAX(1,B13+(0))/(1+0.1156)^MAX(1,B13+(0))</f>
        <v>7318.96814994448</v>
      </c>
      <c r="F13" s="7" t="n">
        <f aca="false">C13*1*(1+0.0356)^MAX(1,B13+(0))/(1+0.0956)^MAX(1,B13+(0))</f>
        <v>8458.66281835997</v>
      </c>
      <c r="G13" s="7" t="n">
        <f aca="false">C13*1*(1+0.0456)^MAX(1,B13+(0))/(1+0.1056)^MAX(1,B13+(0))</f>
        <v>8494.18908197636</v>
      </c>
      <c r="H13" s="7" t="n">
        <f aca="false">C13*1*(1+0.0256)^MAX(1,B13+(0))/(1+0.1056)^MAX(1,B13+(0))</f>
        <v>7278.15708972918</v>
      </c>
      <c r="I13" s="7" t="n">
        <f aca="false">C13*1*(1+0.0456)^MAX(1,B13+(0))/(1+0.0956)^MAX(1,B13+(0))</f>
        <v>9134.60928121231</v>
      </c>
      <c r="J13" s="7" t="n">
        <f aca="false">C13*1.01*(1+0.0356)^MAX(1,B13+(0))/(1+0.1056)^MAX(1,B13+(0))</f>
        <v>7944.28901547938</v>
      </c>
      <c r="K13" s="7" t="n">
        <f aca="false">C13*1.1*(1+0.0356)^MAX(1,B13+(0))/(1+0.1056)^MAX(1,B13+(0))</f>
        <v>8652.19595745279</v>
      </c>
      <c r="L13" s="7" t="n">
        <f aca="false">C13*1*(1+0.0356)^MAX(1,B13+(-2))/(1+0.1056)^MAX(1,B13+(-2))</f>
        <v>8964.90389615461</v>
      </c>
      <c r="M13" s="7" t="n">
        <f aca="false">C13*1*(1+0.0366)^MAX(1,B13+(0))/(1+0.1092)^MAX(1,B13+(0))</f>
        <v>7723.11170973205</v>
      </c>
    </row>
    <row r="14" customFormat="false" ht="15" hidden="false" customHeight="false" outlineLevel="0" collapsed="false">
      <c r="A14" s="0" t="n">
        <v>2034</v>
      </c>
      <c r="B14" s="0" t="n">
        <f aca="false">A14-2025</f>
        <v>9</v>
      </c>
      <c r="C14" s="7" t="n">
        <v>15169.57854</v>
      </c>
      <c r="D14" s="7" t="n">
        <f aca="false">C14*1*(1+0.0356)^MAX(1,B14+(0))/(1+0.1056)^MAX(1,B14+(0))</f>
        <v>8420.14597064351</v>
      </c>
      <c r="E14" s="7" t="n">
        <f aca="false">C14*1*(1+0.0356)^MAX(1,B14+(0))/(1+0.1156)^MAX(1,B14+(0))</f>
        <v>7764.71179203707</v>
      </c>
      <c r="F14" s="7" t="n">
        <f aca="false">C14*1*(1+0.0356)^MAX(1,B14+(0))/(1+0.0956)^MAX(1,B14+(0))</f>
        <v>9137.63231039859</v>
      </c>
      <c r="G14" s="7" t="n">
        <f aca="false">C14*1*(1+0.0456)^MAX(1,B14+(0))/(1+0.1056)^MAX(1,B14+(0))</f>
        <v>9180.81879654736</v>
      </c>
      <c r="H14" s="7" t="n">
        <f aca="false">C14*1*(1+0.0256)^MAX(1,B14+(0))/(1+0.1056)^MAX(1,B14+(0))</f>
        <v>7716.02016843608</v>
      </c>
      <c r="I14" s="7" t="n">
        <f aca="false">C14*1*(1+0.0456)^MAX(1,B14+(0))/(1+0.0956)^MAX(1,B14+(0))</f>
        <v>9963.1225828778</v>
      </c>
      <c r="J14" s="7" t="n">
        <f aca="false">C14*1.01*(1+0.0356)^MAX(1,B14+(0))/(1+0.1056)^MAX(1,B14+(0))</f>
        <v>8504.34743034994</v>
      </c>
      <c r="K14" s="7" t="n">
        <f aca="false">C14*1.1*(1+0.0356)^MAX(1,B14+(0))/(1+0.1056)^MAX(1,B14+(0))</f>
        <v>9262.16056770786</v>
      </c>
      <c r="L14" s="7" t="n">
        <f aca="false">C14*1*(1+0.0356)^MAX(1,B14+(-2))/(1+0.1056)^MAX(1,B14+(-2))</f>
        <v>9596.91386655777</v>
      </c>
      <c r="M14" s="7" t="n">
        <f aca="false">C14*1*(1+0.0366)^MAX(1,B14+(0))/(1+0.1092)^MAX(1,B14+(0))</f>
        <v>8248.70186801985</v>
      </c>
    </row>
    <row r="15" customFormat="false" ht="15" hidden="false" customHeight="false" outlineLevel="0" collapsed="false">
      <c r="A15" s="0" t="n">
        <v>2035</v>
      </c>
      <c r="B15" s="0" t="n">
        <f aca="false">A15-2025</f>
        <v>10</v>
      </c>
      <c r="C15" s="7" t="n">
        <v>17065.775858</v>
      </c>
      <c r="D15" s="7" t="n">
        <f aca="false">C15*1*(1+0.0356)^MAX(1,B15+(0))/(1+0.1056)^MAX(1,B15+(0))</f>
        <v>8872.911598576</v>
      </c>
      <c r="E15" s="7" t="n">
        <f aca="false">C15*1*(1+0.0356)^MAX(1,B15+(0))/(1+0.1156)^MAX(1,B15+(0))</f>
        <v>8108.88981138206</v>
      </c>
      <c r="F15" s="7" t="n">
        <f aca="false">C15*1*(1+0.0356)^MAX(1,B15+(0))/(1+0.0956)^MAX(1,B15+(0))</f>
        <v>9716.86612225427</v>
      </c>
      <c r="G15" s="7" t="n">
        <f aca="false">C15*1*(1+0.0456)^MAX(1,B15+(0))/(1+0.1056)^MAX(1,B15+(0))</f>
        <v>9767.90625062868</v>
      </c>
      <c r="H15" s="7" t="n">
        <f aca="false">C15*1*(1+0.0256)^MAX(1,B15+(0))/(1+0.1056)^MAX(1,B15+(0))</f>
        <v>8052.40961523371</v>
      </c>
      <c r="I15" s="7" t="n">
        <f aca="false">C15*1*(1+0.0456)^MAX(1,B15+(0))/(1+0.0956)^MAX(1,B15+(0))</f>
        <v>10696.9889508785</v>
      </c>
      <c r="J15" s="7" t="n">
        <f aca="false">C15*1.01*(1+0.0356)^MAX(1,B15+(0))/(1+0.1056)^MAX(1,B15+(0))</f>
        <v>8961.64071456177</v>
      </c>
      <c r="K15" s="7" t="n">
        <f aca="false">C15*1.1*(1+0.0356)^MAX(1,B15+(0))/(1+0.1056)^MAX(1,B15+(0))</f>
        <v>9760.20275843361</v>
      </c>
      <c r="L15" s="7" t="n">
        <f aca="false">C15*1*(1+0.0356)^MAX(1,B15+(-2))/(1+0.1056)^MAX(1,B15+(-2))</f>
        <v>10112.9563138212</v>
      </c>
      <c r="M15" s="7" t="n">
        <f aca="false">C15*1*(1+0.0366)^MAX(1,B15+(0))/(1+0.1092)^MAX(1,B15+(0))</f>
        <v>8672.40344502334</v>
      </c>
    </row>
    <row r="16" customFormat="false" ht="15" hidden="false" customHeight="false" outlineLevel="0" collapsed="false">
      <c r="A16" s="0" t="n">
        <v>2036</v>
      </c>
      <c r="B16" s="0" t="n">
        <f aca="false">A16-2025</f>
        <v>11</v>
      </c>
      <c r="C16" s="7" t="n">
        <v>18961.973175</v>
      </c>
      <c r="D16" s="7" t="n">
        <f aca="false">C16*1*(1+0.0356)^MAX(1,B16+(0))/(1+0.1056)^MAX(1,B16+(0))</f>
        <v>9234.59082169169</v>
      </c>
      <c r="E16" s="7" t="n">
        <f aca="false">C16*1*(1+0.0356)^MAX(1,B16+(0))/(1+0.1156)^MAX(1,B16+(0))</f>
        <v>8363.77663083267</v>
      </c>
      <c r="F16" s="7" t="n">
        <f aca="false">C16*1*(1+0.0356)^MAX(1,B16+(0))/(1+0.0956)^MAX(1,B16+(0))</f>
        <v>10205.2518720455</v>
      </c>
      <c r="G16" s="7" t="n">
        <f aca="false">C16*1*(1+0.0456)^MAX(1,B16+(0))/(1+0.1056)^MAX(1,B16+(0))</f>
        <v>10264.2333728876</v>
      </c>
      <c r="H16" s="7" t="n">
        <f aca="false">C16*1*(1+0.0256)^MAX(1,B16+(0))/(1+0.1056)^MAX(1,B16+(0))</f>
        <v>8299.71790193533</v>
      </c>
      <c r="I16" s="7" t="n">
        <f aca="false">C16*1*(1+0.0456)^MAX(1,B16+(0))/(1+0.0956)^MAX(1,B16+(0))</f>
        <v>11343.1216245902</v>
      </c>
      <c r="J16" s="7" t="n">
        <f aca="false">C16*1.01*(1+0.0356)^MAX(1,B16+(0))/(1+0.1056)^MAX(1,B16+(0))</f>
        <v>9326.9367299086</v>
      </c>
      <c r="K16" s="7" t="n">
        <f aca="false">C16*1.1*(1+0.0356)^MAX(1,B16+(0))/(1+0.1056)^MAX(1,B16+(0))</f>
        <v>10158.0499038609</v>
      </c>
      <c r="L16" s="7" t="n">
        <f aca="false">C16*1*(1+0.0356)^MAX(1,B16+(-2))/(1+0.1056)^MAX(1,B16+(-2))</f>
        <v>10525.1824633044</v>
      </c>
      <c r="M16" s="7" t="n">
        <f aca="false">C16*1*(1+0.0366)^MAX(1,B16+(0))/(1+0.1092)^MAX(1,B16+(0))</f>
        <v>9005.30253120147</v>
      </c>
    </row>
    <row r="17" customFormat="false" ht="15" hidden="false" customHeight="false" outlineLevel="0" collapsed="false">
      <c r="A17" s="0" t="n">
        <v>2037</v>
      </c>
      <c r="B17" s="0" t="n">
        <f aca="false">A17-2025</f>
        <v>12</v>
      </c>
      <c r="C17" s="7" t="n">
        <v>20858.170493</v>
      </c>
      <c r="D17" s="7" t="n">
        <f aca="false">C17*1*(1+0.0356)^MAX(1,B17+(0))/(1+0.1056)^MAX(1,B17+(0))</f>
        <v>9514.90275026273</v>
      </c>
      <c r="E17" s="7" t="n">
        <f aca="false">C17*1*(1+0.0356)^MAX(1,B17+(0))/(1+0.1156)^MAX(1,B17+(0))</f>
        <v>8540.40855773372</v>
      </c>
      <c r="F17" s="7" t="n">
        <f aca="false">C17*1*(1+0.0356)^MAX(1,B17+(0))/(1+0.0956)^MAX(1,B17+(0))</f>
        <v>10611.002850345</v>
      </c>
      <c r="G17" s="7" t="n">
        <f aca="false">C17*1*(1+0.0456)^MAX(1,B17+(0))/(1+0.1056)^MAX(1,B17+(0))</f>
        <v>10677.9220843374</v>
      </c>
      <c r="H17" s="7" t="n">
        <f aca="false">C17*1*(1+0.0256)^MAX(1,B17+(0))/(1+0.1056)^MAX(1,B17+(0))</f>
        <v>8469.07538754687</v>
      </c>
      <c r="I17" s="7" t="n">
        <f aca="false">C17*1*(1+0.0456)^MAX(1,B17+(0))/(1+0.0956)^MAX(1,B17+(0))</f>
        <v>11907.9999708392</v>
      </c>
      <c r="J17" s="7" t="n">
        <f aca="false">C17*1.01*(1+0.0356)^MAX(1,B17+(0))/(1+0.1056)^MAX(1,B17+(0))</f>
        <v>9610.05177776536</v>
      </c>
      <c r="K17" s="7" t="n">
        <f aca="false">C17*1.1*(1+0.0356)^MAX(1,B17+(0))/(1+0.1056)^MAX(1,B17+(0))</f>
        <v>10466.393025289</v>
      </c>
      <c r="L17" s="7" t="n">
        <f aca="false">C17*1*(1+0.0356)^MAX(1,B17+(-2))/(1+0.1056)^MAX(1,B17+(-2))</f>
        <v>10844.6697315351</v>
      </c>
      <c r="M17" s="7" t="n">
        <f aca="false">C17*1*(1+0.0366)^MAX(1,B17+(0))/(1+0.1092)^MAX(1,B17+(0))</f>
        <v>9257.47048726464</v>
      </c>
    </row>
    <row r="18" customFormat="false" ht="15" hidden="false" customHeight="false" outlineLevel="0" collapsed="false">
      <c r="A18" s="0" t="n">
        <v>2038</v>
      </c>
      <c r="B18" s="0" t="n">
        <f aca="false">A18-2025</f>
        <v>13</v>
      </c>
      <c r="C18" s="7" t="n">
        <v>22754.36781</v>
      </c>
      <c r="D18" s="7" t="n">
        <f aca="false">C18*1*(1+0.0356)^MAX(1,B18+(0))/(1+0.1056)^MAX(1,B18+(0))</f>
        <v>9722.70091560572</v>
      </c>
      <c r="E18" s="7" t="n">
        <f aca="false">C18*1*(1+0.0356)^MAX(1,B18+(0))/(1+0.1156)^MAX(1,B18+(0))</f>
        <v>8648.69823218849</v>
      </c>
      <c r="F18" s="7" t="n">
        <f aca="false">C18*1*(1+0.0356)^MAX(1,B18+(0))/(1+0.0956)^MAX(1,B18+(0))</f>
        <v>10941.7052191117</v>
      </c>
      <c r="G18" s="7" t="n">
        <f aca="false">C18*1*(1+0.0456)^MAX(1,B18+(0))/(1+0.1056)^MAX(1,B18+(0))</f>
        <v>11016.4800662237</v>
      </c>
      <c r="H18" s="7" t="n">
        <f aca="false">C18*1*(1+0.0256)^MAX(1,B18+(0))/(1+0.1056)^MAX(1,B18+(0))</f>
        <v>8570.46808044322</v>
      </c>
      <c r="I18" s="7" t="n">
        <f aca="false">C18*1*(1+0.0456)^MAX(1,B18+(0))/(1+0.0956)^MAX(1,B18+(0))</f>
        <v>12397.694682078</v>
      </c>
      <c r="J18" s="7" t="n">
        <f aca="false">C18*1.01*(1+0.0356)^MAX(1,B18+(0))/(1+0.1056)^MAX(1,B18+(0))</f>
        <v>9819.92792476178</v>
      </c>
      <c r="K18" s="7" t="n">
        <f aca="false">C18*1.1*(1+0.0356)^MAX(1,B18+(0))/(1+0.1056)^MAX(1,B18+(0))</f>
        <v>10694.9710071663</v>
      </c>
      <c r="L18" s="7" t="n">
        <f aca="false">C18*1*(1+0.0356)^MAX(1,B18+(-2))/(1+0.1056)^MAX(1,B18+(-2))</f>
        <v>11081.50898603</v>
      </c>
      <c r="M18" s="7" t="n">
        <f aca="false">C18*1*(1+0.0366)^MAX(1,B18+(0))/(1+0.1092)^MAX(1,B18+(0))</f>
        <v>9438.04928059714</v>
      </c>
    </row>
    <row r="19" customFormat="false" ht="15" hidden="false" customHeight="false" outlineLevel="0" collapsed="false">
      <c r="A19" s="0" t="n">
        <v>2039</v>
      </c>
      <c r="B19" s="0" t="n">
        <f aca="false">A19-2025</f>
        <v>14</v>
      </c>
      <c r="C19" s="7" t="n">
        <v>24650.565128</v>
      </c>
      <c r="D19" s="7" t="n">
        <f aca="false">C19*1*(1+0.0356)^MAX(1,B19+(0))/(1+0.1056)^MAX(1,B19+(0))</f>
        <v>9866.04391953628</v>
      </c>
      <c r="E19" s="7" t="n">
        <f aca="false">C19*1*(1+0.0356)^MAX(1,B19+(0))/(1+0.1156)^MAX(1,B19+(0))</f>
        <v>8697.53903450079</v>
      </c>
      <c r="F19" s="7" t="n">
        <f aca="false">C19*1*(1+0.0356)^MAX(1,B19+(0))/(1+0.0956)^MAX(1,B19+(0))</f>
        <v>11204.3620715319</v>
      </c>
      <c r="G19" s="7" t="n">
        <f aca="false">C19*1*(1+0.0456)^MAX(1,B19+(0))/(1+0.1056)^MAX(1,B19+(0))</f>
        <v>11286.8435123616</v>
      </c>
      <c r="H19" s="7" t="n">
        <f aca="false">C19*1*(1+0.0256)^MAX(1,B19+(0))/(1+0.1056)^MAX(1,B19+(0))</f>
        <v>8612.84497295972</v>
      </c>
      <c r="I19" s="7" t="n">
        <f aca="false">C19*1*(1+0.0456)^MAX(1,B19+(0))/(1+0.0956)^MAX(1,B19+(0))</f>
        <v>12817.8915874078</v>
      </c>
      <c r="J19" s="7" t="n">
        <f aca="false">C19*1.01*(1+0.0356)^MAX(1,B19+(0))/(1+0.1056)^MAX(1,B19+(0))</f>
        <v>9964.70435873164</v>
      </c>
      <c r="K19" s="7" t="n">
        <f aca="false">C19*1.1*(1+0.0356)^MAX(1,B19+(0))/(1+0.1056)^MAX(1,B19+(0))</f>
        <v>10852.6483114899</v>
      </c>
      <c r="L19" s="7" t="n">
        <f aca="false">C19*1*(1+0.0356)^MAX(1,B19+(-2))/(1+0.1056)^MAX(1,B19+(-2))</f>
        <v>11244.8850684508</v>
      </c>
      <c r="M19" s="7" t="n">
        <f aca="false">C19*1*(1+0.0366)^MAX(1,B19+(0))/(1+0.1092)^MAX(1,B19+(0))</f>
        <v>9555.33000496234</v>
      </c>
    </row>
    <row r="20" customFormat="false" ht="15" hidden="false" customHeight="false" outlineLevel="0" collapsed="false">
      <c r="A20" s="0" t="n">
        <v>2040</v>
      </c>
      <c r="B20" s="0" t="n">
        <f aca="false">A20-2025</f>
        <v>15</v>
      </c>
      <c r="C20" s="7" t="n">
        <v>26546.762445</v>
      </c>
      <c r="D20" s="7" t="n">
        <f aca="false">C20*1*(1+0.0356)^MAX(1,B20+(0))/(1+0.1056)^MAX(1,B20+(0))</f>
        <v>9952.26060058607</v>
      </c>
      <c r="E20" s="7" t="n">
        <f aca="false">C20*1*(1+0.0356)^MAX(1,B20+(0))/(1+0.1156)^MAX(1,B20+(0))</f>
        <v>8694.90029065067</v>
      </c>
      <c r="F20" s="7" t="n">
        <f aca="false">C20*1*(1+0.0356)^MAX(1,B20+(0))/(1+0.0956)^MAX(1,B20+(0))</f>
        <v>11405.434539178</v>
      </c>
      <c r="G20" s="7" t="n">
        <f aca="false">C20*1*(1+0.0456)^MAX(1,B20+(0))/(1+0.1056)^MAX(1,B20+(0))</f>
        <v>11495.4170424693</v>
      </c>
      <c r="H20" s="7" t="n">
        <f aca="false">C20*1*(1+0.0256)^MAX(1,B20+(0))/(1+0.1056)^MAX(1,B20+(0))</f>
        <v>8604.21582831713</v>
      </c>
      <c r="I20" s="7" t="n">
        <f aca="false">C20*1*(1+0.0456)^MAX(1,B20+(0))/(1+0.0956)^MAX(1,B20+(0))</f>
        <v>13173.914132706</v>
      </c>
      <c r="J20" s="7" t="n">
        <f aca="false">C20*1.01*(1+0.0356)^MAX(1,B20+(0))/(1+0.1056)^MAX(1,B20+(0))</f>
        <v>10051.7832065919</v>
      </c>
      <c r="K20" s="7" t="n">
        <f aca="false">C20*1.1*(1+0.0356)^MAX(1,B20+(0))/(1+0.1056)^MAX(1,B20+(0))</f>
        <v>10947.4866606447</v>
      </c>
      <c r="L20" s="7" t="n">
        <f aca="false">C20*1*(1+0.0356)^MAX(1,B20+(-2))/(1+0.1056)^MAX(1,B20+(-2))</f>
        <v>11343.1510682067</v>
      </c>
      <c r="M20" s="7" t="n">
        <f aca="false">C20*1*(1+0.0366)^MAX(1,B20+(0))/(1+0.1092)^MAX(1,B20+(0))</f>
        <v>9616.82509647998</v>
      </c>
    </row>
    <row r="21" customFormat="false" ht="15" hidden="false" customHeight="false" outlineLevel="0" collapsed="false">
      <c r="A21" s="0" t="n">
        <v>2041</v>
      </c>
      <c r="B21" s="0" t="n">
        <f aca="false">A21-2025</f>
        <v>16</v>
      </c>
      <c r="C21" s="7" t="n">
        <v>24133.420405</v>
      </c>
      <c r="D21" s="7" t="n">
        <f aca="false">C21*1*(1+0.0356)^MAX(1,B21+(0))/(1+0.1056)^MAX(1,B21+(0))</f>
        <v>8474.67527147831</v>
      </c>
      <c r="E21" s="7" t="n">
        <f aca="false">C21*1*(1+0.0356)^MAX(1,B21+(0))/(1+0.1156)^MAX(1,B21+(0))</f>
        <v>7337.62405975376</v>
      </c>
      <c r="F21" s="7" t="n">
        <f aca="false">C21*1*(1+0.0356)^MAX(1,B21+(0))/(1+0.0956)^MAX(1,B21+(0))</f>
        <v>9800.74679627199</v>
      </c>
      <c r="G21" s="7" t="n">
        <f aca="false">C21*1*(1+0.0456)^MAX(1,B21+(0))/(1+0.1056)^MAX(1,B21+(0))</f>
        <v>9883.24567477328</v>
      </c>
      <c r="H21" s="7" t="n">
        <f aca="false">C21*1*(1+0.0256)^MAX(1,B21+(0))/(1+0.1056)^MAX(1,B21+(0))</f>
        <v>7256.02203138424</v>
      </c>
      <c r="I21" s="7" t="n">
        <f aca="false">C21*1*(1+0.0456)^MAX(1,B21+(0))/(1+0.0956)^MAX(1,B21+(0))</f>
        <v>11429.7227068745</v>
      </c>
      <c r="J21" s="7" t="n">
        <f aca="false">C21*1.01*(1+0.0356)^MAX(1,B21+(0))/(1+0.1056)^MAX(1,B21+(0))</f>
        <v>8559.42202419309</v>
      </c>
      <c r="K21" s="7" t="n">
        <f aca="false">C21*1.1*(1+0.0356)^MAX(1,B21+(0))/(1+0.1056)^MAX(1,B21+(0))</f>
        <v>9322.14279862614</v>
      </c>
      <c r="L21" s="7" t="n">
        <f aca="false">C21*1*(1+0.0356)^MAX(1,B21+(-2))/(1+0.1056)^MAX(1,B21+(-2))</f>
        <v>9659.06397715439</v>
      </c>
      <c r="M21" s="7" t="n">
        <f aca="false">C21*1*(1+0.0366)^MAX(1,B21+(0))/(1+0.1092)^MAX(1,B21+(0))</f>
        <v>8170.34463429737</v>
      </c>
    </row>
    <row r="22" customFormat="false" ht="15" hidden="false" customHeight="false" outlineLevel="0" collapsed="false">
      <c r="A22" s="0" t="n">
        <v>2042</v>
      </c>
      <c r="B22" s="0" t="n">
        <f aca="false">A22-2025</f>
        <v>17</v>
      </c>
      <c r="C22" s="7" t="n">
        <v>21720.078364</v>
      </c>
      <c r="D22" s="7" t="n">
        <f aca="false">C22*1*(1+0.0356)^MAX(1,B22+(0))/(1+0.1056)^MAX(1,B22+(0))</f>
        <v>7144.29842605536</v>
      </c>
      <c r="E22" s="7" t="n">
        <f aca="false">C22*1*(1+0.0356)^MAX(1,B22+(0))/(1+0.1156)^MAX(1,B22+(0))</f>
        <v>6130.29681650723</v>
      </c>
      <c r="F22" s="7" t="n">
        <f aca="false">C22*1*(1+0.0356)^MAX(1,B22+(0))/(1+0.0956)^MAX(1,B22+(0))</f>
        <v>8337.61230721711</v>
      </c>
      <c r="G22" s="7" t="n">
        <f aca="false">C22*1*(1+0.0456)^MAX(1,B22+(0))/(1+0.1056)^MAX(1,B22+(0))</f>
        <v>8412.20107595382</v>
      </c>
      <c r="H22" s="7" t="n">
        <f aca="false">C22*1*(1+0.0256)^MAX(1,B22+(0))/(1+0.1056)^MAX(1,B22+(0))</f>
        <v>6057.88583185124</v>
      </c>
      <c r="I22" s="7" t="n">
        <f aca="false">C22*1*(1+0.0456)^MAX(1,B22+(0))/(1+0.0956)^MAX(1,B22+(0))</f>
        <v>9817.29304110037</v>
      </c>
      <c r="J22" s="7" t="n">
        <f aca="false">C22*1.01*(1+0.0356)^MAX(1,B22+(0))/(1+0.1056)^MAX(1,B22+(0))</f>
        <v>7215.74141031592</v>
      </c>
      <c r="K22" s="7" t="n">
        <f aca="false">C22*1.1*(1+0.0356)^MAX(1,B22+(0))/(1+0.1056)^MAX(1,B22+(0))</f>
        <v>7858.7282686609</v>
      </c>
      <c r="L22" s="7" t="n">
        <f aca="false">C22*1*(1+0.0356)^MAX(1,B22+(-2))/(1+0.1056)^MAX(1,B22+(-2))</f>
        <v>8142.7586731727</v>
      </c>
      <c r="M22" s="7" t="n">
        <f aca="false">C22*1*(1+0.0366)^MAX(1,B22+(0))/(1+0.1092)^MAX(1,B22+(0))</f>
        <v>6872.01705999452</v>
      </c>
    </row>
    <row r="23" customFormat="false" ht="15" hidden="false" customHeight="false" outlineLevel="0" collapsed="false">
      <c r="A23" s="0" t="n">
        <v>2043</v>
      </c>
      <c r="B23" s="0" t="n">
        <f aca="false">A23-2025</f>
        <v>18</v>
      </c>
      <c r="C23" s="7" t="n">
        <v>19306.736324</v>
      </c>
      <c r="D23" s="7" t="n">
        <f aca="false">C23*1*(1+0.0356)^MAX(1,B23+(0))/(1+0.1056)^MAX(1,B23+(0))</f>
        <v>5948.41248608559</v>
      </c>
      <c r="E23" s="7" t="n">
        <f aca="false">C23*1*(1+0.0356)^MAX(1,B23+(0))/(1+0.1156)^MAX(1,B23+(0))</f>
        <v>5058.39240135535</v>
      </c>
      <c r="F23" s="7" t="n">
        <f aca="false">C23*1*(1+0.0356)^MAX(1,B23+(0))/(1+0.0956)^MAX(1,B23+(0))</f>
        <v>7005.33958504954</v>
      </c>
      <c r="G23" s="7" t="n">
        <f aca="false">C23*1*(1+0.0456)^MAX(1,B23+(0))/(1+0.1056)^MAX(1,B23+(0))</f>
        <v>7071.71365590915</v>
      </c>
      <c r="H23" s="7" t="n">
        <f aca="false">C23*1*(1+0.0256)^MAX(1,B23+(0))/(1+0.1056)^MAX(1,B23+(0))</f>
        <v>4995.15011198718</v>
      </c>
      <c r="I23" s="7" t="n">
        <f aca="false">C23*1*(1+0.0456)^MAX(1,B23+(0))/(1+0.0956)^MAX(1,B23+(0))</f>
        <v>8328.2313934614</v>
      </c>
      <c r="J23" s="7" t="n">
        <f aca="false">C23*1.01*(1+0.0356)^MAX(1,B23+(0))/(1+0.1056)^MAX(1,B23+(0))</f>
        <v>6007.89661094644</v>
      </c>
      <c r="K23" s="7" t="n">
        <f aca="false">C23*1.1*(1+0.0356)^MAX(1,B23+(0))/(1+0.1056)^MAX(1,B23+(0))</f>
        <v>6543.25373469415</v>
      </c>
      <c r="L23" s="7" t="n">
        <f aca="false">C23*1*(1+0.0356)^MAX(1,B23+(-2))/(1+0.1056)^MAX(1,B23+(-2))</f>
        <v>6779.74021718264</v>
      </c>
      <c r="M23" s="7" t="n">
        <f aca="false">C23*1*(1+0.0366)^MAX(1,B23+(0))/(1+0.1092)^MAX(1,B23+(0))</f>
        <v>5708.64517734848</v>
      </c>
    </row>
    <row r="24" customFormat="false" ht="15" hidden="false" customHeight="false" outlineLevel="0" collapsed="false">
      <c r="A24" s="0" t="n">
        <v>2044</v>
      </c>
      <c r="B24" s="0" t="n">
        <f aca="false">A24-2025</f>
        <v>19</v>
      </c>
      <c r="C24" s="7" t="n">
        <v>16893.394283</v>
      </c>
      <c r="D24" s="7" t="n">
        <f aca="false">C24*1*(1+0.0356)^MAX(1,B24+(0))/(1+0.1056)^MAX(1,B24+(0))</f>
        <v>4875.32016471321</v>
      </c>
      <c r="E24" s="7" t="n">
        <f aca="false">C24*1*(1+0.0356)^MAX(1,B24+(0))/(1+0.1156)^MAX(1,B24+(0))</f>
        <v>4108.6969113952</v>
      </c>
      <c r="F24" s="7" t="n">
        <f aca="false">C24*1*(1+0.0356)^MAX(1,B24+(0))/(1+0.0956)^MAX(1,B24+(0))</f>
        <v>5793.98362979624</v>
      </c>
      <c r="G24" s="7" t="n">
        <f aca="false">C24*1*(1+0.0456)^MAX(1,B24+(0))/(1+0.1056)^MAX(1,B24+(0))</f>
        <v>5851.94539037608</v>
      </c>
      <c r="H24" s="7" t="n">
        <f aca="false">C24*1*(1+0.0256)^MAX(1,B24+(0))/(1+0.1056)^MAX(1,B24+(0))</f>
        <v>4054.49322572777</v>
      </c>
      <c r="I24" s="7" t="n">
        <f aca="false">C24*1*(1+0.0456)^MAX(1,B24+(0))/(1+0.0956)^MAX(1,B24+(0))</f>
        <v>6954.63572622519</v>
      </c>
      <c r="J24" s="7" t="n">
        <f aca="false">C24*1.01*(1+0.0356)^MAX(1,B24+(0))/(1+0.1056)^MAX(1,B24+(0))</f>
        <v>4924.07336636034</v>
      </c>
      <c r="K24" s="7" t="n">
        <f aca="false">C24*1.1*(1+0.0356)^MAX(1,B24+(0))/(1+0.1056)^MAX(1,B24+(0))</f>
        <v>5362.85218118453</v>
      </c>
      <c r="L24" s="7" t="n">
        <f aca="false">C24*1*(1+0.0356)^MAX(1,B24+(-2))/(1+0.1056)^MAX(1,B24+(-2))</f>
        <v>5556.67655356207</v>
      </c>
      <c r="M24" s="7" t="n">
        <f aca="false">C24*1*(1+0.0366)^MAX(1,B24+(0))/(1+0.1092)^MAX(1,B24+(0))</f>
        <v>4668.12467709273</v>
      </c>
    </row>
    <row r="25" customFormat="false" ht="15" hidden="false" customHeight="false" outlineLevel="0" collapsed="false">
      <c r="A25" s="0" t="n">
        <v>2045</v>
      </c>
      <c r="B25" s="0" t="n">
        <f aca="false">A25-2025</f>
        <v>20</v>
      </c>
      <c r="C25" s="7" t="n">
        <v>14480.052243</v>
      </c>
      <c r="D25" s="7" t="n">
        <f aca="false">C25*1*(1+0.0356)^MAX(1,B25+(0))/(1+0.1056)^MAX(1,B25+(0))</f>
        <v>3914.26625185531</v>
      </c>
      <c r="E25" s="7" t="n">
        <f aca="false">C25*1*(1+0.0356)^MAX(1,B25+(0))/(1+0.1156)^MAX(1,B25+(0))</f>
        <v>3269.19519661436</v>
      </c>
      <c r="F25" s="7" t="n">
        <f aca="false">C25*1*(1+0.0356)^MAX(1,B25+(0))/(1+0.0956)^MAX(1,B25+(0))</f>
        <v>4694.29623470081</v>
      </c>
      <c r="G25" s="7" t="n">
        <f aca="false">C25*1*(1+0.0456)^MAX(1,B25+(0))/(1+0.1056)^MAX(1,B25+(0))</f>
        <v>4743.74154979196</v>
      </c>
      <c r="H25" s="7" t="n">
        <f aca="false">C25*1*(1+0.0256)^MAX(1,B25+(0))/(1+0.1056)^MAX(1,B25+(0))</f>
        <v>3223.81247604104</v>
      </c>
      <c r="I25" s="7" t="n">
        <f aca="false">C25*1*(1+0.0456)^MAX(1,B25+(0))/(1+0.0956)^MAX(1,B25+(0))</f>
        <v>5689.06831134117</v>
      </c>
      <c r="J25" s="7" t="n">
        <f aca="false">C25*1.01*(1+0.0356)^MAX(1,B25+(0))/(1+0.1056)^MAX(1,B25+(0))</f>
        <v>3953.40891437386</v>
      </c>
      <c r="K25" s="7" t="n">
        <f aca="false">C25*1.1*(1+0.0356)^MAX(1,B25+(0))/(1+0.1056)^MAX(1,B25+(0))</f>
        <v>4305.69287704084</v>
      </c>
      <c r="L25" s="7" t="n">
        <f aca="false">C25*1*(1+0.0356)^MAX(1,B25+(-2))/(1+0.1056)^MAX(1,B25+(-2))</f>
        <v>4461.30936456419</v>
      </c>
      <c r="M25" s="7" t="n">
        <f aca="false">C25*1*(1+0.0366)^MAX(1,B25+(0))/(1+0.1092)^MAX(1,B25+(0))</f>
        <v>3739.35761198615</v>
      </c>
    </row>
    <row r="26" customFormat="false" ht="15" hidden="false" customHeight="false" outlineLevel="0" collapsed="false">
      <c r="A26" s="0" t="n">
        <v>2046</v>
      </c>
      <c r="B26" s="0" t="n">
        <f aca="false">A26-2025</f>
        <v>21</v>
      </c>
      <c r="C26" s="7" t="n">
        <v>12066.710202</v>
      </c>
      <c r="D26" s="7" t="n">
        <f aca="false">C26*1*(1+0.0356)^MAX(1,B26+(0))/(1+0.1056)^MAX(1,B26+(0))</f>
        <v>3055.36520912731</v>
      </c>
      <c r="E26" s="7" t="n">
        <f aca="false">C26*1*(1+0.0356)^MAX(1,B26+(0))/(1+0.1156)^MAX(1,B26+(0))</f>
        <v>2528.96688289825</v>
      </c>
      <c r="F26" s="7" t="n">
        <f aca="false">C26*1*(1+0.0356)^MAX(1,B26+(0))/(1+0.0956)^MAX(1,B26+(0))</f>
        <v>3697.6794910359</v>
      </c>
      <c r="G26" s="7" t="n">
        <f aca="false">C26*1*(1+0.0456)^MAX(1,B26+(0))/(1+0.1056)^MAX(1,B26+(0))</f>
        <v>3738.58550730896</v>
      </c>
      <c r="H26" s="7" t="n">
        <f aca="false">C26*1*(1+0.0256)^MAX(1,B26+(0))/(1+0.1056)^MAX(1,B26+(0))</f>
        <v>2492.11745906498</v>
      </c>
      <c r="I26" s="7" t="n">
        <f aca="false">C26*1*(1+0.0456)^MAX(1,B26+(0))/(1+0.0956)^MAX(1,B26+(0))</f>
        <v>4524.52980565584</v>
      </c>
      <c r="J26" s="7" t="n">
        <f aca="false">C26*1.01*(1+0.0356)^MAX(1,B26+(0))/(1+0.1056)^MAX(1,B26+(0))</f>
        <v>3085.91886121859</v>
      </c>
      <c r="K26" s="7" t="n">
        <f aca="false">C26*1.1*(1+0.0356)^MAX(1,B26+(0))/(1+0.1056)^MAX(1,B26+(0))</f>
        <v>3360.90173004004</v>
      </c>
      <c r="L26" s="7" t="n">
        <f aca="false">C26*1*(1+0.0356)^MAX(1,B26+(-2))/(1+0.1056)^MAX(1,B26+(-2))</f>
        <v>3482.37154618249</v>
      </c>
      <c r="M26" s="7" t="n">
        <f aca="false">C26*1*(1+0.0366)^MAX(1,B26+(0))/(1+0.1092)^MAX(1,B26+(0))</f>
        <v>2912.17251203888</v>
      </c>
    </row>
    <row r="27" customFormat="false" ht="15" hidden="false" customHeight="false" outlineLevel="0" collapsed="false">
      <c r="A27" s="0" t="n">
        <v>2047</v>
      </c>
      <c r="B27" s="0" t="n">
        <f aca="false">A27-2025</f>
        <v>22</v>
      </c>
      <c r="C27" s="7" t="n">
        <v>9653.368162</v>
      </c>
      <c r="D27" s="7" t="n">
        <f aca="false">C27*1*(1+0.0356)^MAX(1,B27+(0))/(1+0.1056)^MAX(1,B27+(0))</f>
        <v>2289.5341611457</v>
      </c>
      <c r="E27" s="7" t="n">
        <f aca="false">C27*1*(1+0.0356)^MAX(1,B27+(0))/(1+0.1156)^MAX(1,B27+(0))</f>
        <v>1878.09114667476</v>
      </c>
      <c r="F27" s="7" t="n">
        <f aca="false">C27*1*(1+0.0356)^MAX(1,B27+(0))/(1+0.0956)^MAX(1,B27+(0))</f>
        <v>2796.14230089482</v>
      </c>
      <c r="G27" s="7" t="n">
        <f aca="false">C27*1*(1+0.0456)^MAX(1,B27+(0))/(1+0.1056)^MAX(1,B27+(0))</f>
        <v>2828.55644472086</v>
      </c>
      <c r="H27" s="7" t="n">
        <f aca="false">C27*1*(1+0.0256)^MAX(1,B27+(0))/(1+0.1056)^MAX(1,B27+(0))</f>
        <v>1849.43246463311</v>
      </c>
      <c r="I27" s="7" t="n">
        <f aca="false">C27*1*(1+0.0456)^MAX(1,B27+(0))/(1+0.0956)^MAX(1,B27+(0))</f>
        <v>3454.43473164642</v>
      </c>
      <c r="J27" s="7" t="n">
        <f aca="false">C27*1.01*(1+0.0356)^MAX(1,B27+(0))/(1+0.1056)^MAX(1,B27+(0))</f>
        <v>2312.42950275716</v>
      </c>
      <c r="K27" s="7" t="n">
        <f aca="false">C27*1.1*(1+0.0356)^MAX(1,B27+(0))/(1+0.1056)^MAX(1,B27+(0))</f>
        <v>2518.48757726027</v>
      </c>
      <c r="L27" s="7" t="n">
        <f aca="false">C27*1*(1+0.0356)^MAX(1,B27+(-2))/(1+0.1056)^MAX(1,B27+(-2))</f>
        <v>2609.5108345702</v>
      </c>
      <c r="M27" s="7" t="n">
        <f aca="false">C27*1*(1+0.0366)^MAX(1,B27+(0))/(1+0.1092)^MAX(1,B27+(0))</f>
        <v>2177.25064991315</v>
      </c>
    </row>
    <row r="28" customFormat="false" ht="15" hidden="false" customHeight="false" outlineLevel="0" collapsed="false">
      <c r="A28" s="0" t="n">
        <v>2048</v>
      </c>
      <c r="B28" s="0" t="n">
        <f aca="false">A28-2025</f>
        <v>23</v>
      </c>
      <c r="C28" s="7" t="n">
        <v>7240.026121</v>
      </c>
      <c r="D28" s="7" t="n">
        <f aca="false">C28*1*(1+0.0356)^MAX(1,B28+(0))/(1+0.1056)^MAX(1,B28+(0))</f>
        <v>1608.43088172852</v>
      </c>
      <c r="E28" s="7" t="n">
        <f aca="false">C28*1*(1+0.0356)^MAX(1,B28+(0))/(1+0.1156)^MAX(1,B28+(0))</f>
        <v>1307.5595137339</v>
      </c>
      <c r="F28" s="7" t="n">
        <f aca="false">C28*1*(1+0.0356)^MAX(1,B28+(0))/(1+0.0956)^MAX(1,B28+(0))</f>
        <v>1982.25969784139</v>
      </c>
      <c r="G28" s="7" t="n">
        <f aca="false">C28*1*(1+0.0456)^MAX(1,B28+(0))/(1+0.1056)^MAX(1,B28+(0))</f>
        <v>2006.28976464989</v>
      </c>
      <c r="H28" s="7" t="n">
        <f aca="false">C28*1*(1+0.0256)^MAX(1,B28+(0))/(1+0.1056)^MAX(1,B28+(0))</f>
        <v>1286.70717411138</v>
      </c>
      <c r="I28" s="7" t="n">
        <f aca="false">C28*1*(1+0.0456)^MAX(1,B28+(0))/(1+0.0956)^MAX(1,B28+(0))</f>
        <v>2472.58827708109</v>
      </c>
      <c r="J28" s="7" t="n">
        <f aca="false">C28*1.01*(1+0.0356)^MAX(1,B28+(0))/(1+0.1056)^MAX(1,B28+(0))</f>
        <v>1624.51519054581</v>
      </c>
      <c r="K28" s="7" t="n">
        <f aca="false">C28*1.1*(1+0.0356)^MAX(1,B28+(0))/(1+0.1056)^MAX(1,B28+(0))</f>
        <v>1769.27396990138</v>
      </c>
      <c r="L28" s="7" t="n">
        <f aca="false">C28*1*(1+0.0356)^MAX(1,B28+(-2))/(1+0.1056)^MAX(1,B28+(-2))</f>
        <v>1833.21912542575</v>
      </c>
      <c r="M28" s="7" t="n">
        <f aca="false">C28*1*(1+0.0366)^MAX(1,B28+(0))/(1+0.1092)^MAX(1,B28+(0))</f>
        <v>1526.05798562755</v>
      </c>
    </row>
    <row r="29" customFormat="false" ht="15" hidden="false" customHeight="false" outlineLevel="0" collapsed="false">
      <c r="A29" s="0" t="n">
        <v>2049</v>
      </c>
      <c r="B29" s="0" t="n">
        <f aca="false">A29-2025</f>
        <v>24</v>
      </c>
      <c r="C29" s="7" t="n">
        <v>4826.684081</v>
      </c>
      <c r="D29" s="7" t="n">
        <f aca="false">C29*1*(1+0.0356)^MAX(1,B29+(0))/(1+0.1056)^MAX(1,B29+(0))</f>
        <v>1004.39641897799</v>
      </c>
      <c r="E29" s="7" t="n">
        <f aca="false">C29*1*(1+0.0356)^MAX(1,B29+(0))/(1+0.1156)^MAX(1,B29+(0))</f>
        <v>809.196027558472</v>
      </c>
      <c r="F29" s="7" t="n">
        <f aca="false">C29*1*(1+0.0356)^MAX(1,B29+(0))/(1+0.0956)^MAX(1,B29+(0))</f>
        <v>1249.13480785342</v>
      </c>
      <c r="G29" s="7" t="n">
        <f aca="false">C29*1*(1+0.0456)^MAX(1,B29+(0))/(1+0.1056)^MAX(1,B29+(0))</f>
        <v>1264.94004948311</v>
      </c>
      <c r="H29" s="7" t="n">
        <f aca="false">C29*1*(1+0.0256)^MAX(1,B29+(0))/(1+0.1056)^MAX(1,B29+(0))</f>
        <v>795.734972177862</v>
      </c>
      <c r="I29" s="7" t="n">
        <f aca="false">C29*1*(1+0.0456)^MAX(1,B29+(0))/(1+0.0956)^MAX(1,B29+(0))</f>
        <v>1573.16435602685</v>
      </c>
      <c r="J29" s="7" t="n">
        <f aca="false">C29*1.01*(1+0.0356)^MAX(1,B29+(0))/(1+0.1056)^MAX(1,B29+(0))</f>
        <v>1014.44038316777</v>
      </c>
      <c r="K29" s="7" t="n">
        <f aca="false">C29*1.1*(1+0.0356)^MAX(1,B29+(0))/(1+0.1056)^MAX(1,B29+(0))</f>
        <v>1104.83606087579</v>
      </c>
      <c r="L29" s="7" t="n">
        <f aca="false">C29*1*(1+0.0356)^MAX(1,B29+(-2))/(1+0.1056)^MAX(1,B29+(-2))</f>
        <v>1144.76708057285</v>
      </c>
      <c r="M29" s="7" t="n">
        <f aca="false">C29*1*(1+0.0366)^MAX(1,B29+(0))/(1+0.1092)^MAX(1,B29+(0))</f>
        <v>950.782370483693</v>
      </c>
    </row>
    <row r="30" customFormat="false" ht="15" hidden="false" customHeight="false" outlineLevel="0" collapsed="false">
      <c r="A30" s="0" t="n">
        <v>2050</v>
      </c>
      <c r="B30" s="0" t="n">
        <f aca="false">A30-2025</f>
        <v>25</v>
      </c>
      <c r="C30" s="7" t="n">
        <v>2413.34204</v>
      </c>
      <c r="D30" s="7" t="n">
        <f aca="false">C30*1*(1+0.0356)^MAX(1,B30+(0))/(1+0.1056)^MAX(1,B30+(0))</f>
        <v>470.402013059923</v>
      </c>
      <c r="E30" s="7" t="n">
        <f aca="false">C30*1*(1+0.0356)^MAX(1,B30+(0))/(1+0.1156)^MAX(1,B30+(0))</f>
        <v>375.584172627257</v>
      </c>
      <c r="F30" s="7" t="n">
        <f aca="false">C30*1*(1+0.0356)^MAX(1,B30+(0))/(1+0.0956)^MAX(1,B30+(0))</f>
        <v>590.363274345103</v>
      </c>
      <c r="G30" s="7" t="n">
        <f aca="false">C30*1*(1+0.0456)^MAX(1,B30+(0))/(1+0.1056)^MAX(1,B30+(0))</f>
        <v>598.146398094031</v>
      </c>
      <c r="H30" s="7" t="n">
        <f aca="false">C30*1*(1+0.0256)^MAX(1,B30+(0))/(1+0.1056)^MAX(1,B30+(0))</f>
        <v>369.078232315726</v>
      </c>
      <c r="I30" s="7" t="n">
        <f aca="false">C30*1*(1+0.0456)^MAX(1,B30+(0))/(1+0.0956)^MAX(1,B30+(0))</f>
        <v>750.684853195001</v>
      </c>
      <c r="J30" s="7" t="n">
        <f aca="false">C30*1.01*(1+0.0356)^MAX(1,B30+(0))/(1+0.1056)^MAX(1,B30+(0))</f>
        <v>475.106033190523</v>
      </c>
      <c r="K30" s="7" t="n">
        <f aca="false">C30*1.1*(1+0.0356)^MAX(1,B30+(0))/(1+0.1056)^MAX(1,B30+(0))</f>
        <v>517.442214365916</v>
      </c>
      <c r="L30" s="7" t="n">
        <f aca="false">C30*1*(1+0.0356)^MAX(1,B30+(-2))/(1+0.1056)^MAX(1,B30+(-2))</f>
        <v>536.143627168788</v>
      </c>
      <c r="M30" s="7" t="n">
        <f aca="false">C30*1*(1+0.0366)^MAX(1,B30+(0))/(1+0.1092)^MAX(1,B30+(0))</f>
        <v>444.275606310495</v>
      </c>
    </row>
    <row r="31" customFormat="false" ht="15" hidden="false" customHeight="false" outlineLevel="0" collapsed="false">
      <c r="A31" s="0" t="s">
        <v>75</v>
      </c>
      <c r="C31" s="7" t="n">
        <f aca="false">SUM(C6:C30)</f>
        <v>336882.113417</v>
      </c>
      <c r="D31" s="7" t="n">
        <f aca="false">SUM(D6:D30)</f>
        <v>145192.000000065</v>
      </c>
      <c r="E31" s="7" t="n">
        <f aca="false">SUM(E6:E30)</f>
        <v>130571.956574955</v>
      </c>
      <c r="F31" s="7" t="n">
        <f aca="false">SUM(F6:F30)</f>
        <v>161993.687923909</v>
      </c>
      <c r="G31" s="7" t="n">
        <f aca="false">SUM(G6:G30)</f>
        <v>163031.710983973</v>
      </c>
      <c r="H31" s="7" t="n">
        <f aca="false">SUM(H6:H30)</f>
        <v>129513.486058695</v>
      </c>
      <c r="I31" s="7" t="n">
        <f aca="false">SUM(I6:I30)</f>
        <v>182362.30994027</v>
      </c>
      <c r="J31" s="7" t="n">
        <f aca="false">SUM(J6:J30)</f>
        <v>146643.920000066</v>
      </c>
      <c r="K31" s="7" t="n">
        <f aca="false">SUM(K6:K30)</f>
        <v>159711.200000072</v>
      </c>
      <c r="L31" s="7" t="n">
        <f aca="false">SUM(L6:L30)</f>
        <v>164702.66383311</v>
      </c>
      <c r="M31" s="7" t="n">
        <f aca="false">SUM(M6:M30)</f>
        <v>141300.783620123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37</v>
      </c>
    </row>
    <row r="5" customFormat="false" ht="15" hidden="false" customHeight="false" outlineLevel="0" collapsed="false">
      <c r="A5" s="3" t="s">
        <v>65</v>
      </c>
      <c r="B5" s="5" t="n">
        <f aca="false">Cronograma_SIMULADO!D31</f>
        <v>145192.000000065</v>
      </c>
      <c r="C5" s="5" t="n">
        <f aca="false">B5-$B$5</f>
        <v>0</v>
      </c>
      <c r="D5" s="4" t="n">
        <f aca="false">C5/Premissas!$B$13</f>
        <v>0</v>
      </c>
      <c r="E5" s="4" t="n">
        <f aca="false">C5/Premissas!$B$14</f>
        <v>0</v>
      </c>
      <c r="F5" s="3" t="s">
        <v>82</v>
      </c>
    </row>
    <row r="6" customFormat="false" ht="15" hidden="false" customHeight="false" outlineLevel="0" collapsed="false">
      <c r="A6" s="3" t="s">
        <v>66</v>
      </c>
      <c r="B6" s="5" t="n">
        <f aca="false">Cronograma_SIMULADO!E31</f>
        <v>130571.956574955</v>
      </c>
      <c r="C6" s="5" t="n">
        <f aca="false">B6-$B$5</f>
        <v>-14620.04342511</v>
      </c>
      <c r="D6" s="4" t="n">
        <f aca="false">C6/Premissas!$B$13</f>
        <v>-0.714043634926008</v>
      </c>
      <c r="E6" s="4" t="n">
        <f aca="false">C6/Premissas!$B$14</f>
        <v>-0.464128362701905</v>
      </c>
      <c r="F6" s="3" t="s">
        <v>83</v>
      </c>
    </row>
    <row r="7" customFormat="false" ht="15" hidden="false" customHeight="false" outlineLevel="0" collapsed="false">
      <c r="A7" s="3" t="s">
        <v>67</v>
      </c>
      <c r="B7" s="5" t="n">
        <f aca="false">Cronograma_SIMULADO!F31</f>
        <v>161993.687923909</v>
      </c>
      <c r="C7" s="5" t="n">
        <f aca="false">B7-$B$5</f>
        <v>16801.6879238437</v>
      </c>
      <c r="D7" s="4" t="n">
        <f aca="false">C7/Premissas!$B$13</f>
        <v>0.820595258795783</v>
      </c>
      <c r="E7" s="4" t="n">
        <f aca="false">C7/Premissas!$B$14</f>
        <v>0.533386918217259</v>
      </c>
      <c r="F7" s="3" t="s">
        <v>83</v>
      </c>
    </row>
    <row r="8" customFormat="false" ht="15" hidden="false" customHeight="false" outlineLevel="0" collapsed="false">
      <c r="A8" s="3" t="s">
        <v>68</v>
      </c>
      <c r="B8" s="5" t="n">
        <f aca="false">Cronograma_SIMULADO!G31</f>
        <v>163031.710983973</v>
      </c>
      <c r="C8" s="5" t="n">
        <f aca="false">B8-$B$5</f>
        <v>17839.7109839085</v>
      </c>
      <c r="D8" s="4" t="n">
        <f aca="false">C8/Premissas!$B$13</f>
        <v>0.871292355746446</v>
      </c>
      <c r="E8" s="4" t="n">
        <f aca="false">C8/Premissas!$B$14</f>
        <v>0.56634003123519</v>
      </c>
      <c r="F8" s="3" t="s">
        <v>83</v>
      </c>
    </row>
    <row r="9" customFormat="false" ht="15" hidden="false" customHeight="false" outlineLevel="0" collapsed="false">
      <c r="A9" s="3" t="s">
        <v>69</v>
      </c>
      <c r="B9" s="5" t="n">
        <f aca="false">Cronograma_SIMULADO!H31</f>
        <v>129513.486058695</v>
      </c>
      <c r="C9" s="5" t="n">
        <f aca="false">B9-$B$5</f>
        <v>-15678.5139413702</v>
      </c>
      <c r="D9" s="4" t="n">
        <f aca="false">C9/Premissas!$B$13</f>
        <v>-0.765739386635908</v>
      </c>
      <c r="E9" s="4" t="n">
        <f aca="false">C9/Premissas!$B$14</f>
        <v>-0.49773060131334</v>
      </c>
      <c r="F9" s="3" t="s">
        <v>83</v>
      </c>
    </row>
    <row r="10" customFormat="false" ht="15" hidden="false" customHeight="false" outlineLevel="0" collapsed="false">
      <c r="A10" s="3" t="s">
        <v>70</v>
      </c>
      <c r="B10" s="5" t="n">
        <f aca="false">Cronograma_SIMULADO!I31</f>
        <v>182362.30994027</v>
      </c>
      <c r="C10" s="5" t="n">
        <f aca="false">B10-$B$5</f>
        <v>37170.3099402048</v>
      </c>
      <c r="D10" s="4" t="n">
        <f aca="false">C10/Premissas!$B$13</f>
        <v>1.81539975287935</v>
      </c>
      <c r="E10" s="4" t="n">
        <f aca="false">C10/Premissas!$B$14</f>
        <v>1.18000983937158</v>
      </c>
      <c r="F10" s="3" t="s">
        <v>84</v>
      </c>
    </row>
    <row r="11" customFormat="false" ht="15" hidden="false" customHeight="false" outlineLevel="0" collapsed="false">
      <c r="A11" s="3" t="s">
        <v>71</v>
      </c>
      <c r="B11" s="5" t="n">
        <f aca="false">Cronograma_SIMULADO!J31</f>
        <v>146643.920000066</v>
      </c>
      <c r="C11" s="5" t="n">
        <f aca="false">B11-$B$5</f>
        <v>1451.92000000065</v>
      </c>
      <c r="D11" s="4" t="n">
        <f aca="false">C11/Premissas!$B$13</f>
        <v>0.0709118437118756</v>
      </c>
      <c r="E11" s="4" t="n">
        <f aca="false">C11/Premissas!$B$14</f>
        <v>0.0460926984127191</v>
      </c>
      <c r="F11" s="3" t="s">
        <v>82</v>
      </c>
    </row>
    <row r="12" customFormat="false" ht="15" hidden="false" customHeight="false" outlineLevel="0" collapsed="false">
      <c r="A12" s="3" t="s">
        <v>72</v>
      </c>
      <c r="B12" s="5" t="n">
        <f aca="false">Cronograma_SIMULADO!K31</f>
        <v>159711.200000072</v>
      </c>
      <c r="C12" s="5" t="n">
        <f aca="false">B12-$B$5</f>
        <v>14519.2000000065</v>
      </c>
      <c r="D12" s="4" t="n">
        <f aca="false">C12/Premissas!$B$13</f>
        <v>0.709118437118755</v>
      </c>
      <c r="E12" s="4" t="n">
        <f aca="false">C12/Premissas!$B$14</f>
        <v>0.460926984127191</v>
      </c>
      <c r="F12" s="3" t="s">
        <v>83</v>
      </c>
    </row>
    <row r="13" customFormat="false" ht="15" hidden="false" customHeight="false" outlineLevel="0" collapsed="false">
      <c r="A13" s="3" t="s">
        <v>73</v>
      </c>
      <c r="B13" s="5" t="n">
        <f aca="false">Cronograma_SIMULADO!L31</f>
        <v>164702.66383311</v>
      </c>
      <c r="C13" s="5" t="n">
        <f aca="false">B13-$B$5</f>
        <v>19510.6638330451</v>
      </c>
      <c r="D13" s="4" t="n">
        <f aca="false">C13/Premissas!$B$13</f>
        <v>0.952901774507698</v>
      </c>
      <c r="E13" s="4" t="n">
        <f aca="false">C13/Premissas!$B$14</f>
        <v>0.619386153430004</v>
      </c>
      <c r="F13" s="3" t="s">
        <v>83</v>
      </c>
    </row>
    <row r="14" customFormat="false" ht="15" hidden="false" customHeight="false" outlineLevel="0" collapsed="false">
      <c r="A14" s="3" t="s">
        <v>74</v>
      </c>
      <c r="B14" s="5" t="n">
        <f aca="false">Cronograma_SIMULADO!M31</f>
        <v>141300.783620123</v>
      </c>
      <c r="C14" s="5" t="n">
        <f aca="false">B14-$B$5</f>
        <v>-3891.21637994229</v>
      </c>
      <c r="D14" s="4" t="n">
        <f aca="false">C14/Premissas!$B$13</f>
        <v>-0.190047198043579</v>
      </c>
      <c r="E14" s="4" t="n">
        <f aca="false">C14/Premissas!$B$14</f>
        <v>-0.123530678728327</v>
      </c>
      <c r="F14" s="3" t="s">
        <v>83</v>
      </c>
    </row>
    <row r="16" customFormat="false" ht="15" hidden="false" customHeight="false" outlineLevel="0" collapsed="false">
      <c r="A16" s="0" t="s">
        <v>85</v>
      </c>
    </row>
    <row r="17" customFormat="false" ht="15" hidden="false" customHeight="false" outlineLevel="0" collapsed="false">
      <c r="A1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2026-10-24T23:04:05Z</dcterms:created>
  <dc:creator>openpyxl</dc:creator>
  <dc:description/>
  <dc:language>en-US</dc:language>
  <cp:lastModifiedBy/>
  <dcterms:modified xsi:type="dcterms:W3CDTF">2026-10-24T23:04:05Z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