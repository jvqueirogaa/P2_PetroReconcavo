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T320_calcu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<sst xmlns="http://schemas.openxmlformats.org/spreadsheetml/2006/main" count="84" uniqueCount="76">
  <si>
    <t xml:space="preserve">PT 320 - Materialidade no planejamento e na execucao (NBC TA 320 (R1)) - R$ mil</t>
  </si>
  <si>
    <t xml:space="preserve">PetroReconcavo S.A. - DF consolidadas 31/12/2025 | Preparador: matricula 211059370 | 24/10/2026 | Revisao: ______ (nao preenchido)</t>
  </si>
  <si>
    <t xml:space="preserve">1. Dados dos referenciais (F01; F03)</t>
  </si>
  <si>
    <t xml:space="preserve">2025</t>
  </si>
  <si>
    <t xml:space="preserve">2024</t>
  </si>
  <si>
    <t xml:space="preserve">Var. %</t>
  </si>
  <si>
    <t xml:space="preserve">Fonte</t>
  </si>
  <si>
    <t xml:space="preserve">Receita liquida</t>
  </si>
  <si>
    <t xml:space="preserve">DRE consolidada, F01 p.52</t>
  </si>
  <si>
    <t xml:space="preserve">Lucro antes dos impostos (LAIR)</t>
  </si>
  <si>
    <t xml:space="preserve">  dos quais: resultado de instrumentos financeiros (swaps e collar)</t>
  </si>
  <si>
    <t xml:space="preserve">NE 20, F01 p.94</t>
  </si>
  <si>
    <t xml:space="preserve">Lucro bruto</t>
  </si>
  <si>
    <t xml:space="preserve">EBITDA (lucro operacional + D&amp;A)</t>
  </si>
  <si>
    <t xml:space="preserve">DIAG_RECV3.xlsx, aba Indicadores</t>
  </si>
  <si>
    <t xml:space="preserve">Ativo total</t>
  </si>
  <si>
    <t xml:space="preserve">BP consolidado, F01 p.51</t>
  </si>
  <si>
    <t xml:space="preserve">Patrimonio liquido</t>
  </si>
  <si>
    <t xml:space="preserve">2. Volatilidade do LAIR (item A5)</t>
  </si>
  <si>
    <t xml:space="preserve">Valor</t>
  </si>
  <si>
    <t xml:space="preserve">Leitura</t>
  </si>
  <si>
    <t xml:space="preserve">Variacao do LAIR 2025 x 2024</t>
  </si>
  <si>
    <t xml:space="preserve">LAIR mais que dobrou por efeito de swaps -&gt; referencial VOLATIL</t>
  </si>
  <si>
    <t xml:space="preserve">Variacao da receita liquida 2025 x 2024</t>
  </si>
  <si>
    <t xml:space="preserve">Receita estavel -&gt; referencial adequado (A5: "receita total")</t>
  </si>
  <si>
    <t xml:space="preserve">3. Referenciais testados (A5, A6, A8)</t>
  </si>
  <si>
    <t xml:space="preserve">Base</t>
  </si>
  <si>
    <t xml:space="preserve">% (A8 / julgamento)</t>
  </si>
  <si>
    <t xml:space="preserve">Resultado</t>
  </si>
  <si>
    <t xml:space="preserve">Uso</t>
  </si>
  <si>
    <t xml:space="preserve">Receita liquida 2025 (ESCOLHIDO - A5)</t>
  </si>
  <si>
    <t xml:space="preserve">Referencial escolhido: estavel; % do exemplo do A8 para receita total</t>
  </si>
  <si>
    <t xml:space="preserve">LAIR 2025 como divulgado</t>
  </si>
  <si>
    <t xml:space="preserve">Nao usado: volatil (A5); serve so de comparacao</t>
  </si>
  <si>
    <t xml:space="preserve">LAIR normalizado - media 2024-2025 (A6)</t>
  </si>
  <si>
    <t xml:space="preserve">Teste de razoabilidade (A6: valor normalizado com base em resultados anteriores)</t>
  </si>
  <si>
    <t xml:space="preserve">LAIR 2025 sem o resultado de swaps (A6)</t>
  </si>
  <si>
    <t xml:space="preserve">Teste de razoabilidade (exclui evento excepcional)</t>
  </si>
  <si>
    <t xml:space="preserve">Ativo total 2025 (A4 d - entidade com divida relevante)</t>
  </si>
  <si>
    <t xml:space="preserve">Teste de razoabilidade (% baixo; julgamento)</t>
  </si>
  <si>
    <t xml:space="preserve">4. Determinacao (itens 10, 11; A13; NBC TA 450 item 5/A2)</t>
  </si>
  <si>
    <t xml:space="preserve">% / regra</t>
  </si>
  <si>
    <t xml:space="preserve">Justificativa</t>
  </si>
  <si>
    <t xml:space="preserve">Materialidade calculada (1% da receita liquida)</t>
  </si>
  <si>
    <t xml:space="preserve">Item 10 e A5/A8</t>
  </si>
  <si>
    <t xml:space="preserve">MATERIALIDADE GLOBAL - MG (arredondada para baixo)</t>
  </si>
  <si>
    <t xml:space="preserve">Arredondamento conservador para multiplo de R$ 500 mil</t>
  </si>
  <si>
    <t xml:space="preserve">% da MG para execucao (julgamento - A13)</t>
  </si>
  <si>
    <t xml:space="preserve">Primeira auditoria; inconsistencias de divulgacao ja identificadas; risco significativo de impairment</t>
  </si>
  <si>
    <t xml:space="preserve">MATERIALIDADE PARA EXECUCAO - ME</t>
  </si>
  <si>
    <t xml:space="preserve">Item 11 / item 9 (definicao)</t>
  </si>
  <si>
    <t xml:space="preserve">% da MG para distorcoes claramente triviais (julgamento - NBC TA 450 A2)</t>
  </si>
  <si>
    <t xml:space="preserve">Magnitude "totalmente diferente (menor)" que a MG</t>
  </si>
  <si>
    <t xml:space="preserve">LIMITE DE DISTORCAO CLARAMENTE TRIVIAL</t>
  </si>
  <si>
    <t xml:space="preserve">NBC TA 450 item 5: acumular distorcoes acima deste valor</t>
  </si>
  <si>
    <t xml:space="preserve">5. Materialidade especifica (item 10; A11-A12)</t>
  </si>
  <si>
    <t xml:space="preserve">ME especifica</t>
  </si>
  <si>
    <t xml:space="preserve">Fundamento</t>
  </si>
  <si>
    <t xml:space="preserve">Remuneracao da administracao e transacoes com partes relacionadas</t>
  </si>
  <si>
    <t xml:space="preserve">A11 (1o topico): leis/regulamentos afetam expectativas dos usuarios; total da remuneracao R$ 30.694 mil (NE 16.2)</t>
  </si>
  <si>
    <t xml:space="preserve">Indices financeiros dos covenants (NE 9.3)</t>
  </si>
  <si>
    <t xml:space="preserve">qualitativa</t>
  </si>
  <si>
    <t xml:space="preserve">-</t>
  </si>
  <si>
    <t xml:space="preserve">Qualquer distorcao que altere o cumprimento de covenant e relevante independentemente do valor (A11; NBC TA 450 A21)</t>
  </si>
  <si>
    <t xml:space="preserve">Divulgacao da analise de sensibilidade da provisao para abandono (estimativa de alta incerteza)</t>
  </si>
  <si>
    <t xml:space="preserve">A11 (2o topico): analise de sensibilidade de estimativas com alta incerteza</t>
  </si>
  <si>
    <t xml:space="preserve">6. Reflexos nos outros PTs</t>
  </si>
  <si>
    <t xml:space="preserve">Onde</t>
  </si>
  <si>
    <t xml:space="preserve">Incorrecao toleravel do MUS do imobilizado (IT = ME)</t>
  </si>
  <si>
    <t xml:space="preserve">PT 530 e codigo/testes_auditoria_base.py (PARAM)</t>
  </si>
  <si>
    <t xml:space="preserve">Acumulacao de distorcoes (limite trivial)</t>
  </si>
  <si>
    <t xml:space="preserve">PT 450</t>
  </si>
  <si>
    <t xml:space="preserve">Limite de investigacao dos procedimentos analiticos (&lt;= ME)</t>
  </si>
  <si>
    <t xml:space="preserve">PT 520</t>
  </si>
  <si>
    <t xml:space="preserve">Item 12/13/A14: a MG foi calculada sobre valores REAIS do exercicio encerrado (DF publicada), nao sobre projecoes; revisar se surgirem informacoes que levariam a valor diferente.</t>
  </si>
  <si>
    <t xml:space="preserve">Classificacao: REALIZADO COM EVIDENCIA PUBLICA (calculo sobre a DF consolidada publicada).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</si>
</sst>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customFormat="false" ht="15" hidden="false" customHeight="false" outlineLevel="0" collapsed="false">
      <c r="A5" s="3" t="s">
        <v>7</v>
      </c>
      <c r="B5" s="4" t="n">
        <v>3157609</v>
      </c>
      <c r="C5" s="4" t="n">
        <v>3264554</v>
      </c>
      <c r="D5" s="5" t="n">
        <f aca="false">IFERROR(B5/C5-1,"")</f>
        <v>-0.0327594519802705</v>
      </c>
      <c r="E5" s="3" t="s">
        <v>8</v>
      </c>
    </row>
    <row r="6" customFormat="false" ht="15" hidden="false" customHeight="false" outlineLevel="0" collapsed="false">
      <c r="A6" s="3" t="s">
        <v>9</v>
      </c>
      <c r="B6" s="4" t="n">
        <v>776194</v>
      </c>
      <c r="C6" s="4" t="n">
        <v>363405</v>
      </c>
      <c r="D6" s="5" t="n">
        <f aca="false">IFERROR(B6/C6-1,"")</f>
        <v>1.13589246157868</v>
      </c>
      <c r="E6" s="3" t="s">
        <v>8</v>
      </c>
    </row>
    <row r="7" customFormat="false" ht="15" hidden="false" customHeight="false" outlineLevel="0" collapsed="false">
      <c r="A7" s="3" t="s">
        <v>10</v>
      </c>
      <c r="B7" s="4" t="n">
        <v>366796</v>
      </c>
      <c r="C7" s="4" t="n">
        <v>-368547</v>
      </c>
      <c r="D7" s="5" t="n">
        <f aca="false">IFERROR(B7/C7-1,"")</f>
        <v>-1.99524890990837</v>
      </c>
      <c r="E7" s="3" t="s">
        <v>11</v>
      </c>
    </row>
    <row r="8" customFormat="false" ht="15" hidden="false" customHeight="false" outlineLevel="0" collapsed="false">
      <c r="A8" s="3" t="s">
        <v>12</v>
      </c>
      <c r="B8" s="4" t="n">
        <v>1021436</v>
      </c>
      <c r="C8" s="4" t="n">
        <v>1191749</v>
      </c>
      <c r="D8" s="5" t="n">
        <f aca="false">IFERROR(B8/C8-1,"")</f>
        <v>-0.142910126209462</v>
      </c>
      <c r="E8" s="3" t="s">
        <v>8</v>
      </c>
    </row>
    <row r="9" customFormat="false" ht="15" hidden="false" customHeight="false" outlineLevel="0" collapsed="false">
      <c r="A9" s="3" t="s">
        <v>13</v>
      </c>
      <c r="B9" s="4" t="n">
        <v>1442656</v>
      </c>
      <c r="C9" s="4" t="n">
        <v>1643036</v>
      </c>
      <c r="D9" s="5" t="n">
        <f aca="false">IFERROR(B9/C9-1,"")</f>
        <v>-0.121957157359912</v>
      </c>
      <c r="E9" s="3" t="s">
        <v>14</v>
      </c>
    </row>
    <row r="10" customFormat="false" ht="15" hidden="false" customHeight="false" outlineLevel="0" collapsed="false">
      <c r="A10" s="3" t="s">
        <v>15</v>
      </c>
      <c r="B10" s="4" t="n">
        <v>8668015</v>
      </c>
      <c r="C10" s="4" t="n">
        <v>7437571</v>
      </c>
      <c r="D10" s="5" t="n">
        <f aca="false">IFERROR(B10/C10-1,"")</f>
        <v>0.165436269448722</v>
      </c>
      <c r="E10" s="3" t="s">
        <v>16</v>
      </c>
    </row>
    <row r="11" customFormat="false" ht="15" hidden="false" customHeight="false" outlineLevel="0" collapsed="false">
      <c r="A11" s="3" t="s">
        <v>17</v>
      </c>
      <c r="B11" s="4" t="n">
        <v>4330716</v>
      </c>
      <c r="C11" s="4" t="n">
        <v>4235277</v>
      </c>
      <c r="D11" s="5" t="n">
        <f aca="false">IFERROR(B11/C11-1,"")</f>
        <v>0.0225342994094602</v>
      </c>
      <c r="E11" s="3" t="s">
        <v>16</v>
      </c>
    </row>
    <row r="13" customFormat="false" ht="15" hidden="false" customHeight="false" outlineLevel="0" collapsed="false">
      <c r="A13" s="2" t="s">
        <v>18</v>
      </c>
      <c r="B13" s="2" t="s">
        <v>19</v>
      </c>
      <c r="C13" s="2"/>
      <c r="D13" s="2"/>
      <c r="E13" s="2" t="s">
        <v>20</v>
      </c>
    </row>
    <row r="14" customFormat="false" ht="15" hidden="false" customHeight="false" outlineLevel="0" collapsed="false">
      <c r="A14" s="3" t="s">
        <v>21</v>
      </c>
      <c r="B14" s="5" t="n">
        <f aca="false">B6/C6-1</f>
        <v>1.13589246157868</v>
      </c>
      <c r="C14" s="3"/>
      <c r="D14" s="3"/>
      <c r="E14" s="3" t="s">
        <v>22</v>
      </c>
    </row>
    <row r="15" customFormat="false" ht="15" hidden="false" customHeight="false" outlineLevel="0" collapsed="false">
      <c r="A15" s="3" t="s">
        <v>23</v>
      </c>
      <c r="B15" s="5" t="n">
        <f aca="false">B5/C5-1</f>
        <v>-0.0327594519802705</v>
      </c>
      <c r="C15" s="3"/>
      <c r="D15" s="3"/>
      <c r="E15" s="3" t="s">
        <v>24</v>
      </c>
    </row>
    <row r="17" customFormat="false" ht="28.35" hidden="false" customHeight="false" outlineLevel="0" collapsed="false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29</v>
      </c>
    </row>
    <row r="18" customFormat="false" ht="15" hidden="false" customHeight="false" outlineLevel="0" collapsed="false">
      <c r="A18" s="3" t="s">
        <v>30</v>
      </c>
      <c r="B18" s="4" t="n">
        <f aca="false">B5</f>
        <v>3157609</v>
      </c>
      <c r="C18" s="5" t="n">
        <v>0.01</v>
      </c>
      <c r="D18" s="4" t="n">
        <f aca="false">B18*C18</f>
        <v>31576.09</v>
      </c>
      <c r="E18" s="3" t="s">
        <v>31</v>
      </c>
    </row>
    <row r="19" customFormat="false" ht="15" hidden="false" customHeight="false" outlineLevel="0" collapsed="false">
      <c r="A19" s="3" t="s">
        <v>32</v>
      </c>
      <c r="B19" s="4" t="n">
        <f aca="false">B6</f>
        <v>776194</v>
      </c>
      <c r="C19" s="5" t="n">
        <v>0.05</v>
      </c>
      <c r="D19" s="4" t="n">
        <f aca="false">B19*C19</f>
        <v>38809.7</v>
      </c>
      <c r="E19" s="3" t="s">
        <v>33</v>
      </c>
    </row>
    <row r="20" customFormat="false" ht="15" hidden="false" customHeight="false" outlineLevel="0" collapsed="false">
      <c r="A20" s="3" t="s">
        <v>34</v>
      </c>
      <c r="B20" s="4" t="n">
        <f aca="false">(B6+C6)/2</f>
        <v>569799.5</v>
      </c>
      <c r="C20" s="5" t="n">
        <v>0.05</v>
      </c>
      <c r="D20" s="4" t="n">
        <f aca="false">B20*C20</f>
        <v>28489.975</v>
      </c>
      <c r="E20" s="3" t="s">
        <v>35</v>
      </c>
    </row>
    <row r="21" customFormat="false" ht="15" hidden="false" customHeight="false" outlineLevel="0" collapsed="false">
      <c r="A21" s="3" t="s">
        <v>36</v>
      </c>
      <c r="B21" s="4" t="n">
        <f aca="false">B6-B7</f>
        <v>409398</v>
      </c>
      <c r="C21" s="5" t="n">
        <v>0.05</v>
      </c>
      <c r="D21" s="4" t="n">
        <f aca="false">B21*C21</f>
        <v>20469.9</v>
      </c>
      <c r="E21" s="3" t="s">
        <v>37</v>
      </c>
    </row>
    <row r="22" customFormat="false" ht="15" hidden="false" customHeight="false" outlineLevel="0" collapsed="false">
      <c r="A22" s="3" t="s">
        <v>38</v>
      </c>
      <c r="B22" s="4" t="n">
        <f aca="false">B10</f>
        <v>8668015</v>
      </c>
      <c r="C22" s="5" t="n">
        <v>0.005</v>
      </c>
      <c r="D22" s="4" t="n">
        <f aca="false">B22*C22</f>
        <v>43340.075</v>
      </c>
      <c r="E22" s="3" t="s">
        <v>39</v>
      </c>
    </row>
    <row r="24" customFormat="false" ht="15" hidden="false" customHeight="false" outlineLevel="0" collapsed="false">
      <c r="A24" s="2" t="s">
        <v>40</v>
      </c>
      <c r="B24" s="2" t="s">
        <v>19</v>
      </c>
      <c r="C24" s="2" t="s">
        <v>41</v>
      </c>
      <c r="D24" s="2"/>
      <c r="E24" s="2" t="s">
        <v>42</v>
      </c>
    </row>
    <row r="25" customFormat="false" ht="15" hidden="false" customHeight="false" outlineLevel="0" collapsed="false">
      <c r="A25" s="3" t="s">
        <v>43</v>
      </c>
      <c r="B25" s="4" t="n">
        <f aca="false">D18</f>
        <v>31576.09</v>
      </c>
      <c r="C25" s="3"/>
      <c r="D25" s="3"/>
      <c r="E25" s="3" t="s">
        <v>44</v>
      </c>
    </row>
    <row r="26" customFormat="false" ht="15" hidden="false" customHeight="false" outlineLevel="0" collapsed="false">
      <c r="A26" s="3" t="s">
        <v>45</v>
      </c>
      <c r="B26" s="4" t="n">
        <f aca="false">FLOOR(B25,500)</f>
        <v>31500</v>
      </c>
      <c r="C26" s="3"/>
      <c r="D26" s="3"/>
      <c r="E26" s="3" t="s">
        <v>46</v>
      </c>
    </row>
    <row r="27" customFormat="false" ht="15" hidden="false" customHeight="false" outlineLevel="0" collapsed="false">
      <c r="A27" s="3" t="s">
        <v>47</v>
      </c>
      <c r="B27" s="5" t="n">
        <v>0.65</v>
      </c>
      <c r="C27" s="3"/>
      <c r="D27" s="3"/>
      <c r="E27" s="3" t="s">
        <v>48</v>
      </c>
    </row>
    <row r="28" customFormat="false" ht="15" hidden="false" customHeight="false" outlineLevel="0" collapsed="false">
      <c r="A28" s="3" t="s">
        <v>49</v>
      </c>
      <c r="B28" s="4" t="n">
        <f aca="false">B26*B27</f>
        <v>20475</v>
      </c>
      <c r="C28" s="3"/>
      <c r="D28" s="3"/>
      <c r="E28" s="3" t="s">
        <v>50</v>
      </c>
    </row>
    <row r="29" customFormat="false" ht="15" hidden="false" customHeight="false" outlineLevel="0" collapsed="false">
      <c r="A29" s="3" t="s">
        <v>51</v>
      </c>
      <c r="B29" s="5" t="n">
        <v>0.05</v>
      </c>
      <c r="C29" s="3"/>
      <c r="D29" s="3"/>
      <c r="E29" s="3" t="s">
        <v>52</v>
      </c>
    </row>
    <row r="30" customFormat="false" ht="15" hidden="false" customHeight="false" outlineLevel="0" collapsed="false">
      <c r="A30" s="3" t="s">
        <v>53</v>
      </c>
      <c r="B30" s="4" t="n">
        <f aca="false">B26*B29</f>
        <v>1575</v>
      </c>
      <c r="C30" s="3"/>
      <c r="D30" s="3"/>
      <c r="E30" s="3" t="s">
        <v>54</v>
      </c>
    </row>
    <row r="32" customFormat="false" ht="15" hidden="false" customHeight="false" outlineLevel="0" collapsed="false">
      <c r="A32" s="2" t="s">
        <v>55</v>
      </c>
      <c r="B32" s="2" t="s">
        <v>19</v>
      </c>
      <c r="C32" s="2" t="s">
        <v>56</v>
      </c>
      <c r="D32" s="2"/>
      <c r="E32" s="2" t="s">
        <v>57</v>
      </c>
    </row>
    <row r="33" customFormat="false" ht="15" hidden="false" customHeight="false" outlineLevel="0" collapsed="false">
      <c r="A33" s="3" t="s">
        <v>58</v>
      </c>
      <c r="B33" s="4" t="n">
        <v>1500</v>
      </c>
      <c r="C33" s="4" t="n">
        <f aca="false">B33*$B$27</f>
        <v>975</v>
      </c>
      <c r="D33" s="3"/>
      <c r="E33" s="3" t="s">
        <v>59</v>
      </c>
    </row>
    <row r="34" customFormat="false" ht="15" hidden="false" customHeight="false" outlineLevel="0" collapsed="false">
      <c r="A34" s="3" t="s">
        <v>60</v>
      </c>
      <c r="B34" s="3" t="s">
        <v>61</v>
      </c>
      <c r="C34" s="3" t="s">
        <v>62</v>
      </c>
      <c r="D34" s="3"/>
      <c r="E34" s="3" t="s">
        <v>63</v>
      </c>
    </row>
    <row r="35" customFormat="false" ht="15" hidden="false" customHeight="false" outlineLevel="0" collapsed="false">
      <c r="A35" s="3" t="s">
        <v>64</v>
      </c>
      <c r="B35" s="3" t="s">
        <v>61</v>
      </c>
      <c r="C35" s="3" t="s">
        <v>62</v>
      </c>
      <c r="D35" s="3"/>
      <c r="E35" s="3" t="s">
        <v>65</v>
      </c>
    </row>
    <row r="37" customFormat="false" ht="15" hidden="false" customHeight="false" outlineLevel="0" collapsed="false">
      <c r="A37" s="2" t="s">
        <v>66</v>
      </c>
      <c r="B37" s="2" t="s">
        <v>19</v>
      </c>
      <c r="C37" s="2"/>
      <c r="D37" s="2"/>
      <c r="E37" s="2" t="s">
        <v>67</v>
      </c>
    </row>
    <row r="38" customFormat="false" ht="15" hidden="false" customHeight="false" outlineLevel="0" collapsed="false">
      <c r="A38" s="3" t="s">
        <v>68</v>
      </c>
      <c r="B38" s="4" t="n">
        <f aca="false">B28</f>
        <v>20475</v>
      </c>
      <c r="C38" s="3"/>
      <c r="D38" s="3"/>
      <c r="E38" s="3" t="s">
        <v>69</v>
      </c>
    </row>
    <row r="39" customFormat="false" ht="15" hidden="false" customHeight="false" outlineLevel="0" collapsed="false">
      <c r="A39" s="3" t="s">
        <v>70</v>
      </c>
      <c r="B39" s="4" t="n">
        <f aca="false">B30</f>
        <v>1575</v>
      </c>
      <c r="C39" s="3"/>
      <c r="D39" s="3"/>
      <c r="E39" s="3" t="s">
        <v>71</v>
      </c>
    </row>
    <row r="40" customFormat="false" ht="15" hidden="false" customHeight="false" outlineLevel="0" collapsed="false">
      <c r="A40" s="3" t="s">
        <v>72</v>
      </c>
      <c r="B40" s="4" t="n">
        <f aca="false">B28</f>
        <v>20475</v>
      </c>
      <c r="C40" s="3"/>
      <c r="D40" s="3"/>
      <c r="E40" s="3" t="s">
        <v>73</v>
      </c>
    </row>
    <row r="42" customFormat="false" ht="15" hidden="false" customHeight="false" outlineLevel="0" collapsed="false">
      <c r="A42" s="0" t="s">
        <v>74</v>
      </c>
    </row>
    <row r="43" customFormat="false" ht="15" hidden="false" customHeight="false" outlineLevel="0" collapsed="false">
      <c r="A43" s="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2026-10-24T23:04:06Z</dcterms:created>
  <dc:creator>openpyxl</dc:creator>
  <dc:description/>
  <dc:language>en-US</dc:language>
  <cp:lastModifiedBy/>
  <dcterms:modified xsi:type="dcterms:W3CDTF">2026-10-24T23:04:06Z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