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testes_populacao" sheetId="1" state="visible" r:id="rId1"/>
    <sheet xmlns:r="http://schemas.openxmlformats.org/officeDocument/2006/relationships" name="Excecoes_detalhe" sheetId="2" state="visible" r:id="rId2"/>
    <sheet xmlns:r="http://schemas.openxmlformats.org/officeDocument/2006/relationships" name="MUS_parametros" sheetId="3" state="visible" r:id="rId3"/>
    <sheet xmlns:r="http://schemas.openxmlformats.org/officeDocument/2006/relationships" name="MUS_amostra" sheetId="4" state="visible" r:id="rId4"/>
    <sheet xmlns:r="http://schemas.openxmlformats.org/officeDocument/2006/relationships" name="MUS_avaliacao" sheetId="5" state="visible" r:id="rId5"/>
    <sheet xmlns:r="http://schemas.openxmlformats.org/officeDocument/2006/relationships" name="Inseridos_x_detect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9C570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30" customWidth="1" min="4" max="4"/>
    <col width="26" customWidth="1" min="5" max="5"/>
  </cols>
  <sheetData>
    <row r="1">
      <c r="A1" s="1" t="inlineStr">
        <is>
          <t>Testes em 100% da populacao (T01-T10) - resumo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Teste</t>
        </is>
      </c>
      <c r="B4" s="3" t="inlineStr">
        <is>
          <t>Qtd. excecoes</t>
        </is>
      </c>
      <c r="C4" s="3" t="inlineStr">
        <is>
          <t>Valor em risco (R$)</t>
        </is>
      </c>
      <c r="D4" s="3" t="inlineStr">
        <is>
          <t>Afirmacao</t>
        </is>
      </c>
      <c r="E4" s="3" t="inlineStr">
        <is>
          <t>Norma</t>
        </is>
      </c>
    </row>
    <row r="5">
      <c r="A5" s="4" t="inlineStr">
        <is>
          <t>T01_DUPLICIDADE</t>
        </is>
      </c>
      <c r="B5" s="4" t="n">
        <v>160</v>
      </c>
      <c r="C5" s="5" t="n">
        <v>6737989.18</v>
      </c>
      <c r="D5" s="4" t="inlineStr">
        <is>
          <t>Existencia</t>
        </is>
      </c>
      <c r="E5" s="4" t="inlineStr">
        <is>
          <t>NBC TA 500 / 240</t>
        </is>
      </c>
    </row>
    <row r="6">
      <c r="A6" s="4" t="inlineStr">
        <is>
          <t>T02_CORTE</t>
        </is>
      </c>
      <c r="B6" s="4" t="n">
        <v>46</v>
      </c>
      <c r="C6" s="5" t="n">
        <v>2502284.36</v>
      </c>
      <c r="D6" s="4" t="inlineStr">
        <is>
          <t>Existencia / corte</t>
        </is>
      </c>
      <c r="E6" s="4" t="inlineStr">
        <is>
          <t>NBC TA 500 / 330</t>
        </is>
      </c>
    </row>
    <row r="7">
      <c r="A7" s="4" t="inlineStr">
        <is>
          <t>T03_VCL_NEGATIVO</t>
        </is>
      </c>
      <c r="B7" s="4" t="n">
        <v>40</v>
      </c>
      <c r="C7" s="5" t="n">
        <v>-530782.38</v>
      </c>
      <c r="D7" s="4" t="inlineStr">
        <is>
          <t>Avaliacao</t>
        </is>
      </c>
      <c r="E7" s="4" t="inlineStr">
        <is>
          <t>NBC TA 500 / 520</t>
        </is>
      </c>
    </row>
    <row r="8">
      <c r="A8" s="4" t="inlineStr">
        <is>
          <t>T04_RECALCULO_DEPRECIACAO</t>
        </is>
      </c>
      <c r="B8" s="4" t="n">
        <v>115</v>
      </c>
      <c r="C8" s="5" t="n">
        <v>-444915.66</v>
      </c>
      <c r="D8" s="4" t="inlineStr">
        <is>
          <t>Avaliacao (exatidao)</t>
        </is>
      </c>
      <c r="E8" s="4" t="inlineStr">
        <is>
          <t>NBC TA 500 A21 (recalculo)</t>
        </is>
      </c>
    </row>
    <row r="9">
      <c r="A9" s="4" t="inlineStr">
        <is>
          <t>T05_BAIXADO_COM_SALDO</t>
        </is>
      </c>
      <c r="B9" s="4" t="n">
        <v>63</v>
      </c>
      <c r="C9" s="5" t="n">
        <v>2553787.67</v>
      </c>
      <c r="D9" s="4" t="inlineStr">
        <is>
          <t>Existencia</t>
        </is>
      </c>
      <c r="E9" s="4" t="inlineStr">
        <is>
          <t>NBC TA 500</t>
        </is>
      </c>
    </row>
    <row r="10">
      <c r="A10" s="4" t="inlineStr">
        <is>
          <t>T06_ALMOX_SEM_MOVIMENTO_5A</t>
        </is>
      </c>
      <c r="B10" s="4" t="n">
        <v>95</v>
      </c>
      <c r="C10" s="5" t="n">
        <v>281273.7</v>
      </c>
      <c r="D10" s="4" t="inlineStr">
        <is>
          <t>Avaliacao (recuperabilidade)</t>
        </is>
      </c>
      <c r="E10" s="4" t="inlineStr">
        <is>
          <t>NBC TA 540 / 501</t>
        </is>
      </c>
    </row>
    <row r="11">
      <c r="A11" s="4" t="inlineStr">
        <is>
          <t>T07_MAKER_CHECKER</t>
        </is>
      </c>
      <c r="B11" s="4" t="n">
        <v>627</v>
      </c>
      <c r="C11" s="5" t="n">
        <v>0</v>
      </c>
      <c r="D11" s="4" t="inlineStr">
        <is>
          <t>Controle - segregacao</t>
        </is>
      </c>
      <c r="E11" s="4" t="inlineStr">
        <is>
          <t>NBC TA 315 / 265</t>
        </is>
      </c>
    </row>
    <row r="12">
      <c r="A12" s="4" t="inlineStr">
        <is>
          <t>T08_CAMPO_NAO_CADASTRADO</t>
        </is>
      </c>
      <c r="B12" s="4" t="n">
        <v>35</v>
      </c>
      <c r="C12" s="5" t="n">
        <v>1234406.07</v>
      </c>
      <c r="D12" s="4" t="inlineStr">
        <is>
          <t>Existencia / classificacao</t>
        </is>
      </c>
      <c r="E12" s="4" t="inlineStr">
        <is>
          <t>NBC TA 500 / 240</t>
        </is>
      </c>
    </row>
    <row r="13">
      <c r="A13" s="4" t="inlineStr">
        <is>
          <t>T09_ANDAMENTO_PARADO_2A</t>
        </is>
      </c>
      <c r="B13" s="4" t="n">
        <v>45</v>
      </c>
      <c r="C13" s="5" t="n">
        <v>1134209.97</v>
      </c>
      <c r="D13" s="4" t="inlineStr">
        <is>
          <t>Avaliacao / classificacao</t>
        </is>
      </c>
      <c r="E13" s="4" t="inlineStr">
        <is>
          <t>NBC TA 540</t>
        </is>
      </c>
    </row>
    <row r="14">
      <c r="A14" s="4" t="inlineStr">
        <is>
          <t>T10_DATA_ANTERIOR_CONSTITUICAO</t>
        </is>
      </c>
      <c r="B14" s="4" t="n">
        <v>30</v>
      </c>
      <c r="C14" s="5" t="n">
        <v>0</v>
      </c>
      <c r="D14" s="4" t="inlineStr">
        <is>
          <t>Integridade cadastral</t>
        </is>
      </c>
      <c r="E14" s="4" t="inlineStr">
        <is>
          <t>NBC TA 500 (confiabilidade dos dados)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8" customWidth="1" min="4" max="4"/>
    <col width="18" customWidth="1" min="5" max="5"/>
    <col width="70" customWidth="1" min="6" max="6"/>
  </cols>
  <sheetData>
    <row r="1">
      <c r="A1" s="1" t="inlineStr">
        <is>
          <t>Detalhe das excecoes (todas)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teste</t>
        </is>
      </c>
      <c r="B4" s="3" t="inlineStr">
        <is>
          <t>id_registro</t>
        </is>
      </c>
      <c r="C4" s="3" t="inlineStr">
        <is>
          <t>classe_ne7</t>
        </is>
      </c>
      <c r="D4" s="3" t="inlineStr">
        <is>
          <t>valor_contabil_liquido</t>
        </is>
      </c>
      <c r="E4" s="3" t="inlineStr">
        <is>
          <t>valor_em_risco</t>
        </is>
      </c>
      <c r="F4" s="3" t="inlineStr">
        <is>
          <t>detalhe</t>
        </is>
      </c>
    </row>
    <row r="5">
      <c r="A5" s="4" t="inlineStr">
        <is>
          <t>T01_DUPLICIDADE</t>
        </is>
      </c>
      <c r="B5" s="4" t="inlineStr">
        <is>
          <t>IMB-0143037</t>
        </is>
      </c>
      <c r="C5" s="4" t="inlineStr">
        <is>
          <t>ALMOXARIFADO_INVERSOES_FIXAS</t>
        </is>
      </c>
      <c r="D5" s="5" t="n">
        <v>1012.46</v>
      </c>
      <c r="E5" s="5" t="n">
        <v>1012.46</v>
      </c>
      <c r="F5" s="4" t="inlineStr">
        <is>
          <t>Mesmo documento/fornecedor/valor/data de outro registro (cadastro posterior)</t>
        </is>
      </c>
    </row>
    <row r="6">
      <c r="A6" s="4" t="inlineStr">
        <is>
          <t>T01_DUPLICIDADE</t>
        </is>
      </c>
      <c r="B6" s="4" t="inlineStr">
        <is>
          <t>IMB-0254231</t>
        </is>
      </c>
      <c r="C6" s="4" t="inlineStr">
        <is>
          <t>ALMOXARIFADO_INVERSOES_FIXAS</t>
        </is>
      </c>
      <c r="D6" s="5" t="n">
        <v>3074.45</v>
      </c>
      <c r="E6" s="5" t="n">
        <v>3074.45</v>
      </c>
      <c r="F6" s="4" t="inlineStr">
        <is>
          <t>Mesmo documento/fornecedor/valor/data de outro registro (cadastro posterior)</t>
        </is>
      </c>
    </row>
    <row r="7">
      <c r="A7" s="4" t="inlineStr">
        <is>
          <t>T01_DUPLICIDADE</t>
        </is>
      </c>
      <c r="B7" s="4" t="inlineStr">
        <is>
          <t>IMB-0504710</t>
        </is>
      </c>
      <c r="C7" s="4" t="inlineStr">
        <is>
          <t>ALMOXARIFADO_INVERSOES_FIXAS</t>
        </is>
      </c>
      <c r="D7" s="5" t="n">
        <v>3901.8</v>
      </c>
      <c r="E7" s="5" t="n">
        <v>3901.8</v>
      </c>
      <c r="F7" s="4" t="inlineStr">
        <is>
          <t>Mesmo documento/fornecedor/valor/data de outro registro (cadastro posterior)</t>
        </is>
      </c>
    </row>
    <row r="8">
      <c r="A8" s="4" t="inlineStr">
        <is>
          <t>T01_DUPLICIDADE</t>
        </is>
      </c>
      <c r="B8" s="4" t="inlineStr">
        <is>
          <t>IMB-0069260</t>
        </is>
      </c>
      <c r="C8" s="4" t="inlineStr">
        <is>
          <t>ALMOXARIFADO_INVERSOES_FIXAS</t>
        </is>
      </c>
      <c r="D8" s="5" t="n">
        <v>1174.27</v>
      </c>
      <c r="E8" s="5" t="n">
        <v>1174.27</v>
      </c>
      <c r="F8" s="4" t="inlineStr">
        <is>
          <t>Mesmo documento/fornecedor/valor/data de outro registro (cadastro posterior)</t>
        </is>
      </c>
    </row>
    <row r="9">
      <c r="A9" s="4" t="inlineStr">
        <is>
          <t>T01_DUPLICIDADE</t>
        </is>
      </c>
      <c r="B9" s="4" t="inlineStr">
        <is>
          <t>IMB-0095632</t>
        </is>
      </c>
      <c r="C9" s="4" t="inlineStr">
        <is>
          <t>ALMOXARIFADO_INVERSOES_FIXAS</t>
        </is>
      </c>
      <c r="D9" s="5" t="n">
        <v>19036.91</v>
      </c>
      <c r="E9" s="5" t="n">
        <v>19036.91</v>
      </c>
      <c r="F9" s="4" t="inlineStr">
        <is>
          <t>Mesmo documento/fornecedor/valor/data de outro registro (cadastro posterior)</t>
        </is>
      </c>
    </row>
    <row r="10">
      <c r="A10" s="4" t="inlineStr">
        <is>
          <t>T01_DUPLICIDADE</t>
        </is>
      </c>
      <c r="B10" s="4" t="inlineStr">
        <is>
          <t>IMB-0094369</t>
        </is>
      </c>
      <c r="C10" s="4" t="inlineStr">
        <is>
          <t>ALMOXARIFADO_INVERSOES_FIXAS</t>
        </is>
      </c>
      <c r="D10" s="5" t="n">
        <v>919.05</v>
      </c>
      <c r="E10" s="5" t="n">
        <v>919.05</v>
      </c>
      <c r="F10" s="4" t="inlineStr">
        <is>
          <t>Mesmo documento/fornecedor/valor/data de outro registro (cadastro posterior)</t>
        </is>
      </c>
    </row>
    <row r="11">
      <c r="A11" s="4" t="inlineStr">
        <is>
          <t>T01_DUPLICIDADE</t>
        </is>
      </c>
      <c r="B11" s="4" t="inlineStr">
        <is>
          <t>IMB-0031758</t>
        </is>
      </c>
      <c r="C11" s="4" t="inlineStr">
        <is>
          <t>ALMOXARIFADO_INVERSOES_FIXAS</t>
        </is>
      </c>
      <c r="D11" s="5" t="n">
        <v>1716.9</v>
      </c>
      <c r="E11" s="5" t="n">
        <v>1716.9</v>
      </c>
      <c r="F11" s="4" t="inlineStr">
        <is>
          <t>Mesmo documento/fornecedor/valor/data de outro registro (cadastro posterior)</t>
        </is>
      </c>
    </row>
    <row r="12">
      <c r="A12" s="4" t="inlineStr">
        <is>
          <t>T01_DUPLICIDADE</t>
        </is>
      </c>
      <c r="B12" s="4" t="inlineStr">
        <is>
          <t>IMB-0022000</t>
        </is>
      </c>
      <c r="C12" s="4" t="inlineStr">
        <is>
          <t>ALMOXARIFADO_INVERSOES_FIXAS</t>
        </is>
      </c>
      <c r="D12" s="5" t="n">
        <v>368.52</v>
      </c>
      <c r="E12" s="5" t="n">
        <v>368.52</v>
      </c>
      <c r="F12" s="4" t="inlineStr">
        <is>
          <t>Mesmo documento/fornecedor/valor/data de outro registro (cadastro posterior)</t>
        </is>
      </c>
    </row>
    <row r="13">
      <c r="A13" s="4" t="inlineStr">
        <is>
          <t>T01_DUPLICIDADE</t>
        </is>
      </c>
      <c r="B13" s="4" t="inlineStr">
        <is>
          <t>IMB-0383385</t>
        </is>
      </c>
      <c r="C13" s="4" t="inlineStr">
        <is>
          <t>ALMOXARIFADO_INVERSOES_FIXAS</t>
        </is>
      </c>
      <c r="D13" s="5" t="n">
        <v>2258.15</v>
      </c>
      <c r="E13" s="5" t="n">
        <v>2258.15</v>
      </c>
      <c r="F13" s="4" t="inlineStr">
        <is>
          <t>Mesmo documento/fornecedor/valor/data de outro registro (cadastro posterior)</t>
        </is>
      </c>
    </row>
    <row r="14">
      <c r="A14" s="4" t="inlineStr">
        <is>
          <t>T01_DUPLICIDADE</t>
        </is>
      </c>
      <c r="B14" s="4" t="inlineStr">
        <is>
          <t>IMB-0381741</t>
        </is>
      </c>
      <c r="C14" s="4" t="inlineStr">
        <is>
          <t>ALMOXARIFADO_INVERSOES_FIXAS</t>
        </is>
      </c>
      <c r="D14" s="5" t="n">
        <v>64351.15</v>
      </c>
      <c r="E14" s="5" t="n">
        <v>64351.15</v>
      </c>
      <c r="F14" s="4" t="inlineStr">
        <is>
          <t>Mesmo documento/fornecedor/valor/data de outro registro (cadastro posterior)</t>
        </is>
      </c>
    </row>
    <row r="15">
      <c r="A15" s="4" t="inlineStr">
        <is>
          <t>T01_DUPLICIDADE</t>
        </is>
      </c>
      <c r="B15" s="4" t="inlineStr">
        <is>
          <t>IMB-0481420</t>
        </is>
      </c>
      <c r="C15" s="4" t="inlineStr">
        <is>
          <t>ALMOXARIFADO_INVERSOES_FIXAS</t>
        </is>
      </c>
      <c r="D15" s="5" t="n">
        <v>1618.49</v>
      </c>
      <c r="E15" s="5" t="n">
        <v>1618.49</v>
      </c>
      <c r="F15" s="4" t="inlineStr">
        <is>
          <t>Mesmo documento/fornecedor/valor/data de outro registro (cadastro posterior)</t>
        </is>
      </c>
    </row>
    <row r="16">
      <c r="A16" s="4" t="inlineStr">
        <is>
          <t>T01_DUPLICIDADE</t>
        </is>
      </c>
      <c r="B16" s="4" t="inlineStr">
        <is>
          <t>IMB-0280601</t>
        </is>
      </c>
      <c r="C16" s="4" t="inlineStr">
        <is>
          <t>ALMOXARIFADO_INVERSOES_FIXAS</t>
        </is>
      </c>
      <c r="D16" s="5" t="n">
        <v>674.63</v>
      </c>
      <c r="E16" s="5" t="n">
        <v>674.63</v>
      </c>
      <c r="F16" s="4" t="inlineStr">
        <is>
          <t>Mesmo documento/fornecedor/valor/data de outro registro (cadastro posterior)</t>
        </is>
      </c>
    </row>
    <row r="17">
      <c r="A17" s="4" t="inlineStr">
        <is>
          <t>T01_DUPLICIDADE</t>
        </is>
      </c>
      <c r="B17" s="4" t="inlineStr">
        <is>
          <t>IMB-0246207</t>
        </is>
      </c>
      <c r="C17" s="4" t="inlineStr">
        <is>
          <t>ALMOXARIFADO_INVERSOES_FIXAS</t>
        </is>
      </c>
      <c r="D17" s="5" t="n">
        <v>5046.98</v>
      </c>
      <c r="E17" s="5" t="n">
        <v>5046.98</v>
      </c>
      <c r="F17" s="4" t="inlineStr">
        <is>
          <t>Mesmo documento/fornecedor/valor/data de outro registro (cadastro posterior)</t>
        </is>
      </c>
    </row>
    <row r="18">
      <c r="A18" s="4" t="inlineStr">
        <is>
          <t>T01_DUPLICIDADE</t>
        </is>
      </c>
      <c r="B18" s="4" t="inlineStr">
        <is>
          <t>IMB-0073370</t>
        </is>
      </c>
      <c r="C18" s="4" t="inlineStr">
        <is>
          <t>ALMOXARIFADO_INVERSOES_FIXAS</t>
        </is>
      </c>
      <c r="D18" s="5" t="n">
        <v>5020.96</v>
      </c>
      <c r="E18" s="5" t="n">
        <v>5020.96</v>
      </c>
      <c r="F18" s="4" t="inlineStr">
        <is>
          <t>Mesmo documento/fornecedor/valor/data de outro registro (cadastro posterior)</t>
        </is>
      </c>
    </row>
    <row r="19">
      <c r="A19" s="4" t="inlineStr">
        <is>
          <t>T01_DUPLICIDADE</t>
        </is>
      </c>
      <c r="B19" s="4" t="inlineStr">
        <is>
          <t>IMB-0053686</t>
        </is>
      </c>
      <c r="C19" s="4" t="inlineStr">
        <is>
          <t>ALMOXARIFADO_INVERSOES_FIXAS</t>
        </is>
      </c>
      <c r="D19" s="5" t="n">
        <v>9803.299999999999</v>
      </c>
      <c r="E19" s="5" t="n">
        <v>9803.299999999999</v>
      </c>
      <c r="F19" s="4" t="inlineStr">
        <is>
          <t>Mesmo documento/fornecedor/valor/data de outro registro (cadastro posterior)</t>
        </is>
      </c>
    </row>
    <row r="20">
      <c r="A20" s="4" t="inlineStr">
        <is>
          <t>T01_DUPLICIDADE</t>
        </is>
      </c>
      <c r="B20" s="4" t="inlineStr">
        <is>
          <t>IMB-0403959</t>
        </is>
      </c>
      <c r="C20" s="4" t="inlineStr">
        <is>
          <t>ALMOXARIFADO_INVERSOES_FIXAS</t>
        </is>
      </c>
      <c r="D20" s="5" t="n">
        <v>620.71</v>
      </c>
      <c r="E20" s="5" t="n">
        <v>620.71</v>
      </c>
      <c r="F20" s="4" t="inlineStr">
        <is>
          <t>Mesmo documento/fornecedor/valor/data de outro registro (cadastro posterior)</t>
        </is>
      </c>
    </row>
    <row r="21">
      <c r="A21" s="4" t="inlineStr">
        <is>
          <t>T01_DUPLICIDADE</t>
        </is>
      </c>
      <c r="B21" s="4" t="inlineStr">
        <is>
          <t>IMB-0232081</t>
        </is>
      </c>
      <c r="C21" s="4" t="inlineStr">
        <is>
          <t>ALMOXARIFADO_INVERSOES_FIXAS</t>
        </is>
      </c>
      <c r="D21" s="5" t="n">
        <v>24.32</v>
      </c>
      <c r="E21" s="5" t="n">
        <v>24.32</v>
      </c>
      <c r="F21" s="4" t="inlineStr">
        <is>
          <t>Mesmo documento/fornecedor/valor/data de outro registro (cadastro posterior)</t>
        </is>
      </c>
    </row>
    <row r="22">
      <c r="A22" s="4" t="inlineStr">
        <is>
          <t>T01_DUPLICIDADE</t>
        </is>
      </c>
      <c r="B22" s="4" t="inlineStr">
        <is>
          <t>IMB-0472071</t>
        </is>
      </c>
      <c r="C22" s="4" t="inlineStr">
        <is>
          <t>ALMOXARIFADO_INVERSOES_FIXAS</t>
        </is>
      </c>
      <c r="D22" s="5" t="n">
        <v>4556.79</v>
      </c>
      <c r="E22" s="5" t="n">
        <v>4556.79</v>
      </c>
      <c r="F22" s="4" t="inlineStr">
        <is>
          <t>Mesmo documento/fornecedor/valor/data de outro registro (cadastro posterior)</t>
        </is>
      </c>
    </row>
    <row r="23">
      <c r="A23" s="4" t="inlineStr">
        <is>
          <t>T01_DUPLICIDADE</t>
        </is>
      </c>
      <c r="B23" s="4" t="inlineStr">
        <is>
          <t>IMB-0139900</t>
        </is>
      </c>
      <c r="C23" s="4" t="inlineStr">
        <is>
          <t>ALMOXARIFADO_INVERSOES_FIXAS</t>
        </is>
      </c>
      <c r="D23" s="5" t="n">
        <v>1260.75</v>
      </c>
      <c r="E23" s="5" t="n">
        <v>1260.75</v>
      </c>
      <c r="F23" s="4" t="inlineStr">
        <is>
          <t>Mesmo documento/fornecedor/valor/data de outro registro (cadastro posterior)</t>
        </is>
      </c>
    </row>
    <row r="24">
      <c r="A24" s="4" t="inlineStr">
        <is>
          <t>T01_DUPLICIDADE</t>
        </is>
      </c>
      <c r="B24" s="4" t="inlineStr">
        <is>
          <t>IMB-0431287</t>
        </is>
      </c>
      <c r="C24" s="4" t="inlineStr">
        <is>
          <t>ALMOXARIFADO_INVERSOES_FIXAS</t>
        </is>
      </c>
      <c r="D24" s="5" t="n">
        <v>646.73</v>
      </c>
      <c r="E24" s="5" t="n">
        <v>646.73</v>
      </c>
      <c r="F24" s="4" t="inlineStr">
        <is>
          <t>Mesmo documento/fornecedor/valor/data de outro registro (cadastro posterior)</t>
        </is>
      </c>
    </row>
    <row r="25">
      <c r="A25" s="4" t="inlineStr">
        <is>
          <t>T01_DUPLICIDADE</t>
        </is>
      </c>
      <c r="B25" s="4" t="inlineStr">
        <is>
          <t>IMB-0069487</t>
        </is>
      </c>
      <c r="C25" s="4" t="inlineStr">
        <is>
          <t>ALMOXARIFADO_INVERSOES_FIXAS</t>
        </is>
      </c>
      <c r="D25" s="5" t="n">
        <v>1210.71</v>
      </c>
      <c r="E25" s="5" t="n">
        <v>1210.71</v>
      </c>
      <c r="F25" s="4" t="inlineStr">
        <is>
          <t>Mesmo documento/fornecedor/valor/data de outro registro (cadastro posterior)</t>
        </is>
      </c>
    </row>
    <row r="26">
      <c r="A26" s="4" t="inlineStr">
        <is>
          <t>T01_DUPLICIDADE</t>
        </is>
      </c>
      <c r="B26" s="4" t="inlineStr">
        <is>
          <t>IMB-0220192</t>
        </is>
      </c>
      <c r="C26" s="4" t="inlineStr">
        <is>
          <t>ALMOXARIFADO_INVERSOES_FIXAS</t>
        </is>
      </c>
      <c r="D26" s="5" t="n">
        <v>2656.33</v>
      </c>
      <c r="E26" s="5" t="n">
        <v>2656.33</v>
      </c>
      <c r="F26" s="4" t="inlineStr">
        <is>
          <t>Mesmo documento/fornecedor/valor/data de outro registro (cadastro posterior)</t>
        </is>
      </c>
    </row>
    <row r="27">
      <c r="A27" s="4" t="inlineStr">
        <is>
          <t>T01_DUPLICIDADE</t>
        </is>
      </c>
      <c r="B27" s="4" t="inlineStr">
        <is>
          <t>IMB-0250428</t>
        </is>
      </c>
      <c r="C27" s="4" t="inlineStr">
        <is>
          <t>ALMOXARIFADO_INVERSOES_FIXAS</t>
        </is>
      </c>
      <c r="D27" s="5" t="n">
        <v>2891.44</v>
      </c>
      <c r="E27" s="5" t="n">
        <v>2891.44</v>
      </c>
      <c r="F27" s="4" t="inlineStr">
        <is>
          <t>Mesmo documento/fornecedor/valor/data de outro registro (cadastro posterior)</t>
        </is>
      </c>
    </row>
    <row r="28">
      <c r="A28" s="4" t="inlineStr">
        <is>
          <t>T01_DUPLICIDADE</t>
        </is>
      </c>
      <c r="B28" s="4" t="inlineStr">
        <is>
          <t>IMB-0133100</t>
        </is>
      </c>
      <c r="C28" s="4" t="inlineStr">
        <is>
          <t>ALMOXARIFADO_INVERSOES_FIXAS</t>
        </is>
      </c>
      <c r="D28" s="5" t="n">
        <v>240.38</v>
      </c>
      <c r="E28" s="5" t="n">
        <v>240.38</v>
      </c>
      <c r="F28" s="4" t="inlineStr">
        <is>
          <t>Mesmo documento/fornecedor/valor/data de outro registro (cadastro posterior)</t>
        </is>
      </c>
    </row>
    <row r="29">
      <c r="A29" s="4" t="inlineStr">
        <is>
          <t>T01_DUPLICIDADE</t>
        </is>
      </c>
      <c r="B29" s="4" t="inlineStr">
        <is>
          <t>IMB-0367546</t>
        </is>
      </c>
      <c r="C29" s="4" t="inlineStr">
        <is>
          <t>ALMOXARIFADO_INVERSOES_FIXAS</t>
        </is>
      </c>
      <c r="D29" s="5" t="n">
        <v>5191.32</v>
      </c>
      <c r="E29" s="5" t="n">
        <v>5191.32</v>
      </c>
      <c r="F29" s="4" t="inlineStr">
        <is>
          <t>Mesmo documento/fornecedor/valor/data de outro registro (cadastro posterior)</t>
        </is>
      </c>
    </row>
    <row r="30">
      <c r="A30" s="4" t="inlineStr">
        <is>
          <t>T01_DUPLICIDADE</t>
        </is>
      </c>
      <c r="B30" s="4" t="inlineStr">
        <is>
          <t>IMB-0167410</t>
        </is>
      </c>
      <c r="C30" s="4" t="inlineStr">
        <is>
          <t>ALMOXARIFADO_INVERSOES_FIXAS</t>
        </is>
      </c>
      <c r="D30" s="5" t="n">
        <v>4232.98</v>
      </c>
      <c r="E30" s="5" t="n">
        <v>4232.98</v>
      </c>
      <c r="F30" s="4" t="inlineStr">
        <is>
          <t>Mesmo documento/fornecedor/valor/data de outro registro (cadastro posterior)</t>
        </is>
      </c>
    </row>
    <row r="31">
      <c r="A31" s="4" t="inlineStr">
        <is>
          <t>T01_DUPLICIDADE</t>
        </is>
      </c>
      <c r="B31" s="4" t="inlineStr">
        <is>
          <t>IMB-0397007</t>
        </is>
      </c>
      <c r="C31" s="4" t="inlineStr">
        <is>
          <t>ALMOXARIFADO_INVERSOES_FIXAS</t>
        </is>
      </c>
      <c r="D31" s="5" t="n">
        <v>12066.43</v>
      </c>
      <c r="E31" s="5" t="n">
        <v>12066.43</v>
      </c>
      <c r="F31" s="4" t="inlineStr">
        <is>
          <t>Mesmo documento/fornecedor/valor/data de outro registro (cadastro posterior)</t>
        </is>
      </c>
    </row>
    <row r="32">
      <c r="A32" s="4" t="inlineStr">
        <is>
          <t>T01_DUPLICIDADE</t>
        </is>
      </c>
      <c r="B32" s="4" t="inlineStr">
        <is>
          <t>IMB-0219533</t>
        </is>
      </c>
      <c r="C32" s="4" t="inlineStr">
        <is>
          <t>ALMOXARIFADO_INVERSOES_FIXAS</t>
        </is>
      </c>
      <c r="D32" s="5" t="n">
        <v>292.55</v>
      </c>
      <c r="E32" s="5" t="n">
        <v>292.55</v>
      </c>
      <c r="F32" s="4" t="inlineStr">
        <is>
          <t>Mesmo documento/fornecedor/valor/data de outro registro (cadastro posterior)</t>
        </is>
      </c>
    </row>
    <row r="33">
      <c r="A33" s="4" t="inlineStr">
        <is>
          <t>T01_DUPLICIDADE</t>
        </is>
      </c>
      <c r="B33" s="4" t="inlineStr">
        <is>
          <t>IMB-0356133</t>
        </is>
      </c>
      <c r="C33" s="4" t="inlineStr">
        <is>
          <t>ALMOXARIFADO_INVERSOES_FIXAS</t>
        </is>
      </c>
      <c r="D33" s="5" t="n">
        <v>4160.68</v>
      </c>
      <c r="E33" s="5" t="n">
        <v>4160.68</v>
      </c>
      <c r="F33" s="4" t="inlineStr">
        <is>
          <t>Mesmo documento/fornecedor/valor/data de outro registro (cadastro posterior)</t>
        </is>
      </c>
    </row>
    <row r="34">
      <c r="A34" s="4" t="inlineStr">
        <is>
          <t>T01_DUPLICIDADE</t>
        </is>
      </c>
      <c r="B34" s="4" t="inlineStr">
        <is>
          <t>IMB-0178253</t>
        </is>
      </c>
      <c r="C34" s="4" t="inlineStr">
        <is>
          <t>ALMOXARIFADO_INVERSOES_FIXAS</t>
        </is>
      </c>
      <c r="D34" s="5" t="n">
        <v>487.33</v>
      </c>
      <c r="E34" s="5" t="n">
        <v>487.33</v>
      </c>
      <c r="F34" s="4" t="inlineStr">
        <is>
          <t>Mesmo documento/fornecedor/valor/data de outro registro (cadastro posterior)</t>
        </is>
      </c>
    </row>
    <row r="35">
      <c r="A35" s="4" t="inlineStr">
        <is>
          <t>T01_DUPLICIDADE</t>
        </is>
      </c>
      <c r="B35" s="4" t="inlineStr">
        <is>
          <t>IMB-0212352</t>
        </is>
      </c>
      <c r="C35" s="4" t="inlineStr">
        <is>
          <t>ALMOXARIFADO_INVERSOES_FIXAS</t>
        </is>
      </c>
      <c r="D35" s="5" t="n">
        <v>3013.5</v>
      </c>
      <c r="E35" s="5" t="n">
        <v>3013.5</v>
      </c>
      <c r="F35" s="4" t="inlineStr">
        <is>
          <t>Mesmo documento/fornecedor/valor/data de outro registro (cadastro posterior)</t>
        </is>
      </c>
    </row>
    <row r="36">
      <c r="A36" s="4" t="inlineStr">
        <is>
          <t>T01_DUPLICIDADE</t>
        </is>
      </c>
      <c r="B36" s="4" t="inlineStr">
        <is>
          <t>IMB-0134085</t>
        </is>
      </c>
      <c r="C36" s="4" t="inlineStr">
        <is>
          <t>ALMOXARIFADO_INVERSOES_FIXAS</t>
        </is>
      </c>
      <c r="D36" s="5" t="n">
        <v>3700.02</v>
      </c>
      <c r="E36" s="5" t="n">
        <v>3700.02</v>
      </c>
      <c r="F36" s="4" t="inlineStr">
        <is>
          <t>Mesmo documento/fornecedor/valor/data de outro registro (cadastro posterior)</t>
        </is>
      </c>
    </row>
    <row r="37">
      <c r="A37" s="4" t="inlineStr">
        <is>
          <t>T01_DUPLICIDADE</t>
        </is>
      </c>
      <c r="B37" s="4" t="inlineStr">
        <is>
          <t>IMB-0526260</t>
        </is>
      </c>
      <c r="C37" s="4" t="inlineStr">
        <is>
          <t>ALMOXARIFADO_INVERSOES_FIXAS</t>
        </is>
      </c>
      <c r="D37" s="5" t="n">
        <v>3528.27</v>
      </c>
      <c r="E37" s="5" t="n">
        <v>3528.27</v>
      </c>
      <c r="F37" s="4" t="inlineStr">
        <is>
          <t>Mesmo documento/fornecedor/valor/data de outro registro (cadastro posterior)</t>
        </is>
      </c>
    </row>
    <row r="38">
      <c r="A38" s="4" t="inlineStr">
        <is>
          <t>T01_DUPLICIDADE</t>
        </is>
      </c>
      <c r="B38" s="4" t="inlineStr">
        <is>
          <t>IMB-0007748</t>
        </is>
      </c>
      <c r="C38" s="4" t="inlineStr">
        <is>
          <t>ALMOXARIFADO_INVERSOES_FIXAS</t>
        </is>
      </c>
      <c r="D38" s="5" t="n">
        <v>3485.91</v>
      </c>
      <c r="E38" s="5" t="n">
        <v>3485.91</v>
      </c>
      <c r="F38" s="4" t="inlineStr">
        <is>
          <t>Mesmo documento/fornecedor/valor/data de outro registro (cadastro posterior)</t>
        </is>
      </c>
    </row>
    <row r="39">
      <c r="A39" s="4" t="inlineStr">
        <is>
          <t>T01_DUPLICIDADE</t>
        </is>
      </c>
      <c r="B39" s="4" t="inlineStr">
        <is>
          <t>IMB-0432762</t>
        </is>
      </c>
      <c r="C39" s="4" t="inlineStr">
        <is>
          <t>ALMOXARIFADO_INVERSOES_FIXAS</t>
        </is>
      </c>
      <c r="D39" s="5" t="n">
        <v>3240.52</v>
      </c>
      <c r="E39" s="5" t="n">
        <v>3240.52</v>
      </c>
      <c r="F39" s="4" t="inlineStr">
        <is>
          <t>Mesmo documento/fornecedor/valor/data de outro registro (cadastro posterior)</t>
        </is>
      </c>
    </row>
    <row r="40">
      <c r="A40" s="4" t="inlineStr">
        <is>
          <t>T01_DUPLICIDADE</t>
        </is>
      </c>
      <c r="B40" s="4" t="inlineStr">
        <is>
          <t>IMB-0387970</t>
        </is>
      </c>
      <c r="C40" s="4" t="inlineStr">
        <is>
          <t>ALMOXARIFADO_INVERSOES_FIXAS</t>
        </is>
      </c>
      <c r="D40" s="5" t="n">
        <v>3026.82</v>
      </c>
      <c r="E40" s="5" t="n">
        <v>3026.82</v>
      </c>
      <c r="F40" s="4" t="inlineStr">
        <is>
          <t>Mesmo documento/fornecedor/valor/data de outro registro (cadastro posterior)</t>
        </is>
      </c>
    </row>
    <row r="41">
      <c r="A41" s="4" t="inlineStr">
        <is>
          <t>T01_DUPLICIDADE</t>
        </is>
      </c>
      <c r="B41" s="4" t="inlineStr">
        <is>
          <t>IMB-0419609</t>
        </is>
      </c>
      <c r="C41" s="4" t="inlineStr">
        <is>
          <t>ALMOXARIFADO_INVERSOES_FIXAS</t>
        </is>
      </c>
      <c r="D41" s="5" t="n">
        <v>643.59</v>
      </c>
      <c r="E41" s="5" t="n">
        <v>643.59</v>
      </c>
      <c r="F41" s="4" t="inlineStr">
        <is>
          <t>Mesmo documento/fornecedor/valor/data de outro registro (cadastro posterior)</t>
        </is>
      </c>
    </row>
    <row r="42">
      <c r="A42" s="4" t="inlineStr">
        <is>
          <t>T01_DUPLICIDADE</t>
        </is>
      </c>
      <c r="B42" s="4" t="inlineStr">
        <is>
          <t>IMB-0178064</t>
        </is>
      </c>
      <c r="C42" s="4" t="inlineStr">
        <is>
          <t>ALMOXARIFADO_INVERSOES_FIXAS</t>
        </is>
      </c>
      <c r="D42" s="5" t="n">
        <v>13105.52</v>
      </c>
      <c r="E42" s="5" t="n">
        <v>13105.52</v>
      </c>
      <c r="F42" s="4" t="inlineStr">
        <is>
          <t>Mesmo documento/fornecedor/valor/data de outro registro (cadastro posterior)</t>
        </is>
      </c>
    </row>
    <row r="43">
      <c r="A43" s="4" t="inlineStr">
        <is>
          <t>T01_DUPLICIDADE</t>
        </is>
      </c>
      <c r="B43" s="4" t="inlineStr">
        <is>
          <t>IMB-0368668</t>
        </is>
      </c>
      <c r="C43" s="4" t="inlineStr">
        <is>
          <t>ALMOXARIFADO_INVERSOES_FIXAS</t>
        </is>
      </c>
      <c r="D43" s="5" t="n">
        <v>11788.56</v>
      </c>
      <c r="E43" s="5" t="n">
        <v>11788.56</v>
      </c>
      <c r="F43" s="4" t="inlineStr">
        <is>
          <t>Mesmo documento/fornecedor/valor/data de outro registro (cadastro posterior)</t>
        </is>
      </c>
    </row>
    <row r="44">
      <c r="A44" s="4" t="inlineStr">
        <is>
          <t>T01_DUPLICIDADE</t>
        </is>
      </c>
      <c r="B44" s="4" t="inlineStr">
        <is>
          <t>IMB-0281573</t>
        </is>
      </c>
      <c r="C44" s="4" t="inlineStr">
        <is>
          <t>ALMOXARIFADO_INVERSOES_FIXAS</t>
        </is>
      </c>
      <c r="D44" s="5" t="n">
        <v>526.4299999999999</v>
      </c>
      <c r="E44" s="5" t="n">
        <v>526.4299999999999</v>
      </c>
      <c r="F44" s="4" t="inlineStr">
        <is>
          <t>Mesmo documento/fornecedor/valor/data de outro registro (cadastro posterior)</t>
        </is>
      </c>
    </row>
    <row r="45">
      <c r="A45" s="4" t="inlineStr">
        <is>
          <t>T01_DUPLICIDADE</t>
        </is>
      </c>
      <c r="B45" s="4" t="inlineStr">
        <is>
          <t>IMB-0224659</t>
        </is>
      </c>
      <c r="C45" s="4" t="inlineStr">
        <is>
          <t>ALMOXARIFADO_INVERSOES_FIXAS</t>
        </is>
      </c>
      <c r="D45" s="5" t="n">
        <v>3460.07</v>
      </c>
      <c r="E45" s="5" t="n">
        <v>3460.07</v>
      </c>
      <c r="F45" s="4" t="inlineStr">
        <is>
          <t>Mesmo documento/fornecedor/valor/data de outro registro (cadastro posterior)</t>
        </is>
      </c>
    </row>
    <row r="46">
      <c r="A46" s="4" t="inlineStr">
        <is>
          <t>T01_DUPLICIDADE</t>
        </is>
      </c>
      <c r="B46" s="4" t="inlineStr">
        <is>
          <t>IMB-0130671</t>
        </is>
      </c>
      <c r="C46" s="4" t="inlineStr">
        <is>
          <t>ALMOXARIFADO_INVERSOES_FIXAS</t>
        </is>
      </c>
      <c r="D46" s="5" t="n">
        <v>1150.63</v>
      </c>
      <c r="E46" s="5" t="n">
        <v>1150.63</v>
      </c>
      <c r="F46" s="4" t="inlineStr">
        <is>
          <t>Mesmo documento/fornecedor/valor/data de outro registro (cadastro posterior)</t>
        </is>
      </c>
    </row>
    <row r="47">
      <c r="A47" s="4" t="inlineStr">
        <is>
          <t>T01_DUPLICIDADE</t>
        </is>
      </c>
      <c r="B47" s="4" t="inlineStr">
        <is>
          <t>IMB-0091061</t>
        </is>
      </c>
      <c r="C47" s="4" t="inlineStr">
        <is>
          <t>ALMOXARIFADO_INVERSOES_FIXAS</t>
        </is>
      </c>
      <c r="D47" s="5" t="n">
        <v>1839.1</v>
      </c>
      <c r="E47" s="5" t="n">
        <v>1839.1</v>
      </c>
      <c r="F47" s="4" t="inlineStr">
        <is>
          <t>Mesmo documento/fornecedor/valor/data de outro registro (cadastro posterior)</t>
        </is>
      </c>
    </row>
    <row r="48">
      <c r="A48" s="4" t="inlineStr">
        <is>
          <t>T01_DUPLICIDADE</t>
        </is>
      </c>
      <c r="B48" s="4" t="inlineStr">
        <is>
          <t>IMB-0226880</t>
        </is>
      </c>
      <c r="C48" s="4" t="inlineStr">
        <is>
          <t>ALMOXARIFADO_INVERSOES_FIXAS</t>
        </is>
      </c>
      <c r="D48" s="5" t="n">
        <v>1517.25</v>
      </c>
      <c r="E48" s="5" t="n">
        <v>1517.25</v>
      </c>
      <c r="F48" s="4" t="inlineStr">
        <is>
          <t>Mesmo documento/fornecedor/valor/data de outro registro (cadastro posterior)</t>
        </is>
      </c>
    </row>
    <row r="49">
      <c r="A49" s="4" t="inlineStr">
        <is>
          <t>T01_DUPLICIDADE</t>
        </is>
      </c>
      <c r="B49" s="4" t="inlineStr">
        <is>
          <t>IMB-0341427</t>
        </is>
      </c>
      <c r="C49" s="4" t="inlineStr">
        <is>
          <t>ALMOXARIFADO_INVERSOES_FIXAS</t>
        </is>
      </c>
      <c r="D49" s="5" t="n">
        <v>1963.93</v>
      </c>
      <c r="E49" s="5" t="n">
        <v>1963.93</v>
      </c>
      <c r="F49" s="4" t="inlineStr">
        <is>
          <t>Mesmo documento/fornecedor/valor/data de outro registro (cadastro posterior)</t>
        </is>
      </c>
    </row>
    <row r="50">
      <c r="A50" s="4" t="inlineStr">
        <is>
          <t>T01_DUPLICIDADE</t>
        </is>
      </c>
      <c r="B50" s="4" t="inlineStr">
        <is>
          <t>IMB-0051577</t>
        </is>
      </c>
      <c r="C50" s="4" t="inlineStr">
        <is>
          <t>ALMOXARIFADO_INVERSOES_FIXAS</t>
        </is>
      </c>
      <c r="D50" s="5" t="n">
        <v>807.0599999999999</v>
      </c>
      <c r="E50" s="5" t="n">
        <v>807.0599999999999</v>
      </c>
      <c r="F50" s="4" t="inlineStr">
        <is>
          <t>Mesmo documento/fornecedor/valor/data de outro registro (cadastro posterior)</t>
        </is>
      </c>
    </row>
    <row r="51">
      <c r="A51" s="4" t="inlineStr">
        <is>
          <t>T01_DUPLICIDADE</t>
        </is>
      </c>
      <c r="B51" s="4" t="inlineStr">
        <is>
          <t>IMB-0287824</t>
        </is>
      </c>
      <c r="C51" s="4" t="inlineStr">
        <is>
          <t>ALMOXARIFADO_INVERSOES_FIXAS</t>
        </is>
      </c>
      <c r="D51" s="5" t="n">
        <v>5950.61</v>
      </c>
      <c r="E51" s="5" t="n">
        <v>5950.61</v>
      </c>
      <c r="F51" s="4" t="inlineStr">
        <is>
          <t>Mesmo documento/fornecedor/valor/data de outro registro (cadastro posterior)</t>
        </is>
      </c>
    </row>
    <row r="52">
      <c r="A52" s="4" t="inlineStr">
        <is>
          <t>T01_DUPLICIDADE</t>
        </is>
      </c>
      <c r="B52" s="4" t="inlineStr">
        <is>
          <t>IMB-0213320</t>
        </is>
      </c>
      <c r="C52" s="4" t="inlineStr">
        <is>
          <t>ALMOXARIFADO_INVERSOES_FIXAS</t>
        </is>
      </c>
      <c r="D52" s="5" t="n">
        <v>1759.71</v>
      </c>
      <c r="E52" s="5" t="n">
        <v>1759.71</v>
      </c>
      <c r="F52" s="4" t="inlineStr">
        <is>
          <t>Mesmo documento/fornecedor/valor/data de outro registro (cadastro posterior)</t>
        </is>
      </c>
    </row>
    <row r="53">
      <c r="A53" s="4" t="inlineStr">
        <is>
          <t>T01_DUPLICIDADE</t>
        </is>
      </c>
      <c r="B53" s="4" t="inlineStr">
        <is>
          <t>IMB-0371513</t>
        </is>
      </c>
      <c r="C53" s="4" t="inlineStr">
        <is>
          <t>ALMOXARIFADO_INVERSOES_FIXAS</t>
        </is>
      </c>
      <c r="D53" s="5" t="n">
        <v>6899.34</v>
      </c>
      <c r="E53" s="5" t="n">
        <v>6899.34</v>
      </c>
      <c r="F53" s="4" t="inlineStr">
        <is>
          <t>Mesmo documento/fornecedor/valor/data de outro registro (cadastro posterior)</t>
        </is>
      </c>
    </row>
    <row r="54">
      <c r="A54" s="4" t="inlineStr">
        <is>
          <t>T01_DUPLICIDADE</t>
        </is>
      </c>
      <c r="B54" s="4" t="inlineStr">
        <is>
          <t>IMB-0212103</t>
        </is>
      </c>
      <c r="C54" s="4" t="inlineStr">
        <is>
          <t>ALMOXARIFADO_INVERSOES_FIXAS</t>
        </is>
      </c>
      <c r="D54" s="5" t="n">
        <v>2439.81</v>
      </c>
      <c r="E54" s="5" t="n">
        <v>2439.81</v>
      </c>
      <c r="F54" s="4" t="inlineStr">
        <is>
          <t>Mesmo documento/fornecedor/valor/data de outro registro (cadastro posterior)</t>
        </is>
      </c>
    </row>
    <row r="55">
      <c r="A55" s="4" t="inlineStr">
        <is>
          <t>T01_DUPLICIDADE</t>
        </is>
      </c>
      <c r="B55" s="4" t="inlineStr">
        <is>
          <t>IMB-0277125</t>
        </is>
      </c>
      <c r="C55" s="4" t="inlineStr">
        <is>
          <t>ALMOXARIFADO_INVERSOES_FIXAS</t>
        </is>
      </c>
      <c r="D55" s="5" t="n">
        <v>5383.96</v>
      </c>
      <c r="E55" s="5" t="n">
        <v>5383.96</v>
      </c>
      <c r="F55" s="4" t="inlineStr">
        <is>
          <t>Mesmo documento/fornecedor/valor/data de outro registro (cadastro posterior)</t>
        </is>
      </c>
    </row>
    <row r="56">
      <c r="A56" s="4" t="inlineStr">
        <is>
          <t>T01_DUPLICIDADE</t>
        </is>
      </c>
      <c r="B56" s="4" t="inlineStr">
        <is>
          <t>IMB-0394414</t>
        </is>
      </c>
      <c r="C56" s="4" t="inlineStr">
        <is>
          <t>ALMOXARIFADO_INVERSOES_FIXAS</t>
        </is>
      </c>
      <c r="D56" s="5" t="n">
        <v>717.4400000000001</v>
      </c>
      <c r="E56" s="5" t="n">
        <v>717.4400000000001</v>
      </c>
      <c r="F56" s="4" t="inlineStr">
        <is>
          <t>Mesmo documento/fornecedor/valor/data de outro registro (cadastro posterior)</t>
        </is>
      </c>
    </row>
    <row r="57">
      <c r="A57" s="4" t="inlineStr">
        <is>
          <t>T01_DUPLICIDADE</t>
        </is>
      </c>
      <c r="B57" s="4" t="inlineStr">
        <is>
          <t>IMB-0069357</t>
        </is>
      </c>
      <c r="C57" s="4" t="inlineStr">
        <is>
          <t>ALMOXARIFADO_INVERSOES_FIXAS</t>
        </is>
      </c>
      <c r="D57" s="5" t="n">
        <v>4536.03</v>
      </c>
      <c r="E57" s="5" t="n">
        <v>4536.03</v>
      </c>
      <c r="F57" s="4" t="inlineStr">
        <is>
          <t>Mesmo documento/fornecedor/valor/data de outro registro (cadastro posterior)</t>
        </is>
      </c>
    </row>
    <row r="58">
      <c r="A58" s="4" t="inlineStr">
        <is>
          <t>T01_DUPLICIDADE</t>
        </is>
      </c>
      <c r="B58" s="4" t="inlineStr">
        <is>
          <t>IMB-0473222</t>
        </is>
      </c>
      <c r="C58" s="4" t="inlineStr">
        <is>
          <t>ALMOXARIFADO_INVERSOES_FIXAS</t>
        </is>
      </c>
      <c r="D58" s="5" t="n">
        <v>3020.96</v>
      </c>
      <c r="E58" s="5" t="n">
        <v>3020.96</v>
      </c>
      <c r="F58" s="4" t="inlineStr">
        <is>
          <t>Mesmo documento/fornecedor/valor/data de outro registro (cadastro posterior)</t>
        </is>
      </c>
    </row>
    <row r="59">
      <c r="A59" s="4" t="inlineStr">
        <is>
          <t>T01_DUPLICIDADE</t>
        </is>
      </c>
      <c r="B59" s="4" t="inlineStr">
        <is>
          <t>IMB-0144826</t>
        </is>
      </c>
      <c r="C59" s="4" t="inlineStr">
        <is>
          <t>ALMOXARIFADO_INVERSOES_FIXAS</t>
        </is>
      </c>
      <c r="D59" s="5" t="n">
        <v>1706.6</v>
      </c>
      <c r="E59" s="5" t="n">
        <v>1706.6</v>
      </c>
      <c r="F59" s="4" t="inlineStr">
        <is>
          <t>Mesmo documento/fornecedor/valor/data de outro registro (cadastro posterior)</t>
        </is>
      </c>
    </row>
    <row r="60">
      <c r="A60" s="4" t="inlineStr">
        <is>
          <t>T01_DUPLICIDADE</t>
        </is>
      </c>
      <c r="B60" s="4" t="inlineStr">
        <is>
          <t>IMB-0374797</t>
        </is>
      </c>
      <c r="C60" s="4" t="inlineStr">
        <is>
          <t>ALMOXARIFADO_INVERSOES_FIXAS</t>
        </is>
      </c>
      <c r="D60" s="5" t="n">
        <v>1535.65</v>
      </c>
      <c r="E60" s="5" t="n">
        <v>1535.65</v>
      </c>
      <c r="F60" s="4" t="inlineStr">
        <is>
          <t>Mesmo documento/fornecedor/valor/data de outro registro (cadastro posterior)</t>
        </is>
      </c>
    </row>
    <row r="61">
      <c r="A61" s="4" t="inlineStr">
        <is>
          <t>T01_DUPLICIDADE</t>
        </is>
      </c>
      <c r="B61" s="4" t="inlineStr">
        <is>
          <t>IMB-0217212</t>
        </is>
      </c>
      <c r="C61" s="4" t="inlineStr">
        <is>
          <t>ALMOXARIFADO_INVERSOES_FIXAS</t>
        </is>
      </c>
      <c r="D61" s="5" t="n">
        <v>6057.38</v>
      </c>
      <c r="E61" s="5" t="n">
        <v>6057.38</v>
      </c>
      <c r="F61" s="4" t="inlineStr">
        <is>
          <t>Mesmo documento/fornecedor/valor/data de outro registro (cadastro posterior)</t>
        </is>
      </c>
    </row>
    <row r="62">
      <c r="A62" s="4" t="inlineStr">
        <is>
          <t>T01_DUPLICIDADE</t>
        </is>
      </c>
      <c r="B62" s="4" t="inlineStr">
        <is>
          <t>IMB-0378879</t>
        </is>
      </c>
      <c r="C62" s="4" t="inlineStr">
        <is>
          <t>ALMOXARIFADO_INVERSOES_FIXAS</t>
        </is>
      </c>
      <c r="D62" s="5" t="n">
        <v>3069.06</v>
      </c>
      <c r="E62" s="5" t="n">
        <v>3069.06</v>
      </c>
      <c r="F62" s="4" t="inlineStr">
        <is>
          <t>Mesmo documento/fornecedor/valor/data de outro registro (cadastro posterior)</t>
        </is>
      </c>
    </row>
    <row r="63">
      <c r="A63" s="4" t="inlineStr">
        <is>
          <t>T01_DUPLICIDADE</t>
        </is>
      </c>
      <c r="B63" s="4" t="inlineStr">
        <is>
          <t>IMB-0015853</t>
        </is>
      </c>
      <c r="C63" s="4" t="inlineStr">
        <is>
          <t>ALMOXARIFADO_INVERSOES_FIXAS</t>
        </is>
      </c>
      <c r="D63" s="5" t="n">
        <v>229.34</v>
      </c>
      <c r="E63" s="5" t="n">
        <v>229.34</v>
      </c>
      <c r="F63" s="4" t="inlineStr">
        <is>
          <t>Mesmo documento/fornecedor/valor/data de outro registro (cadastro posterior)</t>
        </is>
      </c>
    </row>
    <row r="64">
      <c r="A64" s="4" t="inlineStr">
        <is>
          <t>T01_DUPLICIDADE</t>
        </is>
      </c>
      <c r="B64" s="4" t="inlineStr">
        <is>
          <t>IMB-0033499</t>
        </is>
      </c>
      <c r="C64" s="4" t="inlineStr">
        <is>
          <t>ALMOXARIFADO_INVERSOES_FIXAS</t>
        </is>
      </c>
      <c r="D64" s="5" t="n">
        <v>16074.47</v>
      </c>
      <c r="E64" s="5" t="n">
        <v>16074.47</v>
      </c>
      <c r="F64" s="4" t="inlineStr">
        <is>
          <t>Mesmo documento/fornecedor/valor/data de outro registro (cadastro posterior)</t>
        </is>
      </c>
    </row>
    <row r="65">
      <c r="A65" s="4" t="inlineStr">
        <is>
          <t>T01_DUPLICIDADE</t>
        </is>
      </c>
      <c r="B65" s="4" t="inlineStr">
        <is>
          <t>IMB-0509556</t>
        </is>
      </c>
      <c r="C65" s="4" t="inlineStr">
        <is>
          <t>ALMOXARIFADO_INVERSOES_FIXAS</t>
        </is>
      </c>
      <c r="D65" s="5" t="n">
        <v>22001.72</v>
      </c>
      <c r="E65" s="5" t="n">
        <v>22001.72</v>
      </c>
      <c r="F65" s="4" t="inlineStr">
        <is>
          <t>Mesmo documento/fornecedor/valor/data de outro registro (cadastro posterior)</t>
        </is>
      </c>
    </row>
    <row r="66">
      <c r="A66" s="4" t="inlineStr">
        <is>
          <t>T01_DUPLICIDADE</t>
        </is>
      </c>
      <c r="B66" s="4" t="inlineStr">
        <is>
          <t>IMB-0276536</t>
        </is>
      </c>
      <c r="C66" s="4" t="inlineStr">
        <is>
          <t>ALMOXARIFADO_INVERSOES_FIXAS</t>
        </is>
      </c>
      <c r="D66" s="5" t="n">
        <v>940.48</v>
      </c>
      <c r="E66" s="5" t="n">
        <v>940.48</v>
      </c>
      <c r="F66" s="4" t="inlineStr">
        <is>
          <t>Mesmo documento/fornecedor/valor/data de outro registro (cadastro posterior)</t>
        </is>
      </c>
    </row>
    <row r="67">
      <c r="A67" s="4" t="inlineStr">
        <is>
          <t>T01_DUPLICIDADE</t>
        </is>
      </c>
      <c r="B67" s="4" t="inlineStr">
        <is>
          <t>IMB-0074030</t>
        </is>
      </c>
      <c r="C67" s="4" t="inlineStr">
        <is>
          <t>ALMOXARIFADO_INVERSOES_FIXAS</t>
        </is>
      </c>
      <c r="D67" s="5" t="n">
        <v>2899.54</v>
      </c>
      <c r="E67" s="5" t="n">
        <v>2899.54</v>
      </c>
      <c r="F67" s="4" t="inlineStr">
        <is>
          <t>Mesmo documento/fornecedor/valor/data de outro registro (cadastro posterior)</t>
        </is>
      </c>
    </row>
    <row r="68">
      <c r="A68" s="4" t="inlineStr">
        <is>
          <t>T01_DUPLICIDADE</t>
        </is>
      </c>
      <c r="B68" s="4" t="inlineStr">
        <is>
          <t>IMB-0418079</t>
        </is>
      </c>
      <c r="C68" s="4" t="inlineStr">
        <is>
          <t>ALMOXARIFADO_INVERSOES_FIXAS</t>
        </is>
      </c>
      <c r="D68" s="5" t="n">
        <v>5256.77</v>
      </c>
      <c r="E68" s="5" t="n">
        <v>5256.77</v>
      </c>
      <c r="F68" s="4" t="inlineStr">
        <is>
          <t>Mesmo documento/fornecedor/valor/data de outro registro (cadastro posterior)</t>
        </is>
      </c>
    </row>
    <row r="69">
      <c r="A69" s="4" t="inlineStr">
        <is>
          <t>T01_DUPLICIDADE</t>
        </is>
      </c>
      <c r="B69" s="4" t="inlineStr">
        <is>
          <t>IMB-0071900</t>
        </is>
      </c>
      <c r="C69" s="4" t="inlineStr">
        <is>
          <t>ALMOXARIFADO_INVERSOES_FIXAS</t>
        </is>
      </c>
      <c r="D69" s="5" t="n">
        <v>4362.06</v>
      </c>
      <c r="E69" s="5" t="n">
        <v>4362.06</v>
      </c>
      <c r="F69" s="4" t="inlineStr">
        <is>
          <t>Mesmo documento/fornecedor/valor/data de outro registro (cadastro posterior)</t>
        </is>
      </c>
    </row>
    <row r="70">
      <c r="A70" s="4" t="inlineStr">
        <is>
          <t>T01_DUPLICIDADE</t>
        </is>
      </c>
      <c r="B70" s="4" t="inlineStr">
        <is>
          <t>IMB-0118607</t>
        </is>
      </c>
      <c r="C70" s="4" t="inlineStr">
        <is>
          <t>ALMOXARIFADO_INVERSOES_FIXAS</t>
        </is>
      </c>
      <c r="D70" s="5" t="n">
        <v>4125.77</v>
      </c>
      <c r="E70" s="5" t="n">
        <v>4125.77</v>
      </c>
      <c r="F70" s="4" t="inlineStr">
        <is>
          <t>Mesmo documento/fornecedor/valor/data de outro registro (cadastro posterior)</t>
        </is>
      </c>
    </row>
    <row r="71">
      <c r="A71" s="4" t="inlineStr">
        <is>
          <t>T01_DUPLICIDADE</t>
        </is>
      </c>
      <c r="B71" s="4" t="inlineStr">
        <is>
          <t>IMB-0347143</t>
        </is>
      </c>
      <c r="C71" s="4" t="inlineStr">
        <is>
          <t>ALMOXARIFADO_INVERSOES_FIXAS</t>
        </is>
      </c>
      <c r="D71" s="5" t="n">
        <v>7398.81</v>
      </c>
      <c r="E71" s="5" t="n">
        <v>7398.81</v>
      </c>
      <c r="F71" s="4" t="inlineStr">
        <is>
          <t>Mesmo documento/fornecedor/valor/data de outro registro (cadastro posterior)</t>
        </is>
      </c>
    </row>
    <row r="72">
      <c r="A72" s="4" t="inlineStr">
        <is>
          <t>T01_DUPLICIDADE</t>
        </is>
      </c>
      <c r="B72" s="4" t="inlineStr">
        <is>
          <t>IMB-0223186</t>
        </is>
      </c>
      <c r="C72" s="4" t="inlineStr">
        <is>
          <t>ALMOXARIFADO_INVERSOES_FIXAS</t>
        </is>
      </c>
      <c r="D72" s="5" t="n">
        <v>395.97</v>
      </c>
      <c r="E72" s="5" t="n">
        <v>395.97</v>
      </c>
      <c r="F72" s="4" t="inlineStr">
        <is>
          <t>Mesmo documento/fornecedor/valor/data de outro registro (cadastro posterior)</t>
        </is>
      </c>
    </row>
    <row r="73">
      <c r="A73" s="4" t="inlineStr">
        <is>
          <t>T01_DUPLICIDADE</t>
        </is>
      </c>
      <c r="B73" s="4" t="inlineStr">
        <is>
          <t>IMB-0496133</t>
        </is>
      </c>
      <c r="C73" s="4" t="inlineStr">
        <is>
          <t>ALMOXARIFADO_INVERSOES_FIXAS</t>
        </is>
      </c>
      <c r="D73" s="5" t="n">
        <v>1970.76</v>
      </c>
      <c r="E73" s="5" t="n">
        <v>1970.76</v>
      </c>
      <c r="F73" s="4" t="inlineStr">
        <is>
          <t>Mesmo documento/fornecedor/valor/data de outro registro (cadastro posterior)</t>
        </is>
      </c>
    </row>
    <row r="74">
      <c r="A74" s="4" t="inlineStr">
        <is>
          <t>T01_DUPLICIDADE</t>
        </is>
      </c>
      <c r="B74" s="4" t="inlineStr">
        <is>
          <t>IMB-0270563</t>
        </is>
      </c>
      <c r="C74" s="4" t="inlineStr">
        <is>
          <t>ALMOXARIFADO_INVERSOES_FIXAS</t>
        </is>
      </c>
      <c r="D74" s="5" t="n">
        <v>12094.56</v>
      </c>
      <c r="E74" s="5" t="n">
        <v>12094.56</v>
      </c>
      <c r="F74" s="4" t="inlineStr">
        <is>
          <t>Mesmo documento/fornecedor/valor/data de outro registro (cadastro posterior)</t>
        </is>
      </c>
    </row>
    <row r="75">
      <c r="A75" s="4" t="inlineStr">
        <is>
          <t>T01_DUPLICIDADE</t>
        </is>
      </c>
      <c r="B75" s="4" t="inlineStr">
        <is>
          <t>IMB-0129302</t>
        </is>
      </c>
      <c r="C75" s="4" t="inlineStr">
        <is>
          <t>ALMOXARIFADO_INVERSOES_FIXAS</t>
        </is>
      </c>
      <c r="D75" s="5" t="n">
        <v>1602.05</v>
      </c>
      <c r="E75" s="5" t="n">
        <v>1602.05</v>
      </c>
      <c r="F75" s="4" t="inlineStr">
        <is>
          <t>Mesmo documento/fornecedor/valor/data de outro registro (cadastro posterior)</t>
        </is>
      </c>
    </row>
    <row r="76">
      <c r="A76" s="4" t="inlineStr">
        <is>
          <t>T01_DUPLICIDADE</t>
        </is>
      </c>
      <c r="B76" s="4" t="inlineStr">
        <is>
          <t>IMB-0438306</t>
        </is>
      </c>
      <c r="C76" s="4" t="inlineStr">
        <is>
          <t>ALMOXARIFADO_INVERSOES_FIXAS</t>
        </is>
      </c>
      <c r="D76" s="5" t="n">
        <v>9371.889999999999</v>
      </c>
      <c r="E76" s="5" t="n">
        <v>9371.889999999999</v>
      </c>
      <c r="F76" s="4" t="inlineStr">
        <is>
          <t>Mesmo documento/fornecedor/valor/data de outro registro (cadastro posterior)</t>
        </is>
      </c>
    </row>
    <row r="77">
      <c r="A77" s="4" t="inlineStr">
        <is>
          <t>T01_DUPLICIDADE</t>
        </is>
      </c>
      <c r="B77" s="4" t="inlineStr">
        <is>
          <t>IMB-0386986</t>
        </is>
      </c>
      <c r="C77" s="4" t="inlineStr">
        <is>
          <t>ALMOXARIFADO_INVERSOES_FIXAS</t>
        </is>
      </c>
      <c r="D77" s="5" t="n">
        <v>5599.56</v>
      </c>
      <c r="E77" s="5" t="n">
        <v>5599.56</v>
      </c>
      <c r="F77" s="4" t="inlineStr">
        <is>
          <t>Mesmo documento/fornecedor/valor/data de outro registro (cadastro posterior)</t>
        </is>
      </c>
    </row>
    <row r="78">
      <c r="A78" s="4" t="inlineStr">
        <is>
          <t>T01_DUPLICIDADE</t>
        </is>
      </c>
      <c r="B78" s="4" t="inlineStr">
        <is>
          <t>IMB-0438878</t>
        </is>
      </c>
      <c r="C78" s="4" t="inlineStr">
        <is>
          <t>ALMOXARIFADO_INVERSOES_FIXAS</t>
        </is>
      </c>
      <c r="D78" s="5" t="n">
        <v>2694.7</v>
      </c>
      <c r="E78" s="5" t="n">
        <v>2694.7</v>
      </c>
      <c r="F78" s="4" t="inlineStr">
        <is>
          <t>Mesmo documento/fornecedor/valor/data de outro registro (cadastro posterior)</t>
        </is>
      </c>
    </row>
    <row r="79">
      <c r="A79" s="4" t="inlineStr">
        <is>
          <t>T01_DUPLICIDADE</t>
        </is>
      </c>
      <c r="B79" s="4" t="inlineStr">
        <is>
          <t>IMB-0105612</t>
        </is>
      </c>
      <c r="C79" s="4" t="inlineStr">
        <is>
          <t>ALMOXARIFADO_INVERSOES_FIXAS</t>
        </is>
      </c>
      <c r="D79" s="5" t="n">
        <v>1692.06</v>
      </c>
      <c r="E79" s="5" t="n">
        <v>1692.06</v>
      </c>
      <c r="F79" s="4" t="inlineStr">
        <is>
          <t>Mesmo documento/fornecedor/valor/data de outro registro (cadastro posterior)</t>
        </is>
      </c>
    </row>
    <row r="80">
      <c r="A80" s="4" t="inlineStr">
        <is>
          <t>T01_DUPLICIDADE</t>
        </is>
      </c>
      <c r="B80" s="4" t="inlineStr">
        <is>
          <t>IMB-0253922</t>
        </is>
      </c>
      <c r="C80" s="4" t="inlineStr">
        <is>
          <t>ALMOXARIFADO_INVERSOES_FIXAS</t>
        </is>
      </c>
      <c r="D80" s="5" t="n">
        <v>1298.6</v>
      </c>
      <c r="E80" s="5" t="n">
        <v>1298.6</v>
      </c>
      <c r="F80" s="4" t="inlineStr">
        <is>
          <t>Mesmo documento/fornecedor/valor/data de outro registro (cadastro posterior)</t>
        </is>
      </c>
    </row>
    <row r="81">
      <c r="A81" s="4" t="inlineStr">
        <is>
          <t>T01_DUPLICIDADE</t>
        </is>
      </c>
      <c r="B81" s="4" t="inlineStr">
        <is>
          <t>IMB-0285115</t>
        </is>
      </c>
      <c r="C81" s="4" t="inlineStr">
        <is>
          <t>ALMOXARIFADO_INVERSOES_FIXAS</t>
        </is>
      </c>
      <c r="D81" s="5" t="n">
        <v>346.7</v>
      </c>
      <c r="E81" s="5" t="n">
        <v>346.7</v>
      </c>
      <c r="F81" s="4" t="inlineStr">
        <is>
          <t>Mesmo documento/fornecedor/valor/data de outro registro (cadastro posterior)</t>
        </is>
      </c>
    </row>
    <row r="82">
      <c r="A82" s="4" t="inlineStr">
        <is>
          <t>T01_DUPLICIDADE</t>
        </is>
      </c>
      <c r="B82" s="4" t="inlineStr">
        <is>
          <t>IMB-0459469</t>
        </is>
      </c>
      <c r="C82" s="4" t="inlineStr">
        <is>
          <t>ALMOXARIFADO_INVERSOES_FIXAS</t>
        </is>
      </c>
      <c r="D82" s="5" t="n">
        <v>1588.37</v>
      </c>
      <c r="E82" s="5" t="n">
        <v>1588.37</v>
      </c>
      <c r="F82" s="4" t="inlineStr">
        <is>
          <t>Mesmo documento/fornecedor/valor/data de outro registro (cadastro posterior)</t>
        </is>
      </c>
    </row>
    <row r="83">
      <c r="A83" s="4" t="inlineStr">
        <is>
          <t>T01_DUPLICIDADE</t>
        </is>
      </c>
      <c r="B83" s="4" t="inlineStr">
        <is>
          <t>IMB-0277697</t>
        </is>
      </c>
      <c r="C83" s="4" t="inlineStr">
        <is>
          <t>ALMOXARIFADO_INVERSOES_FIXAS</t>
        </is>
      </c>
      <c r="D83" s="5" t="n">
        <v>5136.2</v>
      </c>
      <c r="E83" s="5" t="n">
        <v>5136.2</v>
      </c>
      <c r="F83" s="4" t="inlineStr">
        <is>
          <t>Mesmo documento/fornecedor/valor/data de outro registro (cadastro posterior)</t>
        </is>
      </c>
    </row>
    <row r="84">
      <c r="A84" s="4" t="inlineStr">
        <is>
          <t>T01_DUPLICIDADE</t>
        </is>
      </c>
      <c r="B84" s="4" t="inlineStr">
        <is>
          <t>IMB-0347927</t>
        </is>
      </c>
      <c r="C84" s="4" t="inlineStr">
        <is>
          <t>ALMOXARIFADO_INVERSOES_FIXAS</t>
        </is>
      </c>
      <c r="D84" s="5" t="n">
        <v>169.23</v>
      </c>
      <c r="E84" s="5" t="n">
        <v>169.23</v>
      </c>
      <c r="F84" s="4" t="inlineStr">
        <is>
          <t>Mesmo documento/fornecedor/valor/data de outro registro (cadastro posterior)</t>
        </is>
      </c>
    </row>
    <row r="85">
      <c r="A85" s="4" t="inlineStr">
        <is>
          <t>T01_DUPLICIDADE</t>
        </is>
      </c>
      <c r="B85" s="4" t="inlineStr">
        <is>
          <t>IMB-0435494</t>
        </is>
      </c>
      <c r="C85" s="4" t="inlineStr">
        <is>
          <t>ALMOXARIFADO_INVERSOES_FIXAS</t>
        </is>
      </c>
      <c r="D85" s="5" t="n">
        <v>411.2</v>
      </c>
      <c r="E85" s="5" t="n">
        <v>411.2</v>
      </c>
      <c r="F85" s="4" t="inlineStr">
        <is>
          <t>Mesmo documento/fornecedor/valor/data de outro registro (cadastro posterior)</t>
        </is>
      </c>
    </row>
    <row r="86">
      <c r="A86" s="4" t="inlineStr">
        <is>
          <t>T01_DUPLICIDADE</t>
        </is>
      </c>
      <c r="B86" s="4" t="inlineStr">
        <is>
          <t>IMB-0180780</t>
        </is>
      </c>
      <c r="C86" s="4" t="inlineStr">
        <is>
          <t>ALMOXARIFADO_INVERSOES_FIXAS</t>
        </is>
      </c>
      <c r="D86" s="5" t="n">
        <v>4155.09</v>
      </c>
      <c r="E86" s="5" t="n">
        <v>4155.09</v>
      </c>
      <c r="F86" s="4" t="inlineStr">
        <is>
          <t>Mesmo documento/fornecedor/valor/data de outro registro (cadastro posterior)</t>
        </is>
      </c>
    </row>
    <row r="87">
      <c r="A87" s="4" t="inlineStr">
        <is>
          <t>T01_DUPLICIDADE</t>
        </is>
      </c>
      <c r="B87" s="4" t="inlineStr">
        <is>
          <t>IMB-0088716</t>
        </is>
      </c>
      <c r="C87" s="4" t="inlineStr">
        <is>
          <t>ALMOXARIFADO_INVERSOES_FIXAS</t>
        </is>
      </c>
      <c r="D87" s="5" t="n">
        <v>6421.22</v>
      </c>
      <c r="E87" s="5" t="n">
        <v>6421.22</v>
      </c>
      <c r="F87" s="4" t="inlineStr">
        <is>
          <t>Mesmo documento/fornecedor/valor/data de outro registro (cadastro posterior)</t>
        </is>
      </c>
    </row>
    <row r="88">
      <c r="A88" s="4" t="inlineStr">
        <is>
          <t>T01_DUPLICIDADE</t>
        </is>
      </c>
      <c r="B88" s="4" t="inlineStr">
        <is>
          <t>IMB-0366669</t>
        </is>
      </c>
      <c r="C88" s="4" t="inlineStr">
        <is>
          <t>OUTROS</t>
        </is>
      </c>
      <c r="D88" s="5" t="n">
        <v>485.54</v>
      </c>
      <c r="E88" s="5" t="n">
        <v>485.54</v>
      </c>
      <c r="F88" s="4" t="inlineStr">
        <is>
          <t>Mesmo documento/fornecedor/valor/data de outro registro (cadastro posterior)</t>
        </is>
      </c>
    </row>
    <row r="89">
      <c r="A89" s="4" t="inlineStr">
        <is>
          <t>T01_DUPLICIDADE</t>
        </is>
      </c>
      <c r="B89" s="4" t="inlineStr">
        <is>
          <t>IMB-0401354</t>
        </is>
      </c>
      <c r="C89" s="4" t="inlineStr">
        <is>
          <t>OUTROS</t>
        </is>
      </c>
      <c r="D89" s="5" t="n">
        <v>620.74</v>
      </c>
      <c r="E89" s="5" t="n">
        <v>620.74</v>
      </c>
      <c r="F89" s="4" t="inlineStr">
        <is>
          <t>Mesmo documento/fornecedor/valor/data de outro registro (cadastro posterior)</t>
        </is>
      </c>
    </row>
    <row r="90">
      <c r="A90" s="4" t="inlineStr">
        <is>
          <t>T01_DUPLICIDADE</t>
        </is>
      </c>
      <c r="B90" s="4" t="inlineStr">
        <is>
          <t>IMB-0487379</t>
        </is>
      </c>
      <c r="C90" s="4" t="inlineStr">
        <is>
          <t>OUTROS</t>
        </is>
      </c>
      <c r="D90" s="5" t="n">
        <v>28667.6</v>
      </c>
      <c r="E90" s="5" t="n">
        <v>28667.6</v>
      </c>
      <c r="F90" s="4" t="inlineStr">
        <is>
          <t>Mesmo documento/fornecedor/valor/data de outro registro (cadastro posterior)</t>
        </is>
      </c>
    </row>
    <row r="91">
      <c r="A91" s="4" t="inlineStr">
        <is>
          <t>T01_DUPLICIDADE</t>
        </is>
      </c>
      <c r="B91" s="4" t="inlineStr">
        <is>
          <t>IMB-0020712</t>
        </is>
      </c>
      <c r="C91" s="4" t="inlineStr">
        <is>
          <t>MAQUINAS_EQUIPAMENTOS</t>
        </is>
      </c>
      <c r="D91" s="5" t="n">
        <v>13204.21</v>
      </c>
      <c r="E91" s="5" t="n">
        <v>13204.21</v>
      </c>
      <c r="F91" s="4" t="inlineStr">
        <is>
          <t>Mesmo documento/fornecedor/valor/data de outro registro (cadastro posterior)</t>
        </is>
      </c>
    </row>
    <row r="92">
      <c r="A92" s="4" t="inlineStr">
        <is>
          <t>T01_DUPLICIDADE</t>
        </is>
      </c>
      <c r="B92" s="4" t="inlineStr">
        <is>
          <t>IMB-0340134</t>
        </is>
      </c>
      <c r="C92" s="4" t="inlineStr">
        <is>
          <t>OUTROS</t>
        </is>
      </c>
      <c r="D92" s="5" t="n">
        <v>685.6799999999999</v>
      </c>
      <c r="E92" s="5" t="n">
        <v>685.6799999999999</v>
      </c>
      <c r="F92" s="4" t="inlineStr">
        <is>
          <t>Mesmo documento/fornecedor/valor/data de outro registro (cadastro posterior)</t>
        </is>
      </c>
    </row>
    <row r="93">
      <c r="A93" s="4" t="inlineStr">
        <is>
          <t>T01_DUPLICIDADE</t>
        </is>
      </c>
      <c r="B93" s="4" t="inlineStr">
        <is>
          <t>IMB-0094783</t>
        </is>
      </c>
      <c r="C93" s="4" t="inlineStr">
        <is>
          <t>OUTROS</t>
        </is>
      </c>
      <c r="D93" s="5" t="n">
        <v>81.91</v>
      </c>
      <c r="E93" s="5" t="n">
        <v>81.91</v>
      </c>
      <c r="F93" s="4" t="inlineStr">
        <is>
          <t>Mesmo documento/fornecedor/valor/data de outro registro (cadastro posterior)</t>
        </is>
      </c>
    </row>
    <row r="94">
      <c r="A94" s="4" t="inlineStr">
        <is>
          <t>T01_DUPLICIDADE</t>
        </is>
      </c>
      <c r="B94" s="4" t="inlineStr">
        <is>
          <t>IMB-0069327</t>
        </is>
      </c>
      <c r="C94" s="4" t="inlineStr">
        <is>
          <t>DESENVOLVIMENTO_CAMPOS</t>
        </is>
      </c>
      <c r="D94" s="5" t="n">
        <v>99959.39999999999</v>
      </c>
      <c r="E94" s="5" t="n">
        <v>99959.39999999999</v>
      </c>
      <c r="F94" s="4" t="inlineStr">
        <is>
          <t>Mesmo documento/fornecedor/valor/data de outro registro (cadastro posterior)</t>
        </is>
      </c>
    </row>
    <row r="95">
      <c r="A95" s="4" t="inlineStr">
        <is>
          <t>T01_DUPLICIDADE</t>
        </is>
      </c>
      <c r="B95" s="4" t="inlineStr">
        <is>
          <t>IMB-0314349</t>
        </is>
      </c>
      <c r="C95" s="4" t="inlineStr">
        <is>
          <t>DESENVOLVIMENTO_CAMPOS</t>
        </is>
      </c>
      <c r="D95" s="5" t="n">
        <v>5355.48</v>
      </c>
      <c r="E95" s="5" t="n">
        <v>5355.48</v>
      </c>
      <c r="F95" s="4" t="inlineStr">
        <is>
          <t>Mesmo documento/fornecedor/valor/data de outro registro (cadastro posterior)</t>
        </is>
      </c>
    </row>
    <row r="96">
      <c r="A96" s="4" t="inlineStr">
        <is>
          <t>T01_DUPLICIDADE</t>
        </is>
      </c>
      <c r="B96" s="4" t="inlineStr">
        <is>
          <t>IMB-0286029</t>
        </is>
      </c>
      <c r="C96" s="4" t="inlineStr">
        <is>
          <t>MAQUINAS_EQUIPAMENTOS</t>
        </is>
      </c>
      <c r="D96" s="5" t="n">
        <v>3060.56</v>
      </c>
      <c r="E96" s="5" t="n">
        <v>3060.56</v>
      </c>
      <c r="F96" s="4" t="inlineStr">
        <is>
          <t>Mesmo documento/fornecedor/valor/data de outro registro (cadastro posterior)</t>
        </is>
      </c>
    </row>
    <row r="97">
      <c r="A97" s="4" t="inlineStr">
        <is>
          <t>T01_DUPLICIDADE</t>
        </is>
      </c>
      <c r="B97" s="4" t="inlineStr">
        <is>
          <t>IMB-0468355</t>
        </is>
      </c>
      <c r="C97" s="4" t="inlineStr">
        <is>
          <t>DESENVOLVIMENTO_CAMPOS</t>
        </is>
      </c>
      <c r="D97" s="5" t="n">
        <v>2947113.56</v>
      </c>
      <c r="E97" s="5" t="n">
        <v>2947113.56</v>
      </c>
      <c r="F97" s="4" t="inlineStr">
        <is>
          <t>Mesmo documento/fornecedor/valor/data de outro registro (cadastro posterior)</t>
        </is>
      </c>
    </row>
    <row r="98">
      <c r="A98" s="4" t="inlineStr">
        <is>
          <t>T01_DUPLICIDADE</t>
        </is>
      </c>
      <c r="B98" s="4" t="inlineStr">
        <is>
          <t>IMB-0168830</t>
        </is>
      </c>
      <c r="C98" s="4" t="inlineStr">
        <is>
          <t>OUTROS</t>
        </is>
      </c>
      <c r="D98" s="5" t="n">
        <v>0</v>
      </c>
      <c r="E98" s="5" t="n">
        <v>0</v>
      </c>
      <c r="F98" s="4" t="inlineStr">
        <is>
          <t>Mesmo documento/fornecedor/valor/data de outro registro (cadastro posterior)</t>
        </is>
      </c>
    </row>
    <row r="99">
      <c r="A99" s="4" t="inlineStr">
        <is>
          <t>T01_DUPLICIDADE</t>
        </is>
      </c>
      <c r="B99" s="4" t="inlineStr">
        <is>
          <t>IMB-0417735</t>
        </is>
      </c>
      <c r="C99" s="4" t="inlineStr">
        <is>
          <t>DESENVOLVIMENTO_CAMPOS</t>
        </is>
      </c>
      <c r="D99" s="5" t="n">
        <v>3805.92</v>
      </c>
      <c r="E99" s="5" t="n">
        <v>3805.92</v>
      </c>
      <c r="F99" s="4" t="inlineStr">
        <is>
          <t>Mesmo documento/fornecedor/valor/data de outro registro (cadastro posterior)</t>
        </is>
      </c>
    </row>
    <row r="100">
      <c r="A100" s="4" t="inlineStr">
        <is>
          <t>T01_DUPLICIDADE</t>
        </is>
      </c>
      <c r="B100" s="4" t="inlineStr">
        <is>
          <t>IMB-0259899</t>
        </is>
      </c>
      <c r="C100" s="4" t="inlineStr">
        <is>
          <t>OUTROS</t>
        </is>
      </c>
      <c r="D100" s="5" t="n">
        <v>40822.53</v>
      </c>
      <c r="E100" s="5" t="n">
        <v>40822.53</v>
      </c>
      <c r="F100" s="4" t="inlineStr">
        <is>
          <t>Mesmo documento/fornecedor/valor/data de outro registro (cadastro posterior)</t>
        </is>
      </c>
    </row>
    <row r="101">
      <c r="A101" s="4" t="inlineStr">
        <is>
          <t>T01_DUPLICIDADE</t>
        </is>
      </c>
      <c r="B101" s="4" t="inlineStr">
        <is>
          <t>IMB-0227012</t>
        </is>
      </c>
      <c r="C101" s="4" t="inlineStr">
        <is>
          <t>OUTROS</t>
        </is>
      </c>
      <c r="D101" s="5" t="n">
        <v>21219.6</v>
      </c>
      <c r="E101" s="5" t="n">
        <v>21219.6</v>
      </c>
      <c r="F101" s="4" t="inlineStr">
        <is>
          <t>Mesmo documento/fornecedor/valor/data de outro registro (cadastro posterior)</t>
        </is>
      </c>
    </row>
    <row r="102">
      <c r="A102" s="4" t="inlineStr">
        <is>
          <t>T01_DUPLICIDADE</t>
        </is>
      </c>
      <c r="B102" s="4" t="inlineStr">
        <is>
          <t>IMB-0260810</t>
        </is>
      </c>
      <c r="C102" s="4" t="inlineStr">
        <is>
          <t>MAQUINAS_EQUIPAMENTOS</t>
        </is>
      </c>
      <c r="D102" s="5" t="n">
        <v>1630.52</v>
      </c>
      <c r="E102" s="5" t="n">
        <v>1630.52</v>
      </c>
      <c r="F102" s="4" t="inlineStr">
        <is>
          <t>Mesmo documento/fornecedor/valor/data de outro registro (cadastro posterior)</t>
        </is>
      </c>
    </row>
    <row r="103">
      <c r="A103" s="4" t="inlineStr">
        <is>
          <t>T01_DUPLICIDADE</t>
        </is>
      </c>
      <c r="B103" s="4" t="inlineStr">
        <is>
          <t>IMB-0342234</t>
        </is>
      </c>
      <c r="C103" s="4" t="inlineStr">
        <is>
          <t>OUTROS</t>
        </is>
      </c>
      <c r="D103" s="5" t="n">
        <v>17760.58</v>
      </c>
      <c r="E103" s="5" t="n">
        <v>17760.58</v>
      </c>
      <c r="F103" s="4" t="inlineStr">
        <is>
          <t>Mesmo documento/fornecedor/valor/data de outro registro (cadastro posterior)</t>
        </is>
      </c>
    </row>
    <row r="104">
      <c r="A104" s="4" t="inlineStr">
        <is>
          <t>T01_DUPLICIDADE</t>
        </is>
      </c>
      <c r="B104" s="4" t="inlineStr">
        <is>
          <t>IMB-0364806</t>
        </is>
      </c>
      <c r="C104" s="4" t="inlineStr">
        <is>
          <t>MAQUINAS_EQUIPAMENTOS</t>
        </is>
      </c>
      <c r="D104" s="5" t="n">
        <v>1063.41</v>
      </c>
      <c r="E104" s="5" t="n">
        <v>1063.41</v>
      </c>
      <c r="F104" s="4" t="inlineStr">
        <is>
          <t>Mesmo documento/fornecedor/valor/data de outro registro (cadastro posterior)</t>
        </is>
      </c>
    </row>
    <row r="105">
      <c r="A105" s="4" t="inlineStr">
        <is>
          <t>T01_DUPLICIDADE</t>
        </is>
      </c>
      <c r="B105" s="4" t="inlineStr">
        <is>
          <t>IMB-0254963</t>
        </is>
      </c>
      <c r="C105" s="4" t="inlineStr">
        <is>
          <t>OUTROS</t>
        </is>
      </c>
      <c r="D105" s="5" t="n">
        <v>48530.8</v>
      </c>
      <c r="E105" s="5" t="n">
        <v>48530.8</v>
      </c>
      <c r="F105" s="4" t="inlineStr">
        <is>
          <t>Mesmo documento/fornecedor/valor/data de outro registro (cadastro posterior)</t>
        </is>
      </c>
    </row>
    <row r="106">
      <c r="A106" s="4" t="inlineStr">
        <is>
          <t>T01_DUPLICIDADE</t>
        </is>
      </c>
      <c r="B106" s="4" t="inlineStr">
        <is>
          <t>IMB-0339907</t>
        </is>
      </c>
      <c r="C106" s="4" t="inlineStr">
        <is>
          <t>DESENVOLVIMENTO_CAMPOS</t>
        </is>
      </c>
      <c r="D106" s="5" t="n">
        <v>273119.88</v>
      </c>
      <c r="E106" s="5" t="n">
        <v>273119.88</v>
      </c>
      <c r="F106" s="4" t="inlineStr">
        <is>
          <t>Mesmo documento/fornecedor/valor/data de outro registro (cadastro posterior)</t>
        </is>
      </c>
    </row>
    <row r="107">
      <c r="A107" s="4" t="inlineStr">
        <is>
          <t>T01_DUPLICIDADE</t>
        </is>
      </c>
      <c r="B107" s="4" t="inlineStr">
        <is>
          <t>IMB-0392621</t>
        </is>
      </c>
      <c r="C107" s="4" t="inlineStr">
        <is>
          <t>DESENVOLVIMENTO_CAMPOS</t>
        </is>
      </c>
      <c r="D107" s="5" t="n">
        <v>16497.21</v>
      </c>
      <c r="E107" s="5" t="n">
        <v>16497.21</v>
      </c>
      <c r="F107" s="4" t="inlineStr">
        <is>
          <t>Mesmo documento/fornecedor/valor/data de outro registro (cadastro posterior)</t>
        </is>
      </c>
    </row>
    <row r="108">
      <c r="A108" s="4" t="inlineStr">
        <is>
          <t>T01_DUPLICIDADE</t>
        </is>
      </c>
      <c r="B108" s="4" t="inlineStr">
        <is>
          <t>IMB-0009115</t>
        </is>
      </c>
      <c r="C108" s="4" t="inlineStr">
        <is>
          <t>DESENVOLVIMENTO_CAMPOS</t>
        </is>
      </c>
      <c r="D108" s="5" t="n">
        <v>153753.33</v>
      </c>
      <c r="E108" s="5" t="n">
        <v>153753.33</v>
      </c>
      <c r="F108" s="4" t="inlineStr">
        <is>
          <t>Mesmo documento/fornecedor/valor/data de outro registro (cadastro posterior)</t>
        </is>
      </c>
    </row>
    <row r="109">
      <c r="A109" s="4" t="inlineStr">
        <is>
          <t>T01_DUPLICIDADE</t>
        </is>
      </c>
      <c r="B109" s="4" t="inlineStr">
        <is>
          <t>IMB-0425730</t>
        </is>
      </c>
      <c r="C109" s="4" t="inlineStr">
        <is>
          <t>DESENVOLVIMENTO_CAMPOS</t>
        </is>
      </c>
      <c r="D109" s="5" t="n">
        <v>254.59</v>
      </c>
      <c r="E109" s="5" t="n">
        <v>254.59</v>
      </c>
      <c r="F109" s="4" t="inlineStr">
        <is>
          <t>Mesmo documento/fornecedor/valor/data de outro registro (cadastro posterior)</t>
        </is>
      </c>
    </row>
    <row r="110">
      <c r="A110" s="4" t="inlineStr">
        <is>
          <t>T01_DUPLICIDADE</t>
        </is>
      </c>
      <c r="B110" s="4" t="inlineStr">
        <is>
          <t>IMB-0208700</t>
        </is>
      </c>
      <c r="C110" s="4" t="inlineStr">
        <is>
          <t>DESENVOLVIMENTO_CAMPOS</t>
        </is>
      </c>
      <c r="D110" s="5" t="n">
        <v>116.89</v>
      </c>
      <c r="E110" s="5" t="n">
        <v>116.89</v>
      </c>
      <c r="F110" s="4" t="inlineStr">
        <is>
          <t>Mesmo documento/fornecedor/valor/data de outro registro (cadastro posterior)</t>
        </is>
      </c>
    </row>
    <row r="111">
      <c r="A111" s="4" t="inlineStr">
        <is>
          <t>T01_DUPLICIDADE</t>
        </is>
      </c>
      <c r="B111" s="4" t="inlineStr">
        <is>
          <t>IMB-0506251</t>
        </is>
      </c>
      <c r="C111" s="4" t="inlineStr">
        <is>
          <t>MAQUINAS_EQUIPAMENTOS</t>
        </is>
      </c>
      <c r="D111" s="5" t="n">
        <v>1575.13</v>
      </c>
      <c r="E111" s="5" t="n">
        <v>1575.13</v>
      </c>
      <c r="F111" s="4" t="inlineStr">
        <is>
          <t>Mesmo documento/fornecedor/valor/data de outro registro (cadastro posterior)</t>
        </is>
      </c>
    </row>
    <row r="112">
      <c r="A112" s="4" t="inlineStr">
        <is>
          <t>T01_DUPLICIDADE</t>
        </is>
      </c>
      <c r="B112" s="4" t="inlineStr">
        <is>
          <t>IMB-0464347</t>
        </is>
      </c>
      <c r="C112" s="4" t="inlineStr">
        <is>
          <t>DESENVOLVIMENTO_CAMPOS</t>
        </is>
      </c>
      <c r="D112" s="5" t="n">
        <v>859.46</v>
      </c>
      <c r="E112" s="5" t="n">
        <v>859.46</v>
      </c>
      <c r="F112" s="4" t="inlineStr">
        <is>
          <t>Mesmo documento/fornecedor/valor/data de outro registro (cadastro posterior)</t>
        </is>
      </c>
    </row>
    <row r="113">
      <c r="A113" s="4" t="inlineStr">
        <is>
          <t>T01_DUPLICIDADE</t>
        </is>
      </c>
      <c r="B113" s="4" t="inlineStr">
        <is>
          <t>IMB-0268348</t>
        </is>
      </c>
      <c r="C113" s="4" t="inlineStr">
        <is>
          <t>OUTROS</t>
        </is>
      </c>
      <c r="D113" s="5" t="n">
        <v>753.24</v>
      </c>
      <c r="E113" s="5" t="n">
        <v>753.24</v>
      </c>
      <c r="F113" s="4" t="inlineStr">
        <is>
          <t>Mesmo documento/fornecedor/valor/data de outro registro (cadastro posterior)</t>
        </is>
      </c>
    </row>
    <row r="114">
      <c r="A114" s="4" t="inlineStr">
        <is>
          <t>T01_DUPLICIDADE</t>
        </is>
      </c>
      <c r="B114" s="4" t="inlineStr">
        <is>
          <t>IMB-0434147</t>
        </is>
      </c>
      <c r="C114" s="4" t="inlineStr">
        <is>
          <t>MAQUINAS_EQUIPAMENTOS</t>
        </is>
      </c>
      <c r="D114" s="5" t="n">
        <v>8252.73</v>
      </c>
      <c r="E114" s="5" t="n">
        <v>8252.73</v>
      </c>
      <c r="F114" s="4" t="inlineStr">
        <is>
          <t>Mesmo documento/fornecedor/valor/data de outro registro (cadastro posterior)</t>
        </is>
      </c>
    </row>
    <row r="115">
      <c r="A115" s="4" t="inlineStr">
        <is>
          <t>T01_DUPLICIDADE</t>
        </is>
      </c>
      <c r="B115" s="4" t="inlineStr">
        <is>
          <t>IMB-0228176</t>
        </is>
      </c>
      <c r="C115" s="4" t="inlineStr">
        <is>
          <t>DESENVOLVIMENTO_CAMPOS</t>
        </is>
      </c>
      <c r="D115" s="5" t="n">
        <v>9950.92</v>
      </c>
      <c r="E115" s="5" t="n">
        <v>9950.92</v>
      </c>
      <c r="F115" s="4" t="inlineStr">
        <is>
          <t>Mesmo documento/fornecedor/valor/data de outro registro (cadastro posterior)</t>
        </is>
      </c>
    </row>
    <row r="116">
      <c r="A116" s="4" t="inlineStr">
        <is>
          <t>T01_DUPLICIDADE</t>
        </is>
      </c>
      <c r="B116" s="4" t="inlineStr">
        <is>
          <t>IMB-0109542</t>
        </is>
      </c>
      <c r="C116" s="4" t="inlineStr">
        <is>
          <t>DESENVOLVIMENTO_CAMPOS</t>
        </is>
      </c>
      <c r="D116" s="5" t="n">
        <v>1529.81</v>
      </c>
      <c r="E116" s="5" t="n">
        <v>1529.81</v>
      </c>
      <c r="F116" s="4" t="inlineStr">
        <is>
          <t>Mesmo documento/fornecedor/valor/data de outro registro (cadastro posterior)</t>
        </is>
      </c>
    </row>
    <row r="117">
      <c r="A117" s="4" t="inlineStr">
        <is>
          <t>T01_DUPLICIDADE</t>
        </is>
      </c>
      <c r="B117" s="4" t="inlineStr">
        <is>
          <t>IMB-0455502</t>
        </is>
      </c>
      <c r="C117" s="4" t="inlineStr">
        <is>
          <t>DESENVOLVIMENTO_CAMPOS</t>
        </is>
      </c>
      <c r="D117" s="5" t="n">
        <v>155.8</v>
      </c>
      <c r="E117" s="5" t="n">
        <v>155.8</v>
      </c>
      <c r="F117" s="4" t="inlineStr">
        <is>
          <t>Mesmo documento/fornecedor/valor/data de outro registro (cadastro posterior)</t>
        </is>
      </c>
    </row>
    <row r="118">
      <c r="A118" s="4" t="inlineStr">
        <is>
          <t>T01_DUPLICIDADE</t>
        </is>
      </c>
      <c r="B118" s="4" t="inlineStr">
        <is>
          <t>IMB-0417639</t>
        </is>
      </c>
      <c r="C118" s="4" t="inlineStr">
        <is>
          <t>DESENVOLVIMENTO_CAMPOS</t>
        </is>
      </c>
      <c r="D118" s="5" t="n">
        <v>25.04</v>
      </c>
      <c r="E118" s="5" t="n">
        <v>25.04</v>
      </c>
      <c r="F118" s="4" t="inlineStr">
        <is>
          <t>Mesmo documento/fornecedor/valor/data de outro registro (cadastro posterior)</t>
        </is>
      </c>
    </row>
    <row r="119">
      <c r="A119" s="4" t="inlineStr">
        <is>
          <t>T01_DUPLICIDADE</t>
        </is>
      </c>
      <c r="B119" s="4" t="inlineStr">
        <is>
          <t>IMB-0081236</t>
        </is>
      </c>
      <c r="C119" s="4" t="inlineStr">
        <is>
          <t>DESENVOLVIMENTO_CAMPOS</t>
        </is>
      </c>
      <c r="D119" s="5" t="n">
        <v>167.96</v>
      </c>
      <c r="E119" s="5" t="n">
        <v>167.96</v>
      </c>
      <c r="F119" s="4" t="inlineStr">
        <is>
          <t>Mesmo documento/fornecedor/valor/data de outro registro (cadastro posterior)</t>
        </is>
      </c>
    </row>
    <row r="120">
      <c r="A120" s="4" t="inlineStr">
        <is>
          <t>T01_DUPLICIDADE</t>
        </is>
      </c>
      <c r="B120" s="4" t="inlineStr">
        <is>
          <t>IMB-0491475</t>
        </is>
      </c>
      <c r="C120" s="4" t="inlineStr">
        <is>
          <t>OUTROS</t>
        </is>
      </c>
      <c r="D120" s="5" t="n">
        <v>0</v>
      </c>
      <c r="E120" s="5" t="n">
        <v>0</v>
      </c>
      <c r="F120" s="4" t="inlineStr">
        <is>
          <t>Mesmo documento/fornecedor/valor/data de outro registro (cadastro posterior)</t>
        </is>
      </c>
    </row>
    <row r="121">
      <c r="A121" s="4" t="inlineStr">
        <is>
          <t>T01_DUPLICIDADE</t>
        </is>
      </c>
      <c r="B121" s="4" t="inlineStr">
        <is>
          <t>IMB-0484323</t>
        </is>
      </c>
      <c r="C121" s="4" t="inlineStr">
        <is>
          <t>MAQUINAS_EQUIPAMENTOS</t>
        </is>
      </c>
      <c r="D121" s="5" t="n">
        <v>10054.91</v>
      </c>
      <c r="E121" s="5" t="n">
        <v>10054.91</v>
      </c>
      <c r="F121" s="4" t="inlineStr">
        <is>
          <t>Mesmo documento/fornecedor/valor/data de outro registro (cadastro posterior)</t>
        </is>
      </c>
    </row>
    <row r="122">
      <c r="A122" s="4" t="inlineStr">
        <is>
          <t>T01_DUPLICIDADE</t>
        </is>
      </c>
      <c r="B122" s="4" t="inlineStr">
        <is>
          <t>IMB-0067614</t>
        </is>
      </c>
      <c r="C122" s="4" t="inlineStr">
        <is>
          <t>DESENVOLVIMENTO_CAMPOS</t>
        </is>
      </c>
      <c r="D122" s="5" t="n">
        <v>78732.99000000001</v>
      </c>
      <c r="E122" s="5" t="n">
        <v>78732.99000000001</v>
      </c>
      <c r="F122" s="4" t="inlineStr">
        <is>
          <t>Mesmo documento/fornecedor/valor/data de outro registro (cadastro posterior)</t>
        </is>
      </c>
    </row>
    <row r="123">
      <c r="A123" s="4" t="inlineStr">
        <is>
          <t>T01_DUPLICIDADE</t>
        </is>
      </c>
      <c r="B123" s="4" t="inlineStr">
        <is>
          <t>IMB-0022818</t>
        </is>
      </c>
      <c r="C123" s="4" t="inlineStr">
        <is>
          <t>MAQUINAS_EQUIPAMENTOS</t>
        </is>
      </c>
      <c r="D123" s="5" t="n">
        <v>16505.57</v>
      </c>
      <c r="E123" s="5" t="n">
        <v>16505.57</v>
      </c>
      <c r="F123" s="4" t="inlineStr">
        <is>
          <t>Mesmo documento/fornecedor/valor/data de outro registro (cadastro posterior)</t>
        </is>
      </c>
    </row>
    <row r="124">
      <c r="A124" s="4" t="inlineStr">
        <is>
          <t>T01_DUPLICIDADE</t>
        </is>
      </c>
      <c r="B124" s="4" t="inlineStr">
        <is>
          <t>IMB-0000676</t>
        </is>
      </c>
      <c r="C124" s="4" t="inlineStr">
        <is>
          <t>OUTROS</t>
        </is>
      </c>
      <c r="D124" s="5" t="n">
        <v>20972.82</v>
      </c>
      <c r="E124" s="5" t="n">
        <v>20972.82</v>
      </c>
      <c r="F124" s="4" t="inlineStr">
        <is>
          <t>Mesmo documento/fornecedor/valor/data de outro registro (cadastro posterior)</t>
        </is>
      </c>
    </row>
    <row r="125">
      <c r="A125" s="4" t="inlineStr">
        <is>
          <t>T01_DUPLICIDADE</t>
        </is>
      </c>
      <c r="B125" s="4" t="inlineStr">
        <is>
          <t>IMB-0377516</t>
        </is>
      </c>
      <c r="C125" s="4" t="inlineStr">
        <is>
          <t>OUTROS</t>
        </is>
      </c>
      <c r="D125" s="5" t="n">
        <v>157.32</v>
      </c>
      <c r="E125" s="5" t="n">
        <v>157.32</v>
      </c>
      <c r="F125" s="4" t="inlineStr">
        <is>
          <t>Mesmo documento/fornecedor/valor/data de outro registro (cadastro posterior)</t>
        </is>
      </c>
    </row>
    <row r="126">
      <c r="A126" s="4" t="inlineStr">
        <is>
          <t>T01_DUPLICIDADE</t>
        </is>
      </c>
      <c r="B126" s="4" t="inlineStr">
        <is>
          <t>IMB-0118291</t>
        </is>
      </c>
      <c r="C126" s="4" t="inlineStr">
        <is>
          <t>DESENVOLVIMENTO_CAMPOS</t>
        </is>
      </c>
      <c r="D126" s="5" t="n">
        <v>89921.60000000001</v>
      </c>
      <c r="E126" s="5" t="n">
        <v>89921.60000000001</v>
      </c>
      <c r="F126" s="4" t="inlineStr">
        <is>
          <t>Mesmo documento/fornecedor/valor/data de outro registro (cadastro posterior)</t>
        </is>
      </c>
    </row>
    <row r="127">
      <c r="A127" s="4" t="inlineStr">
        <is>
          <t>T01_DUPLICIDADE</t>
        </is>
      </c>
      <c r="B127" s="4" t="inlineStr">
        <is>
          <t>IMB-0453780</t>
        </is>
      </c>
      <c r="C127" s="4" t="inlineStr">
        <is>
          <t>DESENVOLVIMENTO_CAMPOS</t>
        </is>
      </c>
      <c r="D127" s="5" t="n">
        <v>72922.24000000001</v>
      </c>
      <c r="E127" s="5" t="n">
        <v>72922.24000000001</v>
      </c>
      <c r="F127" s="4" t="inlineStr">
        <is>
          <t>Mesmo documento/fornecedor/valor/data de outro registro (cadastro posterior)</t>
        </is>
      </c>
    </row>
    <row r="128">
      <c r="A128" s="4" t="inlineStr">
        <is>
          <t>T01_DUPLICIDADE</t>
        </is>
      </c>
      <c r="B128" s="4" t="inlineStr">
        <is>
          <t>IMB-0411647</t>
        </is>
      </c>
      <c r="C128" s="4" t="inlineStr">
        <is>
          <t>DESENVOLVIMENTO_CAMPOS</t>
        </is>
      </c>
      <c r="D128" s="5" t="n">
        <v>7395.07</v>
      </c>
      <c r="E128" s="5" t="n">
        <v>7395.07</v>
      </c>
      <c r="F128" s="4" t="inlineStr">
        <is>
          <t>Mesmo documento/fornecedor/valor/data de outro registro (cadastro posterior)</t>
        </is>
      </c>
    </row>
    <row r="129">
      <c r="A129" s="4" t="inlineStr">
        <is>
          <t>T01_DUPLICIDADE</t>
        </is>
      </c>
      <c r="B129" s="4" t="inlineStr">
        <is>
          <t>IMB-0223812</t>
        </is>
      </c>
      <c r="C129" s="4" t="inlineStr">
        <is>
          <t>DESENVOLVIMENTO_CAMPOS</t>
        </is>
      </c>
      <c r="D129" s="5" t="n">
        <v>5476.93</v>
      </c>
      <c r="E129" s="5" t="n">
        <v>5476.93</v>
      </c>
      <c r="F129" s="4" t="inlineStr">
        <is>
          <t>Mesmo documento/fornecedor/valor/data de outro registro (cadastro posterior)</t>
        </is>
      </c>
    </row>
    <row r="130">
      <c r="A130" s="4" t="inlineStr">
        <is>
          <t>T01_DUPLICIDADE</t>
        </is>
      </c>
      <c r="B130" s="4" t="inlineStr">
        <is>
          <t>IMB-0520589</t>
        </is>
      </c>
      <c r="C130" s="4" t="inlineStr">
        <is>
          <t>MAQUINAS_EQUIPAMENTOS</t>
        </is>
      </c>
      <c r="D130" s="5" t="n">
        <v>760.9</v>
      </c>
      <c r="E130" s="5" t="n">
        <v>760.9</v>
      </c>
      <c r="F130" s="4" t="inlineStr">
        <is>
          <t>Mesmo documento/fornecedor/valor/data de outro registro (cadastro posterior)</t>
        </is>
      </c>
    </row>
    <row r="131">
      <c r="A131" s="4" t="inlineStr">
        <is>
          <t>T01_DUPLICIDADE</t>
        </is>
      </c>
      <c r="B131" s="4" t="inlineStr">
        <is>
          <t>IMB-0334345</t>
        </is>
      </c>
      <c r="C131" s="4" t="inlineStr">
        <is>
          <t>MAQUINAS_EQUIPAMENTOS</t>
        </is>
      </c>
      <c r="D131" s="5" t="n">
        <v>11870.75</v>
      </c>
      <c r="E131" s="5" t="n">
        <v>11870.75</v>
      </c>
      <c r="F131" s="4" t="inlineStr">
        <is>
          <t>Mesmo documento/fornecedor/valor/data de outro registro (cadastro posterior)</t>
        </is>
      </c>
    </row>
    <row r="132">
      <c r="A132" s="4" t="inlineStr">
        <is>
          <t>T01_DUPLICIDADE</t>
        </is>
      </c>
      <c r="B132" s="4" t="inlineStr">
        <is>
          <t>IMB-0288301</t>
        </is>
      </c>
      <c r="C132" s="4" t="inlineStr">
        <is>
          <t>OUTROS</t>
        </is>
      </c>
      <c r="D132" s="5" t="n">
        <v>118.28</v>
      </c>
      <c r="E132" s="5" t="n">
        <v>118.28</v>
      </c>
      <c r="F132" s="4" t="inlineStr">
        <is>
          <t>Mesmo documento/fornecedor/valor/data de outro registro (cadastro posterior)</t>
        </is>
      </c>
    </row>
    <row r="133">
      <c r="A133" s="4" t="inlineStr">
        <is>
          <t>T01_DUPLICIDADE</t>
        </is>
      </c>
      <c r="B133" s="4" t="inlineStr">
        <is>
          <t>IMB-0057296</t>
        </is>
      </c>
      <c r="C133" s="4" t="inlineStr">
        <is>
          <t>DESENVOLVIMENTO_CAMPOS</t>
        </is>
      </c>
      <c r="D133" s="5" t="n">
        <v>21.27</v>
      </c>
      <c r="E133" s="5" t="n">
        <v>21.27</v>
      </c>
      <c r="F133" s="4" t="inlineStr">
        <is>
          <t>Mesmo documento/fornecedor/valor/data de outro registro (cadastro posterior)</t>
        </is>
      </c>
    </row>
    <row r="134">
      <c r="A134" s="4" t="inlineStr">
        <is>
          <t>T01_DUPLICIDADE</t>
        </is>
      </c>
      <c r="B134" s="4" t="inlineStr">
        <is>
          <t>IMB-0093694</t>
        </is>
      </c>
      <c r="C134" s="4" t="inlineStr">
        <is>
          <t>DESENVOLVIMENTO_CAMPOS</t>
        </is>
      </c>
      <c r="D134" s="5" t="n">
        <v>949.66</v>
      </c>
      <c r="E134" s="5" t="n">
        <v>949.66</v>
      </c>
      <c r="F134" s="4" t="inlineStr">
        <is>
          <t>Mesmo documento/fornecedor/valor/data de outro registro (cadastro posterior)</t>
        </is>
      </c>
    </row>
    <row r="135">
      <c r="A135" s="4" t="inlineStr">
        <is>
          <t>T01_DUPLICIDADE</t>
        </is>
      </c>
      <c r="B135" s="4" t="inlineStr">
        <is>
          <t>IMB-0425337</t>
        </is>
      </c>
      <c r="C135" s="4" t="inlineStr">
        <is>
          <t>MAQUINAS_EQUIPAMENTOS</t>
        </is>
      </c>
      <c r="D135" s="5" t="n">
        <v>433.68</v>
      </c>
      <c r="E135" s="5" t="n">
        <v>433.68</v>
      </c>
      <c r="F135" s="4" t="inlineStr">
        <is>
          <t>Mesmo documento/fornecedor/valor/data de outro registro (cadastro posterior)</t>
        </is>
      </c>
    </row>
    <row r="136">
      <c r="A136" s="4" t="inlineStr">
        <is>
          <t>T01_DUPLICIDADE</t>
        </is>
      </c>
      <c r="B136" s="4" t="inlineStr">
        <is>
          <t>IMB-0373115</t>
        </is>
      </c>
      <c r="C136" s="4" t="inlineStr">
        <is>
          <t>OUTROS</t>
        </is>
      </c>
      <c r="D136" s="5" t="n">
        <v>3219.02</v>
      </c>
      <c r="E136" s="5" t="n">
        <v>3219.02</v>
      </c>
      <c r="F136" s="4" t="inlineStr">
        <is>
          <t>Mesmo documento/fornecedor/valor/data de outro registro (cadastro posterior)</t>
        </is>
      </c>
    </row>
    <row r="137">
      <c r="A137" s="4" t="inlineStr">
        <is>
          <t>T01_DUPLICIDADE</t>
        </is>
      </c>
      <c r="B137" s="4" t="inlineStr">
        <is>
          <t>IMB-0150211</t>
        </is>
      </c>
      <c r="C137" s="4" t="inlineStr">
        <is>
          <t>DESENVOLVIMENTO_CAMPOS</t>
        </is>
      </c>
      <c r="D137" s="5" t="n">
        <v>12813.05</v>
      </c>
      <c r="E137" s="5" t="n">
        <v>12813.05</v>
      </c>
      <c r="F137" s="4" t="inlineStr">
        <is>
          <t>Mesmo documento/fornecedor/valor/data de outro registro (cadastro posterior)</t>
        </is>
      </c>
    </row>
    <row r="138">
      <c r="A138" s="4" t="inlineStr">
        <is>
          <t>T01_DUPLICIDADE</t>
        </is>
      </c>
      <c r="B138" s="4" t="inlineStr">
        <is>
          <t>IMB-0040963</t>
        </is>
      </c>
      <c r="C138" s="4" t="inlineStr">
        <is>
          <t>DESENVOLVIMENTO_CAMPOS</t>
        </is>
      </c>
      <c r="D138" s="5" t="n">
        <v>6430.18</v>
      </c>
      <c r="E138" s="5" t="n">
        <v>6430.18</v>
      </c>
      <c r="F138" s="4" t="inlineStr">
        <is>
          <t>Mesmo documento/fornecedor/valor/data de outro registro (cadastro posterior)</t>
        </is>
      </c>
    </row>
    <row r="139">
      <c r="A139" s="4" t="inlineStr">
        <is>
          <t>T01_DUPLICIDADE</t>
        </is>
      </c>
      <c r="B139" s="4" t="inlineStr">
        <is>
          <t>IMB-0454550</t>
        </is>
      </c>
      <c r="C139" s="4" t="inlineStr">
        <is>
          <t>DESENVOLVIMENTO_CAMPOS</t>
        </is>
      </c>
      <c r="D139" s="5" t="n">
        <v>970.65</v>
      </c>
      <c r="E139" s="5" t="n">
        <v>970.65</v>
      </c>
      <c r="F139" s="4" t="inlineStr">
        <is>
          <t>Mesmo documento/fornecedor/valor/data de outro registro (cadastro posterior)</t>
        </is>
      </c>
    </row>
    <row r="140">
      <c r="A140" s="4" t="inlineStr">
        <is>
          <t>T01_DUPLICIDADE</t>
        </is>
      </c>
      <c r="B140" s="4" t="inlineStr">
        <is>
          <t>IMB-0370040</t>
        </is>
      </c>
      <c r="C140" s="4" t="inlineStr">
        <is>
          <t>OUTROS</t>
        </is>
      </c>
      <c r="D140" s="5" t="n">
        <v>1249.95</v>
      </c>
      <c r="E140" s="5" t="n">
        <v>1249.95</v>
      </c>
      <c r="F140" s="4" t="inlineStr">
        <is>
          <t>Mesmo documento/fornecedor/valor/data de outro registro (cadastro posterior)</t>
        </is>
      </c>
    </row>
    <row r="141">
      <c r="A141" s="4" t="inlineStr">
        <is>
          <t>T01_DUPLICIDADE</t>
        </is>
      </c>
      <c r="B141" s="4" t="inlineStr">
        <is>
          <t>IMB-0067313</t>
        </is>
      </c>
      <c r="C141" s="4" t="inlineStr">
        <is>
          <t>MAQUINAS_EQUIPAMENTOS</t>
        </is>
      </c>
      <c r="D141" s="5" t="n">
        <v>19134.65</v>
      </c>
      <c r="E141" s="5" t="n">
        <v>19134.65</v>
      </c>
      <c r="F141" s="4" t="inlineStr">
        <is>
          <t>Mesmo documento/fornecedor/valor/data de outro registro (cadastro posterior)</t>
        </is>
      </c>
    </row>
    <row r="142">
      <c r="A142" s="4" t="inlineStr">
        <is>
          <t>T01_DUPLICIDADE</t>
        </is>
      </c>
      <c r="B142" s="4" t="inlineStr">
        <is>
          <t>IMB-0506773</t>
        </is>
      </c>
      <c r="C142" s="4" t="inlineStr">
        <is>
          <t>DESENVOLVIMENTO_CAMPOS</t>
        </is>
      </c>
      <c r="D142" s="5" t="n">
        <v>33048.94</v>
      </c>
      <c r="E142" s="5" t="n">
        <v>33048.94</v>
      </c>
      <c r="F142" s="4" t="inlineStr">
        <is>
          <t>Mesmo documento/fornecedor/valor/data de outro registro (cadastro posterior)</t>
        </is>
      </c>
    </row>
    <row r="143">
      <c r="A143" s="4" t="inlineStr">
        <is>
          <t>T01_DUPLICIDADE</t>
        </is>
      </c>
      <c r="B143" s="4" t="inlineStr">
        <is>
          <t>IMB-0261574</t>
        </is>
      </c>
      <c r="C143" s="4" t="inlineStr">
        <is>
          <t>OUTROS</t>
        </is>
      </c>
      <c r="D143" s="5" t="n">
        <v>3180.3</v>
      </c>
      <c r="E143" s="5" t="n">
        <v>3180.3</v>
      </c>
      <c r="F143" s="4" t="inlineStr">
        <is>
          <t>Mesmo documento/fornecedor/valor/data de outro registro (cadastro posterior)</t>
        </is>
      </c>
    </row>
    <row r="144">
      <c r="A144" s="4" t="inlineStr">
        <is>
          <t>T01_DUPLICIDADE</t>
        </is>
      </c>
      <c r="B144" s="4" t="inlineStr">
        <is>
          <t>IMB-0411817</t>
        </is>
      </c>
      <c r="C144" s="4" t="inlineStr">
        <is>
          <t>DESENVOLVIMENTO_CAMPOS</t>
        </is>
      </c>
      <c r="D144" s="5" t="n">
        <v>102.93</v>
      </c>
      <c r="E144" s="5" t="n">
        <v>102.93</v>
      </c>
      <c r="F144" s="4" t="inlineStr">
        <is>
          <t>Mesmo documento/fornecedor/valor/data de outro registro (cadastro posterior)</t>
        </is>
      </c>
    </row>
    <row r="145">
      <c r="A145" s="4" t="inlineStr">
        <is>
          <t>T01_DUPLICIDADE</t>
        </is>
      </c>
      <c r="B145" s="4" t="inlineStr">
        <is>
          <t>IMB-0443302</t>
        </is>
      </c>
      <c r="C145" s="4" t="inlineStr">
        <is>
          <t>MAQUINAS_EQUIPAMENTOS</t>
        </is>
      </c>
      <c r="D145" s="5" t="n">
        <v>30744.77</v>
      </c>
      <c r="E145" s="5" t="n">
        <v>30744.77</v>
      </c>
      <c r="F145" s="4" t="inlineStr">
        <is>
          <t>Mesmo documento/fornecedor/valor/data de outro registro (cadastro posterior)</t>
        </is>
      </c>
    </row>
    <row r="146">
      <c r="A146" s="4" t="inlineStr">
        <is>
          <t>T01_DUPLICIDADE</t>
        </is>
      </c>
      <c r="B146" s="4" t="inlineStr">
        <is>
          <t>IMB-0223118</t>
        </is>
      </c>
      <c r="C146" s="4" t="inlineStr">
        <is>
          <t>OUTROS</t>
        </is>
      </c>
      <c r="D146" s="5" t="n">
        <v>12712.41</v>
      </c>
      <c r="E146" s="5" t="n">
        <v>12712.41</v>
      </c>
      <c r="F146" s="4" t="inlineStr">
        <is>
          <t>Mesmo documento/fornecedor/valor/data de outro registro (cadastro posterior)</t>
        </is>
      </c>
    </row>
    <row r="147">
      <c r="A147" s="4" t="inlineStr">
        <is>
          <t>T01_DUPLICIDADE</t>
        </is>
      </c>
      <c r="B147" s="4" t="inlineStr">
        <is>
          <t>IMB-0390030</t>
        </is>
      </c>
      <c r="C147" s="4" t="inlineStr">
        <is>
          <t>DESENVOLVIMENTO_CAMPOS</t>
        </is>
      </c>
      <c r="D147" s="5" t="n">
        <v>295.34</v>
      </c>
      <c r="E147" s="5" t="n">
        <v>295.34</v>
      </c>
      <c r="F147" s="4" t="inlineStr">
        <is>
          <t>Mesmo documento/fornecedor/valor/data de outro registro (cadastro posterior)</t>
        </is>
      </c>
    </row>
    <row r="148">
      <c r="A148" s="4" t="inlineStr">
        <is>
          <t>T01_DUPLICIDADE</t>
        </is>
      </c>
      <c r="B148" s="4" t="inlineStr">
        <is>
          <t>IMB-0147785</t>
        </is>
      </c>
      <c r="C148" s="4" t="inlineStr">
        <is>
          <t>OUTROS</t>
        </is>
      </c>
      <c r="D148" s="5" t="n">
        <v>45935.91</v>
      </c>
      <c r="E148" s="5" t="n">
        <v>45935.91</v>
      </c>
      <c r="F148" s="4" t="inlineStr">
        <is>
          <t>Mesmo documento/fornecedor/valor/data de outro registro (cadastro posterior)</t>
        </is>
      </c>
    </row>
    <row r="149">
      <c r="A149" s="4" t="inlineStr">
        <is>
          <t>T01_DUPLICIDADE</t>
        </is>
      </c>
      <c r="B149" s="4" t="inlineStr">
        <is>
          <t>IMB-0237933</t>
        </is>
      </c>
      <c r="C149" s="4" t="inlineStr">
        <is>
          <t>DESENVOLVIMENTO_CAMPOS</t>
        </is>
      </c>
      <c r="D149" s="5" t="n">
        <v>26079.3</v>
      </c>
      <c r="E149" s="5" t="n">
        <v>26079.3</v>
      </c>
      <c r="F149" s="4" t="inlineStr">
        <is>
          <t>Mesmo documento/fornecedor/valor/data de outro registro (cadastro posterior)</t>
        </is>
      </c>
    </row>
    <row r="150">
      <c r="A150" s="4" t="inlineStr">
        <is>
          <t>T01_DUPLICIDADE</t>
        </is>
      </c>
      <c r="B150" s="4" t="inlineStr">
        <is>
          <t>IMB-0208400</t>
        </is>
      </c>
      <c r="C150" s="4" t="inlineStr">
        <is>
          <t>MAQUINAS_EQUIPAMENTOS</t>
        </is>
      </c>
      <c r="D150" s="5" t="n">
        <v>11726.25</v>
      </c>
      <c r="E150" s="5" t="n">
        <v>11726.25</v>
      </c>
      <c r="F150" s="4" t="inlineStr">
        <is>
          <t>Mesmo documento/fornecedor/valor/data de outro registro (cadastro posterior)</t>
        </is>
      </c>
    </row>
    <row r="151">
      <c r="A151" s="4" t="inlineStr">
        <is>
          <t>T01_DUPLICIDADE</t>
        </is>
      </c>
      <c r="B151" s="4" t="inlineStr">
        <is>
          <t>IMB-0108496</t>
        </is>
      </c>
      <c r="C151" s="4" t="inlineStr">
        <is>
          <t>DESENVOLVIMENTO_CAMPOS</t>
        </is>
      </c>
      <c r="D151" s="5" t="n">
        <v>18499.56</v>
      </c>
      <c r="E151" s="5" t="n">
        <v>18499.56</v>
      </c>
      <c r="F151" s="4" t="inlineStr">
        <is>
          <t>Mesmo documento/fornecedor/valor/data de outro registro (cadastro posterior)</t>
        </is>
      </c>
    </row>
    <row r="152">
      <c r="A152" s="4" t="inlineStr">
        <is>
          <t>T01_DUPLICIDADE</t>
        </is>
      </c>
      <c r="B152" s="4" t="inlineStr">
        <is>
          <t>IMB-0070836</t>
        </is>
      </c>
      <c r="C152" s="4" t="inlineStr">
        <is>
          <t>MAQUINAS_EQUIPAMENTOS</t>
        </is>
      </c>
      <c r="D152" s="5" t="n">
        <v>28888.65</v>
      </c>
      <c r="E152" s="5" t="n">
        <v>28888.65</v>
      </c>
      <c r="F152" s="4" t="inlineStr">
        <is>
          <t>Mesmo documento/fornecedor/valor/data de outro registro (cadastro posterior)</t>
        </is>
      </c>
    </row>
    <row r="153">
      <c r="A153" s="4" t="inlineStr">
        <is>
          <t>T01_DUPLICIDADE</t>
        </is>
      </c>
      <c r="B153" s="4" t="inlineStr">
        <is>
          <t>IMB-0374611</t>
        </is>
      </c>
      <c r="C153" s="4" t="inlineStr">
        <is>
          <t>MAQUINAS_EQUIPAMENTOS</t>
        </is>
      </c>
      <c r="D153" s="5" t="n">
        <v>210.44</v>
      </c>
      <c r="E153" s="5" t="n">
        <v>210.44</v>
      </c>
      <c r="F153" s="4" t="inlineStr">
        <is>
          <t>Mesmo documento/fornecedor/valor/data de outro registro (cadastro posterior)</t>
        </is>
      </c>
    </row>
    <row r="154">
      <c r="A154" s="4" t="inlineStr">
        <is>
          <t>T01_DUPLICIDADE</t>
        </is>
      </c>
      <c r="B154" s="4" t="inlineStr">
        <is>
          <t>IMB-0228976</t>
        </is>
      </c>
      <c r="C154" s="4" t="inlineStr">
        <is>
          <t>DESENVOLVIMENTO_CAMPOS</t>
        </is>
      </c>
      <c r="D154" s="5" t="n">
        <v>126848.36</v>
      </c>
      <c r="E154" s="5" t="n">
        <v>126848.36</v>
      </c>
      <c r="F154" s="4" t="inlineStr">
        <is>
          <t>Mesmo documento/fornecedor/valor/data de outro registro (cadastro posterior)</t>
        </is>
      </c>
    </row>
    <row r="155">
      <c r="A155" s="4" t="inlineStr">
        <is>
          <t>T01_DUPLICIDADE</t>
        </is>
      </c>
      <c r="B155" s="4" t="inlineStr">
        <is>
          <t>IMB-0322003</t>
        </is>
      </c>
      <c r="C155" s="4" t="inlineStr">
        <is>
          <t>MAQUINAS_EQUIPAMENTOS</t>
        </is>
      </c>
      <c r="D155" s="5" t="n">
        <v>16201.41</v>
      </c>
      <c r="E155" s="5" t="n">
        <v>16201.41</v>
      </c>
      <c r="F155" s="4" t="inlineStr">
        <is>
          <t>Mesmo documento/fornecedor/valor/data de outro registro (cadastro posterior)</t>
        </is>
      </c>
    </row>
    <row r="156">
      <c r="A156" s="4" t="inlineStr">
        <is>
          <t>T01_DUPLICIDADE</t>
        </is>
      </c>
      <c r="B156" s="4" t="inlineStr">
        <is>
          <t>IMB-0455609</t>
        </is>
      </c>
      <c r="C156" s="4" t="inlineStr">
        <is>
          <t>DESENVOLVIMENTO_CAMPOS</t>
        </is>
      </c>
      <c r="D156" s="5" t="n">
        <v>195801.11</v>
      </c>
      <c r="E156" s="5" t="n">
        <v>195801.11</v>
      </c>
      <c r="F156" s="4" t="inlineStr">
        <is>
          <t>Mesmo documento/fornecedor/valor/data de outro registro (cadastro posterior)</t>
        </is>
      </c>
    </row>
    <row r="157">
      <c r="A157" s="4" t="inlineStr">
        <is>
          <t>T01_DUPLICIDADE</t>
        </is>
      </c>
      <c r="B157" s="4" t="inlineStr">
        <is>
          <t>IMB-0032615</t>
        </is>
      </c>
      <c r="C157" s="4" t="inlineStr">
        <is>
          <t>OUTROS</t>
        </is>
      </c>
      <c r="D157" s="5" t="n">
        <v>225701.05</v>
      </c>
      <c r="E157" s="5" t="n">
        <v>225701.05</v>
      </c>
      <c r="F157" s="4" t="inlineStr">
        <is>
          <t>Mesmo documento/fornecedor/valor/data de outro registro (cadastro posterior)</t>
        </is>
      </c>
    </row>
    <row r="158">
      <c r="A158" s="4" t="inlineStr">
        <is>
          <t>T01_DUPLICIDADE</t>
        </is>
      </c>
      <c r="B158" s="4" t="inlineStr">
        <is>
          <t>IMB-0168932</t>
        </is>
      </c>
      <c r="C158" s="4" t="inlineStr">
        <is>
          <t>MAQUINAS_EQUIPAMENTOS</t>
        </is>
      </c>
      <c r="D158" s="5" t="n">
        <v>0</v>
      </c>
      <c r="E158" s="5" t="n">
        <v>0</v>
      </c>
      <c r="F158" s="4" t="inlineStr">
        <is>
          <t>Mesmo documento/fornecedor/valor/data de outro registro (cadastro posterior)</t>
        </is>
      </c>
    </row>
    <row r="159">
      <c r="A159" s="4" t="inlineStr">
        <is>
          <t>T01_DUPLICIDADE</t>
        </is>
      </c>
      <c r="B159" s="4" t="inlineStr">
        <is>
          <t>IMB-0520380</t>
        </is>
      </c>
      <c r="C159" s="4" t="inlineStr">
        <is>
          <t>OUTROS</t>
        </is>
      </c>
      <c r="D159" s="5" t="n">
        <v>28845.65</v>
      </c>
      <c r="E159" s="5" t="n">
        <v>28845.65</v>
      </c>
      <c r="F159" s="4" t="inlineStr">
        <is>
          <t>Mesmo documento/fornecedor/valor/data de outro registro (cadastro posterior)</t>
        </is>
      </c>
    </row>
    <row r="160">
      <c r="A160" s="4" t="inlineStr">
        <is>
          <t>T01_DUPLICIDADE</t>
        </is>
      </c>
      <c r="B160" s="4" t="inlineStr">
        <is>
          <t>IMB-0312033</t>
        </is>
      </c>
      <c r="C160" s="4" t="inlineStr">
        <is>
          <t>OUTROS</t>
        </is>
      </c>
      <c r="D160" s="5" t="n">
        <v>334.11</v>
      </c>
      <c r="E160" s="5" t="n">
        <v>334.11</v>
      </c>
      <c r="F160" s="4" t="inlineStr">
        <is>
          <t>Mesmo documento/fornecedor/valor/data de outro registro (cadastro posterior)</t>
        </is>
      </c>
    </row>
    <row r="161">
      <c r="A161" s="4" t="inlineStr">
        <is>
          <t>T01_DUPLICIDADE</t>
        </is>
      </c>
      <c r="B161" s="4" t="inlineStr">
        <is>
          <t>IMB-0128806</t>
        </is>
      </c>
      <c r="C161" s="4" t="inlineStr">
        <is>
          <t>DESENVOLVIMENTO_CAMPOS</t>
        </is>
      </c>
      <c r="D161" s="5" t="n">
        <v>10971.75</v>
      </c>
      <c r="E161" s="5" t="n">
        <v>10971.75</v>
      </c>
      <c r="F161" s="4" t="inlineStr">
        <is>
          <t>Mesmo documento/fornecedor/valor/data de outro registro (cadastro posterior)</t>
        </is>
      </c>
    </row>
    <row r="162">
      <c r="A162" s="4" t="inlineStr">
        <is>
          <t>T01_DUPLICIDADE</t>
        </is>
      </c>
      <c r="B162" s="4" t="inlineStr">
        <is>
          <t>IMB-0467540</t>
        </is>
      </c>
      <c r="C162" s="4" t="inlineStr">
        <is>
          <t>OUTROS</t>
        </is>
      </c>
      <c r="D162" s="5" t="n">
        <v>2385.92</v>
      </c>
      <c r="E162" s="5" t="n">
        <v>2385.92</v>
      </c>
      <c r="F162" s="4" t="inlineStr">
        <is>
          <t>Mesmo documento/fornecedor/valor/data de outro registro (cadastro posterior)</t>
        </is>
      </c>
    </row>
    <row r="163">
      <c r="A163" s="4" t="inlineStr">
        <is>
          <t>T01_DUPLICIDADE</t>
        </is>
      </c>
      <c r="B163" s="4" t="inlineStr">
        <is>
          <t>IMB-0392528</t>
        </is>
      </c>
      <c r="C163" s="4" t="inlineStr">
        <is>
          <t>OUTROS</t>
        </is>
      </c>
      <c r="D163" s="5" t="n">
        <v>314.34</v>
      </c>
      <c r="E163" s="5" t="n">
        <v>314.34</v>
      </c>
      <c r="F163" s="4" t="inlineStr">
        <is>
          <t>Mesmo documento/fornecedor/valor/data de outro registro (cadastro posterior)</t>
        </is>
      </c>
    </row>
    <row r="164">
      <c r="A164" s="4" t="inlineStr">
        <is>
          <t>T01_DUPLICIDADE</t>
        </is>
      </c>
      <c r="B164" s="4" t="inlineStr">
        <is>
          <t>IMB-0262098</t>
        </is>
      </c>
      <c r="C164" s="4" t="inlineStr">
        <is>
          <t>DESENVOLVIMENTO_CAMPOS</t>
        </is>
      </c>
      <c r="D164" s="5" t="n">
        <v>1479340.84</v>
      </c>
      <c r="E164" s="5" t="n">
        <v>1479340.84</v>
      </c>
      <c r="F164" s="4" t="inlineStr">
        <is>
          <t>Mesmo documento/fornecedor/valor/data de outro registro (cadastro posterior)</t>
        </is>
      </c>
    </row>
    <row r="165">
      <c r="A165" s="4" t="inlineStr">
        <is>
          <t>T02_CORTE</t>
        </is>
      </c>
      <c r="B165" s="4" t="inlineStr">
        <is>
          <t>IMB-0013444</t>
        </is>
      </c>
      <c r="C165" s="4" t="inlineStr">
        <is>
          <t>DESENVOLVIMENTO_CAMPOS</t>
        </is>
      </c>
      <c r="D165" s="5" t="n">
        <v>9119.809999999999</v>
      </c>
      <c r="E165" s="5" t="n">
        <v>9119.809999999999</v>
      </c>
      <c r="F165" s="4" t="inlineStr">
        <is>
          <t>Data de aquisicao posterior a 31/12/2025</t>
        </is>
      </c>
    </row>
    <row r="166">
      <c r="A166" s="4" t="inlineStr">
        <is>
          <t>T02_CORTE</t>
        </is>
      </c>
      <c r="B166" s="4" t="inlineStr">
        <is>
          <t>IMB-0040643</t>
        </is>
      </c>
      <c r="C166" s="4" t="inlineStr">
        <is>
          <t>DESENVOLVIMENTO_CAMPOS</t>
        </is>
      </c>
      <c r="D166" s="5" t="n">
        <v>24568</v>
      </c>
      <c r="E166" s="5" t="n">
        <v>24568</v>
      </c>
      <c r="F166" s="4" t="inlineStr">
        <is>
          <t>Data de aquisicao posterior a 31/12/2025</t>
        </is>
      </c>
    </row>
    <row r="167">
      <c r="A167" s="4" t="inlineStr">
        <is>
          <t>T02_CORTE</t>
        </is>
      </c>
      <c r="B167" s="4" t="inlineStr">
        <is>
          <t>IMB-0041899</t>
        </is>
      </c>
      <c r="C167" s="4" t="inlineStr">
        <is>
          <t>DESENVOLVIMENTO_CAMPOS</t>
        </is>
      </c>
      <c r="D167" s="5" t="n">
        <v>232545.22</v>
      </c>
      <c r="E167" s="5" t="n">
        <v>232545.22</v>
      </c>
      <c r="F167" s="4" t="inlineStr">
        <is>
          <t>Data de aquisicao posterior a 31/12/2025</t>
        </is>
      </c>
    </row>
    <row r="168">
      <c r="A168" s="4" t="inlineStr">
        <is>
          <t>T02_CORTE</t>
        </is>
      </c>
      <c r="B168" s="4" t="inlineStr">
        <is>
          <t>IMB-0056392</t>
        </is>
      </c>
      <c r="C168" s="4" t="inlineStr">
        <is>
          <t>DESENVOLVIMENTO_CAMPOS</t>
        </is>
      </c>
      <c r="D168" s="5" t="n">
        <v>12424.16</v>
      </c>
      <c r="E168" s="5" t="n">
        <v>12424.16</v>
      </c>
      <c r="F168" s="4" t="inlineStr">
        <is>
          <t>Data de aquisicao posterior a 31/12/2025</t>
        </is>
      </c>
    </row>
    <row r="169">
      <c r="A169" s="4" t="inlineStr">
        <is>
          <t>T02_CORTE</t>
        </is>
      </c>
      <c r="B169" s="4" t="inlineStr">
        <is>
          <t>IMB-0058025</t>
        </is>
      </c>
      <c r="C169" s="4" t="inlineStr">
        <is>
          <t>DESENVOLVIMENTO_CAMPOS</t>
        </is>
      </c>
      <c r="D169" s="5" t="n">
        <v>317958.3</v>
      </c>
      <c r="E169" s="5" t="n">
        <v>317958.3</v>
      </c>
      <c r="F169" s="4" t="inlineStr">
        <is>
          <t>Data de aquisicao posterior a 31/12/2025</t>
        </is>
      </c>
    </row>
    <row r="170">
      <c r="A170" s="4" t="inlineStr">
        <is>
          <t>T02_CORTE</t>
        </is>
      </c>
      <c r="B170" s="4" t="inlineStr">
        <is>
          <t>IMB-0074650</t>
        </is>
      </c>
      <c r="C170" s="4" t="inlineStr">
        <is>
          <t>DESENVOLVIMENTO_CAMPOS</t>
        </is>
      </c>
      <c r="D170" s="5" t="n">
        <v>107982.18</v>
      </c>
      <c r="E170" s="5" t="n">
        <v>107982.18</v>
      </c>
      <c r="F170" s="4" t="inlineStr">
        <is>
          <t>Data de aquisicao posterior a 31/12/2025</t>
        </is>
      </c>
    </row>
    <row r="171">
      <c r="A171" s="4" t="inlineStr">
        <is>
          <t>T02_CORTE</t>
        </is>
      </c>
      <c r="B171" s="4" t="inlineStr">
        <is>
          <t>IMB-0090802</t>
        </is>
      </c>
      <c r="C171" s="4" t="inlineStr">
        <is>
          <t>DESENVOLVIMENTO_CAMPOS</t>
        </is>
      </c>
      <c r="D171" s="5" t="n">
        <v>38411.98</v>
      </c>
      <c r="E171" s="5" t="n">
        <v>38411.98</v>
      </c>
      <c r="F171" s="4" t="inlineStr">
        <is>
          <t>Data de aquisicao posterior a 31/12/2025</t>
        </is>
      </c>
    </row>
    <row r="172">
      <c r="A172" s="4" t="inlineStr">
        <is>
          <t>T02_CORTE</t>
        </is>
      </c>
      <c r="B172" s="4" t="inlineStr">
        <is>
          <t>IMB-0136357</t>
        </is>
      </c>
      <c r="C172" s="4" t="inlineStr">
        <is>
          <t>DESENVOLVIMENTO_CAMPOS</t>
        </is>
      </c>
      <c r="D172" s="5" t="n">
        <v>19914.81</v>
      </c>
      <c r="E172" s="5" t="n">
        <v>19914.81</v>
      </c>
      <c r="F172" s="4" t="inlineStr">
        <is>
          <t>Data de aquisicao posterior a 31/12/2025</t>
        </is>
      </c>
    </row>
    <row r="173">
      <c r="A173" s="4" t="inlineStr">
        <is>
          <t>T02_CORTE</t>
        </is>
      </c>
      <c r="B173" s="4" t="inlineStr">
        <is>
          <t>IMB-0140313</t>
        </is>
      </c>
      <c r="C173" s="4" t="inlineStr">
        <is>
          <t>MAQUINAS_EQUIPAMENTOS</t>
        </is>
      </c>
      <c r="D173" s="5" t="n">
        <v>36659.17</v>
      </c>
      <c r="E173" s="5" t="n">
        <v>36659.17</v>
      </c>
      <c r="F173" s="4" t="inlineStr">
        <is>
          <t>Data de aquisicao posterior a 31/12/2025</t>
        </is>
      </c>
    </row>
    <row r="174">
      <c r="A174" s="4" t="inlineStr">
        <is>
          <t>T02_CORTE</t>
        </is>
      </c>
      <c r="B174" s="4" t="inlineStr">
        <is>
          <t>IMB-0159449</t>
        </is>
      </c>
      <c r="C174" s="4" t="inlineStr">
        <is>
          <t>MAQUINAS_EQUIPAMENTOS</t>
        </is>
      </c>
      <c r="D174" s="5" t="n">
        <v>23044.3</v>
      </c>
      <c r="E174" s="5" t="n">
        <v>23044.3</v>
      </c>
      <c r="F174" s="4" t="inlineStr">
        <is>
          <t>Data de aquisicao posterior a 31/12/2025</t>
        </is>
      </c>
    </row>
    <row r="175">
      <c r="A175" s="4" t="inlineStr">
        <is>
          <t>T02_CORTE</t>
        </is>
      </c>
      <c r="B175" s="4" t="inlineStr">
        <is>
          <t>IMB-0160444</t>
        </is>
      </c>
      <c r="C175" s="4" t="inlineStr">
        <is>
          <t>DESENVOLVIMENTO_CAMPOS</t>
        </is>
      </c>
      <c r="D175" s="5" t="n">
        <v>313616.19</v>
      </c>
      <c r="E175" s="5" t="n">
        <v>313616.19</v>
      </c>
      <c r="F175" s="4" t="inlineStr">
        <is>
          <t>Data de aquisicao posterior a 31/12/2025</t>
        </is>
      </c>
    </row>
    <row r="176">
      <c r="A176" s="4" t="inlineStr">
        <is>
          <t>T02_CORTE</t>
        </is>
      </c>
      <c r="B176" s="4" t="inlineStr">
        <is>
          <t>IMB-0160856</t>
        </is>
      </c>
      <c r="C176" s="4" t="inlineStr">
        <is>
          <t>OUTROS</t>
        </is>
      </c>
      <c r="D176" s="5" t="n">
        <v>16527.5</v>
      </c>
      <c r="E176" s="5" t="n">
        <v>16527.5</v>
      </c>
      <c r="F176" s="4" t="inlineStr">
        <is>
          <t>Data de aquisicao posterior a 31/12/2025</t>
        </is>
      </c>
    </row>
    <row r="177">
      <c r="A177" s="4" t="inlineStr">
        <is>
          <t>T02_CORTE</t>
        </is>
      </c>
      <c r="B177" s="4" t="inlineStr">
        <is>
          <t>IMB-0173778</t>
        </is>
      </c>
      <c r="C177" s="4" t="inlineStr">
        <is>
          <t>DESENVOLVIMENTO_CAMPOS</t>
        </is>
      </c>
      <c r="D177" s="5" t="n">
        <v>27623.17</v>
      </c>
      <c r="E177" s="5" t="n">
        <v>27623.17</v>
      </c>
      <c r="F177" s="4" t="inlineStr">
        <is>
          <t>Data de aquisicao posterior a 31/12/2025</t>
        </is>
      </c>
    </row>
    <row r="178">
      <c r="A178" s="4" t="inlineStr">
        <is>
          <t>T02_CORTE</t>
        </is>
      </c>
      <c r="B178" s="4" t="inlineStr">
        <is>
          <t>IMB-0189067</t>
        </is>
      </c>
      <c r="C178" s="4" t="inlineStr">
        <is>
          <t>ALMOXARIFADO_INVERSOES_FIXAS</t>
        </is>
      </c>
      <c r="D178" s="5" t="n">
        <v>6272.03</v>
      </c>
      <c r="E178" s="5" t="n">
        <v>6272.03</v>
      </c>
      <c r="F178" s="4" t="inlineStr">
        <is>
          <t>Data de aquisicao posterior a 31/12/2025</t>
        </is>
      </c>
    </row>
    <row r="179">
      <c r="A179" s="4" t="inlineStr">
        <is>
          <t>T02_CORTE</t>
        </is>
      </c>
      <c r="B179" s="4" t="inlineStr">
        <is>
          <t>IMB-0205566</t>
        </is>
      </c>
      <c r="C179" s="4" t="inlineStr">
        <is>
          <t>DESENVOLVIMENTO_CAMPOS</t>
        </is>
      </c>
      <c r="D179" s="5" t="n">
        <v>61596.65</v>
      </c>
      <c r="E179" s="5" t="n">
        <v>61596.65</v>
      </c>
      <c r="F179" s="4" t="inlineStr">
        <is>
          <t>Data de aquisicao posterior a 31/12/2025</t>
        </is>
      </c>
    </row>
    <row r="180">
      <c r="A180" s="4" t="inlineStr">
        <is>
          <t>T02_CORTE</t>
        </is>
      </c>
      <c r="B180" s="4" t="inlineStr">
        <is>
          <t>IMB-0205953</t>
        </is>
      </c>
      <c r="C180" s="4" t="inlineStr">
        <is>
          <t>DESENVOLVIMENTO_CAMPOS</t>
        </is>
      </c>
      <c r="D180" s="5" t="n">
        <v>15361.38</v>
      </c>
      <c r="E180" s="5" t="n">
        <v>15361.38</v>
      </c>
      <c r="F180" s="4" t="inlineStr">
        <is>
          <t>Data de aquisicao posterior a 31/12/2025</t>
        </is>
      </c>
    </row>
    <row r="181">
      <c r="A181" s="4" t="inlineStr">
        <is>
          <t>T02_CORTE</t>
        </is>
      </c>
      <c r="B181" s="4" t="inlineStr">
        <is>
          <t>IMB-0206659</t>
        </is>
      </c>
      <c r="C181" s="4" t="inlineStr">
        <is>
          <t>DESENVOLVIMENTO_CAMPOS</t>
        </is>
      </c>
      <c r="D181" s="5" t="n">
        <v>11293.66</v>
      </c>
      <c r="E181" s="5" t="n">
        <v>11293.66</v>
      </c>
      <c r="F181" s="4" t="inlineStr">
        <is>
          <t>Data de aquisicao posterior a 31/12/2025</t>
        </is>
      </c>
    </row>
    <row r="182">
      <c r="A182" s="4" t="inlineStr">
        <is>
          <t>T02_CORTE</t>
        </is>
      </c>
      <c r="B182" s="4" t="inlineStr">
        <is>
          <t>IMB-0210665</t>
        </is>
      </c>
      <c r="C182" s="4" t="inlineStr">
        <is>
          <t>MAQUINAS_EQUIPAMENTOS</t>
        </is>
      </c>
      <c r="D182" s="5" t="n">
        <v>8974.969999999999</v>
      </c>
      <c r="E182" s="5" t="n">
        <v>8974.969999999999</v>
      </c>
      <c r="F182" s="4" t="inlineStr">
        <is>
          <t>Data de aquisicao posterior a 31/12/2025</t>
        </is>
      </c>
    </row>
    <row r="183">
      <c r="A183" s="4" t="inlineStr">
        <is>
          <t>T02_CORTE</t>
        </is>
      </c>
      <c r="B183" s="4" t="inlineStr">
        <is>
          <t>IMB-0215991</t>
        </is>
      </c>
      <c r="C183" s="4" t="inlineStr">
        <is>
          <t>DESENVOLVIMENTO_CAMPOS</t>
        </is>
      </c>
      <c r="D183" s="5" t="n">
        <v>181632.79</v>
      </c>
      <c r="E183" s="5" t="n">
        <v>181632.79</v>
      </c>
      <c r="F183" s="4" t="inlineStr">
        <is>
          <t>Data de aquisicao posterior a 31/12/2025</t>
        </is>
      </c>
    </row>
    <row r="184">
      <c r="A184" s="4" t="inlineStr">
        <is>
          <t>T02_CORTE</t>
        </is>
      </c>
      <c r="B184" s="4" t="inlineStr">
        <is>
          <t>IMB-0221614</t>
        </is>
      </c>
      <c r="C184" s="4" t="inlineStr">
        <is>
          <t>ALMOXARIFADO_INVERSOES_FIXAS</t>
        </is>
      </c>
      <c r="D184" s="5" t="n">
        <v>11799.06</v>
      </c>
      <c r="E184" s="5" t="n">
        <v>11799.06</v>
      </c>
      <c r="F184" s="4" t="inlineStr">
        <is>
          <t>Data de aquisicao posterior a 31/12/2025</t>
        </is>
      </c>
    </row>
    <row r="185">
      <c r="A185" s="4" t="inlineStr">
        <is>
          <t>T02_CORTE</t>
        </is>
      </c>
      <c r="B185" s="4" t="inlineStr">
        <is>
          <t>IMB-0251733</t>
        </is>
      </c>
      <c r="C185" s="4" t="inlineStr">
        <is>
          <t>DESENVOLVIMENTO_CAMPOS</t>
        </is>
      </c>
      <c r="D185" s="5" t="n">
        <v>75809.52</v>
      </c>
      <c r="E185" s="5" t="n">
        <v>75809.52</v>
      </c>
      <c r="F185" s="4" t="inlineStr">
        <is>
          <t>Data de aquisicao posterior a 31/12/2025</t>
        </is>
      </c>
    </row>
    <row r="186">
      <c r="A186" s="4" t="inlineStr">
        <is>
          <t>T02_CORTE</t>
        </is>
      </c>
      <c r="B186" s="4" t="inlineStr">
        <is>
          <t>IMB-0252475</t>
        </is>
      </c>
      <c r="C186" s="4" t="inlineStr">
        <is>
          <t>IMOBILIZADO_EM_ANDAMENTO</t>
        </is>
      </c>
      <c r="D186" s="5" t="n">
        <v>46405.7</v>
      </c>
      <c r="E186" s="5" t="n">
        <v>46405.7</v>
      </c>
      <c r="F186" s="4" t="inlineStr">
        <is>
          <t>Data de aquisicao posterior a 31/12/2025</t>
        </is>
      </c>
    </row>
    <row r="187">
      <c r="A187" s="4" t="inlineStr">
        <is>
          <t>T02_CORTE</t>
        </is>
      </c>
      <c r="B187" s="4" t="inlineStr">
        <is>
          <t>IMB-0258441</t>
        </is>
      </c>
      <c r="C187" s="4" t="inlineStr">
        <is>
          <t>DESENVOLVIMENTO_CAMPOS</t>
        </is>
      </c>
      <c r="D187" s="5" t="n">
        <v>5449.31</v>
      </c>
      <c r="E187" s="5" t="n">
        <v>5449.31</v>
      </c>
      <c r="F187" s="4" t="inlineStr">
        <is>
          <t>Data de aquisicao posterior a 31/12/2025</t>
        </is>
      </c>
    </row>
    <row r="188">
      <c r="A188" s="4" t="inlineStr">
        <is>
          <t>T02_CORTE</t>
        </is>
      </c>
      <c r="B188" s="4" t="inlineStr">
        <is>
          <t>IMB-0266470</t>
        </is>
      </c>
      <c r="C188" s="4" t="inlineStr">
        <is>
          <t>DESENVOLVIMENTO_CAMPOS</t>
        </is>
      </c>
      <c r="D188" s="5" t="n">
        <v>319755.25</v>
      </c>
      <c r="E188" s="5" t="n">
        <v>319755.25</v>
      </c>
      <c r="F188" s="4" t="inlineStr">
        <is>
          <t>Data de aquisicao posterior a 31/12/2025</t>
        </is>
      </c>
    </row>
    <row r="189">
      <c r="A189" s="4" t="inlineStr">
        <is>
          <t>T02_CORTE</t>
        </is>
      </c>
      <c r="B189" s="4" t="inlineStr">
        <is>
          <t>IMB-0276624</t>
        </is>
      </c>
      <c r="C189" s="4" t="inlineStr">
        <is>
          <t>ALMOXARIFADO_INVERSOES_FIXAS</t>
        </is>
      </c>
      <c r="D189" s="5" t="n">
        <v>17568.52</v>
      </c>
      <c r="E189" s="5" t="n">
        <v>17568.52</v>
      </c>
      <c r="F189" s="4" t="inlineStr">
        <is>
          <t>Data de aquisicao posterior a 31/12/2025</t>
        </is>
      </c>
    </row>
    <row r="190">
      <c r="A190" s="4" t="inlineStr">
        <is>
          <t>T02_CORTE</t>
        </is>
      </c>
      <c r="B190" s="4" t="inlineStr">
        <is>
          <t>IMB-0295707</t>
        </is>
      </c>
      <c r="C190" s="4" t="inlineStr">
        <is>
          <t>ALMOXARIFADO_INVERSOES_FIXAS</t>
        </is>
      </c>
      <c r="D190" s="5" t="n">
        <v>5357.8</v>
      </c>
      <c r="E190" s="5" t="n">
        <v>5357.8</v>
      </c>
      <c r="F190" s="4" t="inlineStr">
        <is>
          <t>Data de aquisicao posterior a 31/12/2025</t>
        </is>
      </c>
    </row>
    <row r="191">
      <c r="A191" s="4" t="inlineStr">
        <is>
          <t>T02_CORTE</t>
        </is>
      </c>
      <c r="B191" s="4" t="inlineStr">
        <is>
          <t>IMB-0297635</t>
        </is>
      </c>
      <c r="C191" s="4" t="inlineStr">
        <is>
          <t>MAQUINAS_EQUIPAMENTOS</t>
        </is>
      </c>
      <c r="D191" s="5" t="n">
        <v>30651.62</v>
      </c>
      <c r="E191" s="5" t="n">
        <v>30651.62</v>
      </c>
      <c r="F191" s="4" t="inlineStr">
        <is>
          <t>Data de aquisicao posterior a 31/12/2025</t>
        </is>
      </c>
    </row>
    <row r="192">
      <c r="A192" s="4" t="inlineStr">
        <is>
          <t>T02_CORTE</t>
        </is>
      </c>
      <c r="B192" s="4" t="inlineStr">
        <is>
          <t>IMB-0323851</t>
        </is>
      </c>
      <c r="C192" s="4" t="inlineStr">
        <is>
          <t>DESENVOLVIMENTO_CAMPOS</t>
        </is>
      </c>
      <c r="D192" s="5" t="n">
        <v>8685.120000000001</v>
      </c>
      <c r="E192" s="5" t="n">
        <v>8685.120000000001</v>
      </c>
      <c r="F192" s="4" t="inlineStr">
        <is>
          <t>Data de aquisicao posterior a 31/12/2025</t>
        </is>
      </c>
    </row>
    <row r="193">
      <c r="A193" s="4" t="inlineStr">
        <is>
          <t>T02_CORTE</t>
        </is>
      </c>
      <c r="B193" s="4" t="inlineStr">
        <is>
          <t>IMB-0326392</t>
        </is>
      </c>
      <c r="C193" s="4" t="inlineStr">
        <is>
          <t>ALMOXARIFADO_INVERSOES_FIXAS</t>
        </is>
      </c>
      <c r="D193" s="5" t="n">
        <v>6135.31</v>
      </c>
      <c r="E193" s="5" t="n">
        <v>6135.31</v>
      </c>
      <c r="F193" s="4" t="inlineStr">
        <is>
          <t>Data de aquisicao posterior a 31/12/2025</t>
        </is>
      </c>
    </row>
    <row r="194">
      <c r="A194" s="4" t="inlineStr">
        <is>
          <t>T02_CORTE</t>
        </is>
      </c>
      <c r="B194" s="4" t="inlineStr">
        <is>
          <t>IMB-0340569</t>
        </is>
      </c>
      <c r="C194" s="4" t="inlineStr">
        <is>
          <t>DESENVOLVIMENTO_CAMPOS</t>
        </is>
      </c>
      <c r="D194" s="5" t="n">
        <v>8929.9</v>
      </c>
      <c r="E194" s="5" t="n">
        <v>8929.9</v>
      </c>
      <c r="F194" s="4" t="inlineStr">
        <is>
          <t>Data de aquisicao posterior a 31/12/2025</t>
        </is>
      </c>
    </row>
    <row r="195">
      <c r="A195" s="4" t="inlineStr">
        <is>
          <t>T02_CORTE</t>
        </is>
      </c>
      <c r="B195" s="4" t="inlineStr">
        <is>
          <t>IMB-0351289</t>
        </is>
      </c>
      <c r="C195" s="4" t="inlineStr">
        <is>
          <t>DESENVOLVIMENTO_CAMPOS</t>
        </is>
      </c>
      <c r="D195" s="5" t="n">
        <v>27731.19</v>
      </c>
      <c r="E195" s="5" t="n">
        <v>27731.19</v>
      </c>
      <c r="F195" s="4" t="inlineStr">
        <is>
          <t>Data de aquisicao posterior a 31/12/2025</t>
        </is>
      </c>
    </row>
    <row r="196">
      <c r="A196" s="4" t="inlineStr">
        <is>
          <t>T02_CORTE</t>
        </is>
      </c>
      <c r="B196" s="4" t="inlineStr">
        <is>
          <t>IMB-0365671</t>
        </is>
      </c>
      <c r="C196" s="4" t="inlineStr">
        <is>
          <t>ALMOXARIFADO_INVERSOES_FIXAS</t>
        </is>
      </c>
      <c r="D196" s="5" t="n">
        <v>13002.15</v>
      </c>
      <c r="E196" s="5" t="n">
        <v>13002.15</v>
      </c>
      <c r="F196" s="4" t="inlineStr">
        <is>
          <t>Data de aquisicao posterior a 31/12/2025</t>
        </is>
      </c>
    </row>
    <row r="197">
      <c r="A197" s="4" t="inlineStr">
        <is>
          <t>T02_CORTE</t>
        </is>
      </c>
      <c r="B197" s="4" t="inlineStr">
        <is>
          <t>IMB-0385985</t>
        </is>
      </c>
      <c r="C197" s="4" t="inlineStr">
        <is>
          <t>DESENVOLVIMENTO_CAMPOS</t>
        </is>
      </c>
      <c r="D197" s="5" t="n">
        <v>51383.11</v>
      </c>
      <c r="E197" s="5" t="n">
        <v>51383.11</v>
      </c>
      <c r="F197" s="4" t="inlineStr">
        <is>
          <t>Data de aquisicao posterior a 31/12/2025</t>
        </is>
      </c>
    </row>
    <row r="198">
      <c r="A198" s="4" t="inlineStr">
        <is>
          <t>T02_CORTE</t>
        </is>
      </c>
      <c r="B198" s="4" t="inlineStr">
        <is>
          <t>IMB-0420433</t>
        </is>
      </c>
      <c r="C198" s="4" t="inlineStr">
        <is>
          <t>OUTROS</t>
        </is>
      </c>
      <c r="D198" s="5" t="n">
        <v>13011.17</v>
      </c>
      <c r="E198" s="5" t="n">
        <v>13011.17</v>
      </c>
      <c r="F198" s="4" t="inlineStr">
        <is>
          <t>Data de aquisicao posterior a 31/12/2025</t>
        </is>
      </c>
    </row>
    <row r="199">
      <c r="A199" s="4" t="inlineStr">
        <is>
          <t>T02_CORTE</t>
        </is>
      </c>
      <c r="B199" s="4" t="inlineStr">
        <is>
          <t>IMB-0432293</t>
        </is>
      </c>
      <c r="C199" s="4" t="inlineStr">
        <is>
          <t>DESENVOLVIMENTO_CAMPOS</t>
        </is>
      </c>
      <c r="D199" s="5" t="n">
        <v>6100.33</v>
      </c>
      <c r="E199" s="5" t="n">
        <v>6100.33</v>
      </c>
      <c r="F199" s="4" t="inlineStr">
        <is>
          <t>Data de aquisicao posterior a 31/12/2025</t>
        </is>
      </c>
    </row>
    <row r="200">
      <c r="A200" s="4" t="inlineStr">
        <is>
          <t>T02_CORTE</t>
        </is>
      </c>
      <c r="B200" s="4" t="inlineStr">
        <is>
          <t>IMB-0444462</t>
        </is>
      </c>
      <c r="C200" s="4" t="inlineStr">
        <is>
          <t>DESENVOLVIMENTO_CAMPOS</t>
        </is>
      </c>
      <c r="D200" s="5" t="n">
        <v>66754.66</v>
      </c>
      <c r="E200" s="5" t="n">
        <v>66754.66</v>
      </c>
      <c r="F200" s="4" t="inlineStr">
        <is>
          <t>Data de aquisicao posterior a 31/12/2025</t>
        </is>
      </c>
    </row>
    <row r="201">
      <c r="A201" s="4" t="inlineStr">
        <is>
          <t>T02_CORTE</t>
        </is>
      </c>
      <c r="B201" s="4" t="inlineStr">
        <is>
          <t>IMB-0446861</t>
        </is>
      </c>
      <c r="C201" s="4" t="inlineStr">
        <is>
          <t>ALMOXARIFADO_INVERSOES_FIXAS</t>
        </is>
      </c>
      <c r="D201" s="5" t="n">
        <v>17156.93</v>
      </c>
      <c r="E201" s="5" t="n">
        <v>17156.93</v>
      </c>
      <c r="F201" s="4" t="inlineStr">
        <is>
          <t>Data de aquisicao posterior a 31/12/2025</t>
        </is>
      </c>
    </row>
    <row r="202">
      <c r="A202" s="4" t="inlineStr">
        <is>
          <t>T02_CORTE</t>
        </is>
      </c>
      <c r="B202" s="4" t="inlineStr">
        <is>
          <t>IMB-0449257</t>
        </is>
      </c>
      <c r="C202" s="4" t="inlineStr">
        <is>
          <t>OUTROS</t>
        </is>
      </c>
      <c r="D202" s="5" t="n">
        <v>12198.24</v>
      </c>
      <c r="E202" s="5" t="n">
        <v>12198.24</v>
      </c>
      <c r="F202" s="4" t="inlineStr">
        <is>
          <t>Data de aquisicao posterior a 31/12/2025</t>
        </is>
      </c>
    </row>
    <row r="203">
      <c r="A203" s="4" t="inlineStr">
        <is>
          <t>T02_CORTE</t>
        </is>
      </c>
      <c r="B203" s="4" t="inlineStr">
        <is>
          <t>IMB-0462708</t>
        </is>
      </c>
      <c r="C203" s="4" t="inlineStr">
        <is>
          <t>ALMOXARIFADO_INVERSOES_FIXAS</t>
        </is>
      </c>
      <c r="D203" s="5" t="n">
        <v>7039.77</v>
      </c>
      <c r="E203" s="5" t="n">
        <v>7039.77</v>
      </c>
      <c r="F203" s="4" t="inlineStr">
        <is>
          <t>Data de aquisicao posterior a 31/12/2025</t>
        </is>
      </c>
    </row>
    <row r="204">
      <c r="A204" s="4" t="inlineStr">
        <is>
          <t>T02_CORTE</t>
        </is>
      </c>
      <c r="B204" s="4" t="inlineStr">
        <is>
          <t>IMB-0478212</t>
        </is>
      </c>
      <c r="C204" s="4" t="inlineStr">
        <is>
          <t>DESENVOLVIMENTO_CAMPOS</t>
        </is>
      </c>
      <c r="D204" s="5" t="n">
        <v>51235.35</v>
      </c>
      <c r="E204" s="5" t="n">
        <v>51235.35</v>
      </c>
      <c r="F204" s="4" t="inlineStr">
        <is>
          <t>Data de aquisicao posterior a 31/12/2025</t>
        </is>
      </c>
    </row>
    <row r="205">
      <c r="A205" s="4" t="inlineStr">
        <is>
          <t>T02_CORTE</t>
        </is>
      </c>
      <c r="B205" s="4" t="inlineStr">
        <is>
          <t>IMB-0490308</t>
        </is>
      </c>
      <c r="C205" s="4" t="inlineStr">
        <is>
          <t>DESENVOLVIMENTO_CAMPOS</t>
        </is>
      </c>
      <c r="D205" s="5" t="n">
        <v>165048.92</v>
      </c>
      <c r="E205" s="5" t="n">
        <v>165048.92</v>
      </c>
      <c r="F205" s="4" t="inlineStr">
        <is>
          <t>Data de aquisicao posterior a 31/12/2025</t>
        </is>
      </c>
    </row>
    <row r="206">
      <c r="A206" s="4" t="inlineStr">
        <is>
          <t>T02_CORTE</t>
        </is>
      </c>
      <c r="B206" s="4" t="inlineStr">
        <is>
          <t>IMB-0495842</t>
        </is>
      </c>
      <c r="C206" s="4" t="inlineStr">
        <is>
          <t>DESENVOLVIMENTO_CAMPOS</t>
        </is>
      </c>
      <c r="D206" s="5" t="n">
        <v>5637.49</v>
      </c>
      <c r="E206" s="5" t="n">
        <v>5637.49</v>
      </c>
      <c r="F206" s="4" t="inlineStr">
        <is>
          <t>Data de aquisicao posterior a 31/12/2025</t>
        </is>
      </c>
    </row>
    <row r="207">
      <c r="A207" s="4" t="inlineStr">
        <is>
          <t>T02_CORTE</t>
        </is>
      </c>
      <c r="B207" s="4" t="inlineStr">
        <is>
          <t>IMB-0507009</t>
        </is>
      </c>
      <c r="C207" s="4" t="inlineStr">
        <is>
          <t>DESENVOLVIMENTO_CAMPOS</t>
        </is>
      </c>
      <c r="D207" s="5" t="n">
        <v>26813.09</v>
      </c>
      <c r="E207" s="5" t="n">
        <v>26813.09</v>
      </c>
      <c r="F207" s="4" t="inlineStr">
        <is>
          <t>Data de aquisicao posterior a 31/12/2025</t>
        </is>
      </c>
    </row>
    <row r="208">
      <c r="A208" s="4" t="inlineStr">
        <is>
          <t>T02_CORTE</t>
        </is>
      </c>
      <c r="B208" s="4" t="inlineStr">
        <is>
          <t>IMB-0508536</t>
        </is>
      </c>
      <c r="C208" s="4" t="inlineStr">
        <is>
          <t>DESENVOLVIMENTO_CAMPOS</t>
        </is>
      </c>
      <c r="D208" s="5" t="n">
        <v>6909.22</v>
      </c>
      <c r="E208" s="5" t="n">
        <v>6909.22</v>
      </c>
      <c r="F208" s="4" t="inlineStr">
        <is>
          <t>Data de aquisicao posterior a 31/12/2025</t>
        </is>
      </c>
    </row>
    <row r="209">
      <c r="A209" s="4" t="inlineStr">
        <is>
          <t>T02_CORTE</t>
        </is>
      </c>
      <c r="B209" s="4" t="inlineStr">
        <is>
          <t>IMB-0514834</t>
        </is>
      </c>
      <c r="C209" s="4" t="inlineStr">
        <is>
          <t>DESENVOLVIMENTO_CAMPOS</t>
        </is>
      </c>
      <c r="D209" s="5" t="n">
        <v>23684.59</v>
      </c>
      <c r="E209" s="5" t="n">
        <v>23684.59</v>
      </c>
      <c r="F209" s="4" t="inlineStr">
        <is>
          <t>Data de aquisicao posterior a 31/12/2025</t>
        </is>
      </c>
    </row>
    <row r="210">
      <c r="A210" s="4" t="inlineStr">
        <is>
          <t>T02_CORTE</t>
        </is>
      </c>
      <c r="B210" s="4" t="inlineStr">
        <is>
          <t>IMB-0516768</t>
        </is>
      </c>
      <c r="C210" s="4" t="inlineStr">
        <is>
          <t>DESENVOLVIMENTO_CAMPOS</t>
        </is>
      </c>
      <c r="D210" s="5" t="n">
        <v>6504.77</v>
      </c>
      <c r="E210" s="5" t="n">
        <v>6504.77</v>
      </c>
      <c r="F210" s="4" t="inlineStr">
        <is>
          <t>Data de aquisicao posterior a 31/12/2025</t>
        </is>
      </c>
    </row>
    <row r="211">
      <c r="A211" s="4" t="inlineStr">
        <is>
          <t>T03_VCL_NEGATIVO</t>
        </is>
      </c>
      <c r="B211" s="4" t="inlineStr">
        <is>
          <t>IMB-0009294</t>
        </is>
      </c>
      <c r="C211" s="4" t="inlineStr">
        <is>
          <t>MAQUINAS_EQUIPAMENTOS</t>
        </is>
      </c>
      <c r="D211" s="5" t="n">
        <v>-4049.79</v>
      </c>
      <c r="E211" s="5" t="n">
        <v>-4049.79</v>
      </c>
      <c r="F211" s="4" t="inlineStr">
        <is>
          <t>Depreciacao acumulada maior que o custo</t>
        </is>
      </c>
    </row>
    <row r="212">
      <c r="A212" s="4" t="inlineStr">
        <is>
          <t>T03_VCL_NEGATIVO</t>
        </is>
      </c>
      <c r="B212" s="4" t="inlineStr">
        <is>
          <t>IMB-0013130</t>
        </is>
      </c>
      <c r="C212" s="4" t="inlineStr">
        <is>
          <t>OUTROS</t>
        </is>
      </c>
      <c r="D212" s="5" t="n">
        <v>-9613.25</v>
      </c>
      <c r="E212" s="5" t="n">
        <v>-9613.25</v>
      </c>
      <c r="F212" s="4" t="inlineStr">
        <is>
          <t>Depreciacao acumulada maior que o custo</t>
        </is>
      </c>
    </row>
    <row r="213">
      <c r="A213" s="4" t="inlineStr">
        <is>
          <t>T03_VCL_NEGATIVO</t>
        </is>
      </c>
      <c r="B213" s="4" t="inlineStr">
        <is>
          <t>IMB-0017916</t>
        </is>
      </c>
      <c r="C213" s="4" t="inlineStr">
        <is>
          <t>MAQUINAS_EQUIPAMENTOS</t>
        </is>
      </c>
      <c r="D213" s="5" t="n">
        <v>-16486.32</v>
      </c>
      <c r="E213" s="5" t="n">
        <v>-16486.32</v>
      </c>
      <c r="F213" s="4" t="inlineStr">
        <is>
          <t>Depreciacao acumulada maior que o custo</t>
        </is>
      </c>
    </row>
    <row r="214">
      <c r="A214" s="4" t="inlineStr">
        <is>
          <t>T03_VCL_NEGATIVO</t>
        </is>
      </c>
      <c r="B214" s="4" t="inlineStr">
        <is>
          <t>IMB-0041271</t>
        </is>
      </c>
      <c r="C214" s="4" t="inlineStr">
        <is>
          <t>OUTROS</t>
        </is>
      </c>
      <c r="D214" s="5" t="n">
        <v>-11128.51</v>
      </c>
      <c r="E214" s="5" t="n">
        <v>-11128.51</v>
      </c>
      <c r="F214" s="4" t="inlineStr">
        <is>
          <t>Depreciacao acumulada maior que o custo</t>
        </is>
      </c>
    </row>
    <row r="215">
      <c r="A215" s="4" t="inlineStr">
        <is>
          <t>T03_VCL_NEGATIVO</t>
        </is>
      </c>
      <c r="B215" s="4" t="inlineStr">
        <is>
          <t>IMB-0052507</t>
        </is>
      </c>
      <c r="C215" s="4" t="inlineStr">
        <is>
          <t>MAQUINAS_EQUIPAMENTOS</t>
        </is>
      </c>
      <c r="D215" s="5" t="n">
        <v>-7884.07</v>
      </c>
      <c r="E215" s="5" t="n">
        <v>-7884.07</v>
      </c>
      <c r="F215" s="4" t="inlineStr">
        <is>
          <t>Depreciacao acumulada maior que o custo</t>
        </is>
      </c>
    </row>
    <row r="216">
      <c r="A216" s="4" t="inlineStr">
        <is>
          <t>T03_VCL_NEGATIVO</t>
        </is>
      </c>
      <c r="B216" s="4" t="inlineStr">
        <is>
          <t>IMB-0094536</t>
        </is>
      </c>
      <c r="C216" s="4" t="inlineStr">
        <is>
          <t>OUTROS</t>
        </is>
      </c>
      <c r="D216" s="5" t="n">
        <v>-4847.11</v>
      </c>
      <c r="E216" s="5" t="n">
        <v>-4847.11</v>
      </c>
      <c r="F216" s="4" t="inlineStr">
        <is>
          <t>Depreciacao acumulada maior que o custo</t>
        </is>
      </c>
    </row>
    <row r="217">
      <c r="A217" s="4" t="inlineStr">
        <is>
          <t>T03_VCL_NEGATIVO</t>
        </is>
      </c>
      <c r="B217" s="4" t="inlineStr">
        <is>
          <t>IMB-0117021</t>
        </is>
      </c>
      <c r="C217" s="4" t="inlineStr">
        <is>
          <t>OUTROS</t>
        </is>
      </c>
      <c r="D217" s="5" t="n">
        <v>-9389.540000000001</v>
      </c>
      <c r="E217" s="5" t="n">
        <v>-9389.540000000001</v>
      </c>
      <c r="F217" s="4" t="inlineStr">
        <is>
          <t>Depreciacao acumulada maior que o custo</t>
        </is>
      </c>
    </row>
    <row r="218">
      <c r="A218" s="4" t="inlineStr">
        <is>
          <t>T03_VCL_NEGATIVO</t>
        </is>
      </c>
      <c r="B218" s="4" t="inlineStr">
        <is>
          <t>IMB-0124285</t>
        </is>
      </c>
      <c r="C218" s="4" t="inlineStr">
        <is>
          <t>OUTROS</t>
        </is>
      </c>
      <c r="D218" s="5" t="n">
        <v>-45639.34</v>
      </c>
      <c r="E218" s="5" t="n">
        <v>-45639.34</v>
      </c>
      <c r="F218" s="4" t="inlineStr">
        <is>
          <t>Depreciacao acumulada maior que o custo</t>
        </is>
      </c>
    </row>
    <row r="219">
      <c r="A219" s="4" t="inlineStr">
        <is>
          <t>T03_VCL_NEGATIVO</t>
        </is>
      </c>
      <c r="B219" s="4" t="inlineStr">
        <is>
          <t>IMB-0137541</t>
        </is>
      </c>
      <c r="C219" s="4" t="inlineStr">
        <is>
          <t>OUTROS</t>
        </is>
      </c>
      <c r="D219" s="5" t="n">
        <v>-4281.85</v>
      </c>
      <c r="E219" s="5" t="n">
        <v>-4281.85</v>
      </c>
      <c r="F219" s="4" t="inlineStr">
        <is>
          <t>Depreciacao acumulada maior que o custo</t>
        </is>
      </c>
    </row>
    <row r="220">
      <c r="A220" s="4" t="inlineStr">
        <is>
          <t>T03_VCL_NEGATIVO</t>
        </is>
      </c>
      <c r="B220" s="4" t="inlineStr">
        <is>
          <t>IMB-0155705</t>
        </is>
      </c>
      <c r="C220" s="4" t="inlineStr">
        <is>
          <t>MAQUINAS_EQUIPAMENTOS</t>
        </is>
      </c>
      <c r="D220" s="5" t="n">
        <v>-3434.75</v>
      </c>
      <c r="E220" s="5" t="n">
        <v>-3434.75</v>
      </c>
      <c r="F220" s="4" t="inlineStr">
        <is>
          <t>Depreciacao acumulada maior que o custo</t>
        </is>
      </c>
    </row>
    <row r="221">
      <c r="A221" s="4" t="inlineStr">
        <is>
          <t>T03_VCL_NEGATIVO</t>
        </is>
      </c>
      <c r="B221" s="4" t="inlineStr">
        <is>
          <t>IMB-0167125</t>
        </is>
      </c>
      <c r="C221" s="4" t="inlineStr">
        <is>
          <t>MAQUINAS_EQUIPAMENTOS</t>
        </is>
      </c>
      <c r="D221" s="5" t="n">
        <v>-10109.6</v>
      </c>
      <c r="E221" s="5" t="n">
        <v>-10109.6</v>
      </c>
      <c r="F221" s="4" t="inlineStr">
        <is>
          <t>Depreciacao acumulada maior que o custo</t>
        </is>
      </c>
    </row>
    <row r="222">
      <c r="A222" s="4" t="inlineStr">
        <is>
          <t>T03_VCL_NEGATIVO</t>
        </is>
      </c>
      <c r="B222" s="4" t="inlineStr">
        <is>
          <t>IMB-0169365</t>
        </is>
      </c>
      <c r="C222" s="4" t="inlineStr">
        <is>
          <t>MAQUINAS_EQUIPAMENTOS</t>
        </is>
      </c>
      <c r="D222" s="5" t="n">
        <v>-8305.190000000001</v>
      </c>
      <c r="E222" s="5" t="n">
        <v>-8305.190000000001</v>
      </c>
      <c r="F222" s="4" t="inlineStr">
        <is>
          <t>Depreciacao acumulada maior que o custo</t>
        </is>
      </c>
    </row>
    <row r="223">
      <c r="A223" s="4" t="inlineStr">
        <is>
          <t>T03_VCL_NEGATIVO</t>
        </is>
      </c>
      <c r="B223" s="4" t="inlineStr">
        <is>
          <t>IMB-0179024</t>
        </is>
      </c>
      <c r="C223" s="4" t="inlineStr">
        <is>
          <t>OUTROS</t>
        </is>
      </c>
      <c r="D223" s="5" t="n">
        <v>-11502.78</v>
      </c>
      <c r="E223" s="5" t="n">
        <v>-11502.78</v>
      </c>
      <c r="F223" s="4" t="inlineStr">
        <is>
          <t>Depreciacao acumulada maior que o custo</t>
        </is>
      </c>
    </row>
    <row r="224">
      <c r="A224" s="4" t="inlineStr">
        <is>
          <t>T03_VCL_NEGATIVO</t>
        </is>
      </c>
      <c r="B224" s="4" t="inlineStr">
        <is>
          <t>IMB-0180892</t>
        </is>
      </c>
      <c r="C224" s="4" t="inlineStr">
        <is>
          <t>MAQUINAS_EQUIPAMENTOS</t>
        </is>
      </c>
      <c r="D224" s="5" t="n">
        <v>-6862.56</v>
      </c>
      <c r="E224" s="5" t="n">
        <v>-6862.56</v>
      </c>
      <c r="F224" s="4" t="inlineStr">
        <is>
          <t>Depreciacao acumulada maior que o custo</t>
        </is>
      </c>
    </row>
    <row r="225">
      <c r="A225" s="4" t="inlineStr">
        <is>
          <t>T03_VCL_NEGATIVO</t>
        </is>
      </c>
      <c r="B225" s="4" t="inlineStr">
        <is>
          <t>IMB-0197964</t>
        </is>
      </c>
      <c r="C225" s="4" t="inlineStr">
        <is>
          <t>MAQUINAS_EQUIPAMENTOS</t>
        </is>
      </c>
      <c r="D225" s="5" t="n">
        <v>-10932.11</v>
      </c>
      <c r="E225" s="5" t="n">
        <v>-10932.11</v>
      </c>
      <c r="F225" s="4" t="inlineStr">
        <is>
          <t>Depreciacao acumulada maior que o custo</t>
        </is>
      </c>
    </row>
    <row r="226">
      <c r="A226" s="4" t="inlineStr">
        <is>
          <t>T03_VCL_NEGATIVO</t>
        </is>
      </c>
      <c r="B226" s="4" t="inlineStr">
        <is>
          <t>IMB-0199292</t>
        </is>
      </c>
      <c r="C226" s="4" t="inlineStr">
        <is>
          <t>OUTROS</t>
        </is>
      </c>
      <c r="D226" s="5" t="n">
        <v>-16285.4</v>
      </c>
      <c r="E226" s="5" t="n">
        <v>-16285.4</v>
      </c>
      <c r="F226" s="4" t="inlineStr">
        <is>
          <t>Depreciacao acumulada maior que o custo</t>
        </is>
      </c>
    </row>
    <row r="227">
      <c r="A227" s="4" t="inlineStr">
        <is>
          <t>T03_VCL_NEGATIVO</t>
        </is>
      </c>
      <c r="B227" s="4" t="inlineStr">
        <is>
          <t>IMB-0200590</t>
        </is>
      </c>
      <c r="C227" s="4" t="inlineStr">
        <is>
          <t>OUTROS</t>
        </is>
      </c>
      <c r="D227" s="5" t="n">
        <v>-3951.45</v>
      </c>
      <c r="E227" s="5" t="n">
        <v>-3951.45</v>
      </c>
      <c r="F227" s="4" t="inlineStr">
        <is>
          <t>Depreciacao acumulada maior que o custo</t>
        </is>
      </c>
    </row>
    <row r="228">
      <c r="A228" s="4" t="inlineStr">
        <is>
          <t>T03_VCL_NEGATIVO</t>
        </is>
      </c>
      <c r="B228" s="4" t="inlineStr">
        <is>
          <t>IMB-0228656</t>
        </is>
      </c>
      <c r="C228" s="4" t="inlineStr">
        <is>
          <t>MAQUINAS_EQUIPAMENTOS</t>
        </is>
      </c>
      <c r="D228" s="5" t="n">
        <v>-7389.61</v>
      </c>
      <c r="E228" s="5" t="n">
        <v>-7389.61</v>
      </c>
      <c r="F228" s="4" t="inlineStr">
        <is>
          <t>Depreciacao acumulada maior que o custo</t>
        </is>
      </c>
    </row>
    <row r="229">
      <c r="A229" s="4" t="inlineStr">
        <is>
          <t>T03_VCL_NEGATIVO</t>
        </is>
      </c>
      <c r="B229" s="4" t="inlineStr">
        <is>
          <t>IMB-0230347</t>
        </is>
      </c>
      <c r="C229" s="4" t="inlineStr">
        <is>
          <t>MAQUINAS_EQUIPAMENTOS</t>
        </is>
      </c>
      <c r="D229" s="5" t="n">
        <v>-12350.2</v>
      </c>
      <c r="E229" s="5" t="n">
        <v>-12350.2</v>
      </c>
      <c r="F229" s="4" t="inlineStr">
        <is>
          <t>Depreciacao acumulada maior que o custo</t>
        </is>
      </c>
    </row>
    <row r="230">
      <c r="A230" s="4" t="inlineStr">
        <is>
          <t>T03_VCL_NEGATIVO</t>
        </is>
      </c>
      <c r="B230" s="4" t="inlineStr">
        <is>
          <t>IMB-0232760</t>
        </is>
      </c>
      <c r="C230" s="4" t="inlineStr">
        <is>
          <t>MAQUINAS_EQUIPAMENTOS</t>
        </is>
      </c>
      <c r="D230" s="5" t="n">
        <v>-24138.66</v>
      </c>
      <c r="E230" s="5" t="n">
        <v>-24138.66</v>
      </c>
      <c r="F230" s="4" t="inlineStr">
        <is>
          <t>Depreciacao acumulada maior que o custo</t>
        </is>
      </c>
    </row>
    <row r="231">
      <c r="A231" s="4" t="inlineStr">
        <is>
          <t>T03_VCL_NEGATIVO</t>
        </is>
      </c>
      <c r="B231" s="4" t="inlineStr">
        <is>
          <t>IMB-0234494</t>
        </is>
      </c>
      <c r="C231" s="4" t="inlineStr">
        <is>
          <t>MAQUINAS_EQUIPAMENTOS</t>
        </is>
      </c>
      <c r="D231" s="5" t="n">
        <v>-12664.48</v>
      </c>
      <c r="E231" s="5" t="n">
        <v>-12664.48</v>
      </c>
      <c r="F231" s="4" t="inlineStr">
        <is>
          <t>Depreciacao acumulada maior que o custo</t>
        </is>
      </c>
    </row>
    <row r="232">
      <c r="A232" s="4" t="inlineStr">
        <is>
          <t>T03_VCL_NEGATIVO</t>
        </is>
      </c>
      <c r="B232" s="4" t="inlineStr">
        <is>
          <t>IMB-0243033</t>
        </is>
      </c>
      <c r="C232" s="4" t="inlineStr">
        <is>
          <t>MAQUINAS_EQUIPAMENTOS</t>
        </is>
      </c>
      <c r="D232" s="5" t="n">
        <v>-46127.4</v>
      </c>
      <c r="E232" s="5" t="n">
        <v>-46127.4</v>
      </c>
      <c r="F232" s="4" t="inlineStr">
        <is>
          <t>Depreciacao acumulada maior que o custo</t>
        </is>
      </c>
    </row>
    <row r="233">
      <c r="A233" s="4" t="inlineStr">
        <is>
          <t>T03_VCL_NEGATIVO</t>
        </is>
      </c>
      <c r="B233" s="4" t="inlineStr">
        <is>
          <t>IMB-0258154</t>
        </is>
      </c>
      <c r="C233" s="4" t="inlineStr">
        <is>
          <t>MAQUINAS_EQUIPAMENTOS</t>
        </is>
      </c>
      <c r="D233" s="5" t="n">
        <v>-7758.77</v>
      </c>
      <c r="E233" s="5" t="n">
        <v>-7758.77</v>
      </c>
      <c r="F233" s="4" t="inlineStr">
        <is>
          <t>Depreciacao acumulada maior que o custo</t>
        </is>
      </c>
    </row>
    <row r="234">
      <c r="A234" s="4" t="inlineStr">
        <is>
          <t>T03_VCL_NEGATIVO</t>
        </is>
      </c>
      <c r="B234" s="4" t="inlineStr">
        <is>
          <t>IMB-0264454</t>
        </is>
      </c>
      <c r="C234" s="4" t="inlineStr">
        <is>
          <t>MAQUINAS_EQUIPAMENTOS</t>
        </is>
      </c>
      <c r="D234" s="5" t="n">
        <v>-6606.57</v>
      </c>
      <c r="E234" s="5" t="n">
        <v>-6606.57</v>
      </c>
      <c r="F234" s="4" t="inlineStr">
        <is>
          <t>Depreciacao acumulada maior que o custo</t>
        </is>
      </c>
    </row>
    <row r="235">
      <c r="A235" s="4" t="inlineStr">
        <is>
          <t>T03_VCL_NEGATIVO</t>
        </is>
      </c>
      <c r="B235" s="4" t="inlineStr">
        <is>
          <t>IMB-0285198</t>
        </is>
      </c>
      <c r="C235" s="4" t="inlineStr">
        <is>
          <t>MAQUINAS_EQUIPAMENTOS</t>
        </is>
      </c>
      <c r="D235" s="5" t="n">
        <v>-13539.72</v>
      </c>
      <c r="E235" s="5" t="n">
        <v>-13539.72</v>
      </c>
      <c r="F235" s="4" t="inlineStr">
        <is>
          <t>Depreciacao acumulada maior que o custo</t>
        </is>
      </c>
    </row>
    <row r="236">
      <c r="A236" s="4" t="inlineStr">
        <is>
          <t>T03_VCL_NEGATIVO</t>
        </is>
      </c>
      <c r="B236" s="4" t="inlineStr">
        <is>
          <t>IMB-0292390</t>
        </is>
      </c>
      <c r="C236" s="4" t="inlineStr">
        <is>
          <t>OUTROS</t>
        </is>
      </c>
      <c r="D236" s="5" t="n">
        <v>-9240.059999999999</v>
      </c>
      <c r="E236" s="5" t="n">
        <v>-9240.059999999999</v>
      </c>
      <c r="F236" s="4" t="inlineStr">
        <is>
          <t>Depreciacao acumulada maior que o custo</t>
        </is>
      </c>
    </row>
    <row r="237">
      <c r="A237" s="4" t="inlineStr">
        <is>
          <t>T03_VCL_NEGATIVO</t>
        </is>
      </c>
      <c r="B237" s="4" t="inlineStr">
        <is>
          <t>IMB-0298331</t>
        </is>
      </c>
      <c r="C237" s="4" t="inlineStr">
        <is>
          <t>OUTROS</t>
        </is>
      </c>
      <c r="D237" s="5" t="n">
        <v>-8701.4</v>
      </c>
      <c r="E237" s="5" t="n">
        <v>-8701.4</v>
      </c>
      <c r="F237" s="4" t="inlineStr">
        <is>
          <t>Depreciacao acumulada maior que o custo</t>
        </is>
      </c>
    </row>
    <row r="238">
      <c r="A238" s="4" t="inlineStr">
        <is>
          <t>T03_VCL_NEGATIVO</t>
        </is>
      </c>
      <c r="B238" s="4" t="inlineStr">
        <is>
          <t>IMB-0301942</t>
        </is>
      </c>
      <c r="C238" s="4" t="inlineStr">
        <is>
          <t>MAQUINAS_EQUIPAMENTOS</t>
        </is>
      </c>
      <c r="D238" s="5" t="n">
        <v>-12920.78</v>
      </c>
      <c r="E238" s="5" t="n">
        <v>-12920.78</v>
      </c>
      <c r="F238" s="4" t="inlineStr">
        <is>
          <t>Depreciacao acumulada maior que o custo</t>
        </is>
      </c>
    </row>
    <row r="239">
      <c r="A239" s="4" t="inlineStr">
        <is>
          <t>T03_VCL_NEGATIVO</t>
        </is>
      </c>
      <c r="B239" s="4" t="inlineStr">
        <is>
          <t>IMB-0331991</t>
        </is>
      </c>
      <c r="C239" s="4" t="inlineStr">
        <is>
          <t>MAQUINAS_EQUIPAMENTOS</t>
        </is>
      </c>
      <c r="D239" s="5" t="n">
        <v>-19213.74</v>
      </c>
      <c r="E239" s="5" t="n">
        <v>-19213.74</v>
      </c>
      <c r="F239" s="4" t="inlineStr">
        <is>
          <t>Depreciacao acumulada maior que o custo</t>
        </is>
      </c>
    </row>
    <row r="240">
      <c r="A240" s="4" t="inlineStr">
        <is>
          <t>T03_VCL_NEGATIVO</t>
        </is>
      </c>
      <c r="B240" s="4" t="inlineStr">
        <is>
          <t>IMB-0334538</t>
        </is>
      </c>
      <c r="C240" s="4" t="inlineStr">
        <is>
          <t>MAQUINAS_EQUIPAMENTOS</t>
        </is>
      </c>
      <c r="D240" s="5" t="n">
        <v>-5433.91</v>
      </c>
      <c r="E240" s="5" t="n">
        <v>-5433.91</v>
      </c>
      <c r="F240" s="4" t="inlineStr">
        <is>
          <t>Depreciacao acumulada maior que o custo</t>
        </is>
      </c>
    </row>
    <row r="241">
      <c r="A241" s="4" t="inlineStr">
        <is>
          <t>T03_VCL_NEGATIVO</t>
        </is>
      </c>
      <c r="B241" s="4" t="inlineStr">
        <is>
          <t>IMB-0366950</t>
        </is>
      </c>
      <c r="C241" s="4" t="inlineStr">
        <is>
          <t>MAQUINAS_EQUIPAMENTOS</t>
        </is>
      </c>
      <c r="D241" s="5" t="n">
        <v>-11912.84</v>
      </c>
      <c r="E241" s="5" t="n">
        <v>-11912.84</v>
      </c>
      <c r="F241" s="4" t="inlineStr">
        <is>
          <t>Depreciacao acumulada maior que o custo</t>
        </is>
      </c>
    </row>
    <row r="242">
      <c r="A242" s="4" t="inlineStr">
        <is>
          <t>T03_VCL_NEGATIVO</t>
        </is>
      </c>
      <c r="B242" s="4" t="inlineStr">
        <is>
          <t>IMB-0393261</t>
        </is>
      </c>
      <c r="C242" s="4" t="inlineStr">
        <is>
          <t>MAQUINAS_EQUIPAMENTOS</t>
        </is>
      </c>
      <c r="D242" s="5" t="n">
        <v>-15481.84</v>
      </c>
      <c r="E242" s="5" t="n">
        <v>-15481.84</v>
      </c>
      <c r="F242" s="4" t="inlineStr">
        <is>
          <t>Depreciacao acumulada maior que o custo</t>
        </is>
      </c>
    </row>
    <row r="243">
      <c r="A243" s="4" t="inlineStr">
        <is>
          <t>T03_VCL_NEGATIVO</t>
        </is>
      </c>
      <c r="B243" s="4" t="inlineStr">
        <is>
          <t>IMB-0421670</t>
        </is>
      </c>
      <c r="C243" s="4" t="inlineStr">
        <is>
          <t>MAQUINAS_EQUIPAMENTOS</t>
        </is>
      </c>
      <c r="D243" s="5" t="n">
        <v>-15721.39</v>
      </c>
      <c r="E243" s="5" t="n">
        <v>-15721.39</v>
      </c>
      <c r="F243" s="4" t="inlineStr">
        <is>
          <t>Depreciacao acumulada maior que o custo</t>
        </is>
      </c>
    </row>
    <row r="244">
      <c r="A244" s="4" t="inlineStr">
        <is>
          <t>T03_VCL_NEGATIVO</t>
        </is>
      </c>
      <c r="B244" s="4" t="inlineStr">
        <is>
          <t>IMB-0422913</t>
        </is>
      </c>
      <c r="C244" s="4" t="inlineStr">
        <is>
          <t>MAQUINAS_EQUIPAMENTOS</t>
        </is>
      </c>
      <c r="D244" s="5" t="n">
        <v>-29434.39</v>
      </c>
      <c r="E244" s="5" t="n">
        <v>-29434.39</v>
      </c>
      <c r="F244" s="4" t="inlineStr">
        <is>
          <t>Depreciacao acumulada maior que o custo</t>
        </is>
      </c>
    </row>
    <row r="245">
      <c r="A245" s="4" t="inlineStr">
        <is>
          <t>T03_VCL_NEGATIVO</t>
        </is>
      </c>
      <c r="B245" s="4" t="inlineStr">
        <is>
          <t>IMB-0433399</t>
        </is>
      </c>
      <c r="C245" s="4" t="inlineStr">
        <is>
          <t>MAQUINAS_EQUIPAMENTOS</t>
        </is>
      </c>
      <c r="D245" s="5" t="n">
        <v>-27341.43</v>
      </c>
      <c r="E245" s="5" t="n">
        <v>-27341.43</v>
      </c>
      <c r="F245" s="4" t="inlineStr">
        <is>
          <t>Depreciacao acumulada maior que o custo</t>
        </is>
      </c>
    </row>
    <row r="246">
      <c r="A246" s="4" t="inlineStr">
        <is>
          <t>T03_VCL_NEGATIVO</t>
        </is>
      </c>
      <c r="B246" s="4" t="inlineStr">
        <is>
          <t>IMB-0434413</t>
        </is>
      </c>
      <c r="C246" s="4" t="inlineStr">
        <is>
          <t>OUTROS</t>
        </is>
      </c>
      <c r="D246" s="5" t="n">
        <v>-13853.86</v>
      </c>
      <c r="E246" s="5" t="n">
        <v>-13853.86</v>
      </c>
      <c r="F246" s="4" t="inlineStr">
        <is>
          <t>Depreciacao acumulada maior que o custo</t>
        </is>
      </c>
    </row>
    <row r="247">
      <c r="A247" s="4" t="inlineStr">
        <is>
          <t>T03_VCL_NEGATIVO</t>
        </is>
      </c>
      <c r="B247" s="4" t="inlineStr">
        <is>
          <t>IMB-0442589</t>
        </is>
      </c>
      <c r="C247" s="4" t="inlineStr">
        <is>
          <t>MAQUINAS_EQUIPAMENTOS</t>
        </is>
      </c>
      <c r="D247" s="5" t="n">
        <v>-14375.16</v>
      </c>
      <c r="E247" s="5" t="n">
        <v>-14375.16</v>
      </c>
      <c r="F247" s="4" t="inlineStr">
        <is>
          <t>Depreciacao acumulada maior que o custo</t>
        </is>
      </c>
    </row>
    <row r="248">
      <c r="A248" s="4" t="inlineStr">
        <is>
          <t>T03_VCL_NEGATIVO</t>
        </is>
      </c>
      <c r="B248" s="4" t="inlineStr">
        <is>
          <t>IMB-0453132</t>
        </is>
      </c>
      <c r="C248" s="4" t="inlineStr">
        <is>
          <t>MAQUINAS_EQUIPAMENTOS</t>
        </is>
      </c>
      <c r="D248" s="5" t="n">
        <v>-9429.16</v>
      </c>
      <c r="E248" s="5" t="n">
        <v>-9429.16</v>
      </c>
      <c r="F248" s="4" t="inlineStr">
        <is>
          <t>Depreciacao acumulada maior que o custo</t>
        </is>
      </c>
    </row>
    <row r="249">
      <c r="A249" s="4" t="inlineStr">
        <is>
          <t>T03_VCL_NEGATIVO</t>
        </is>
      </c>
      <c r="B249" s="4" t="inlineStr">
        <is>
          <t>IMB-0477688</t>
        </is>
      </c>
      <c r="C249" s="4" t="inlineStr">
        <is>
          <t>OUTROS</t>
        </is>
      </c>
      <c r="D249" s="5" t="n">
        <v>-10125.72</v>
      </c>
      <c r="E249" s="5" t="n">
        <v>-10125.72</v>
      </c>
      <c r="F249" s="4" t="inlineStr">
        <is>
          <t>Depreciacao acumulada maior que o custo</t>
        </is>
      </c>
    </row>
    <row r="250">
      <c r="A250" s="4" t="inlineStr">
        <is>
          <t>T03_VCL_NEGATIVO</t>
        </is>
      </c>
      <c r="B250" s="4" t="inlineStr">
        <is>
          <t>IMB-0525887</t>
        </is>
      </c>
      <c r="C250" s="4" t="inlineStr">
        <is>
          <t>MAQUINAS_EQUIPAMENTOS</t>
        </is>
      </c>
      <c r="D250" s="5" t="n">
        <v>-12317.67</v>
      </c>
      <c r="E250" s="5" t="n">
        <v>-12317.67</v>
      </c>
      <c r="F250" s="4" t="inlineStr">
        <is>
          <t>Depreciacao acumulada maior que o custo</t>
        </is>
      </c>
    </row>
    <row r="251">
      <c r="A251" s="4" t="inlineStr">
        <is>
          <t>T04_RECALCULO_DEPRECIACAO</t>
        </is>
      </c>
      <c r="B251" s="4" t="inlineStr">
        <is>
          <t>IMB-0004125</t>
        </is>
      </c>
      <c r="C251" s="4" t="inlineStr">
        <is>
          <t>MAQUINAS_EQUIPAMENTOS</t>
        </is>
      </c>
      <c r="D251" s="5" t="n">
        <v>32710.97</v>
      </c>
      <c r="E251" s="5" t="n">
        <v>3652.97</v>
      </c>
      <c r="F251" s="4" t="inlineStr">
        <is>
          <t>Acumulada difere do recalculo (taxa x tempo)</t>
        </is>
      </c>
    </row>
    <row r="252">
      <c r="A252" s="4" t="inlineStr">
        <is>
          <t>T04_RECALCULO_DEPRECIACAO</t>
        </is>
      </c>
      <c r="B252" s="4" t="inlineStr">
        <is>
          <t>IMB-0009294</t>
        </is>
      </c>
      <c r="C252" s="4" t="inlineStr">
        <is>
          <t>MAQUINAS_EQUIPAMENTOS</t>
        </is>
      </c>
      <c r="D252" s="5" t="n">
        <v>-4049.79</v>
      </c>
      <c r="E252" s="5" t="n">
        <v>-21847.78</v>
      </c>
      <c r="F252" s="4" t="inlineStr">
        <is>
          <t>Acumulada difere do recalculo (taxa x tempo)</t>
        </is>
      </c>
    </row>
    <row r="253">
      <c r="A253" s="4" t="inlineStr">
        <is>
          <t>T04_RECALCULO_DEPRECIACAO</t>
        </is>
      </c>
      <c r="B253" s="4" t="inlineStr">
        <is>
          <t>IMB-0013130</t>
        </is>
      </c>
      <c r="C253" s="4" t="inlineStr">
        <is>
          <t>OUTROS</t>
        </is>
      </c>
      <c r="D253" s="5" t="n">
        <v>-9613.25</v>
      </c>
      <c r="E253" s="5" t="n">
        <v>-33225.33</v>
      </c>
      <c r="F253" s="4" t="inlineStr">
        <is>
          <t>Acumulada difere do recalculo (taxa x tempo)</t>
        </is>
      </c>
    </row>
    <row r="254">
      <c r="A254" s="4" t="inlineStr">
        <is>
          <t>T04_RECALCULO_DEPRECIACAO</t>
        </is>
      </c>
      <c r="B254" s="4" t="inlineStr">
        <is>
          <t>IMB-0014437</t>
        </is>
      </c>
      <c r="C254" s="4" t="inlineStr">
        <is>
          <t>MAQUINAS_EQUIPAMENTOS</t>
        </is>
      </c>
      <c r="D254" s="5" t="n">
        <v>460327.37</v>
      </c>
      <c r="E254" s="5" t="n">
        <v>10139.79</v>
      </c>
      <c r="F254" s="4" t="inlineStr">
        <is>
          <t>Acumulada difere do recalculo (taxa x tempo)</t>
        </is>
      </c>
    </row>
    <row r="255">
      <c r="A255" s="4" t="inlineStr">
        <is>
          <t>T04_RECALCULO_DEPRECIACAO</t>
        </is>
      </c>
      <c r="B255" s="4" t="inlineStr">
        <is>
          <t>IMB-0017916</t>
        </is>
      </c>
      <c r="C255" s="4" t="inlineStr">
        <is>
          <t>MAQUINAS_EQUIPAMENTOS</t>
        </is>
      </c>
      <c r="D255" s="5" t="n">
        <v>-16486.32</v>
      </c>
      <c r="E255" s="5" t="n">
        <v>-50497.13</v>
      </c>
      <c r="F255" s="4" t="inlineStr">
        <is>
          <t>Acumulada difere do recalculo (taxa x tempo)</t>
        </is>
      </c>
    </row>
    <row r="256">
      <c r="A256" s="4" t="inlineStr">
        <is>
          <t>T04_RECALCULO_DEPRECIACAO</t>
        </is>
      </c>
      <c r="B256" s="4" t="inlineStr">
        <is>
          <t>IMB-0020841</t>
        </is>
      </c>
      <c r="C256" s="4" t="inlineStr">
        <is>
          <t>MAQUINAS_EQUIPAMENTOS</t>
        </is>
      </c>
      <c r="D256" s="5" t="n">
        <v>28846.83</v>
      </c>
      <c r="E256" s="5" t="n">
        <v>4982.629999999999</v>
      </c>
      <c r="F256" s="4" t="inlineStr">
        <is>
          <t>Acumulada difere do recalculo (taxa x tempo)</t>
        </is>
      </c>
    </row>
    <row r="257">
      <c r="A257" s="4" t="inlineStr">
        <is>
          <t>T04_RECALCULO_DEPRECIACAO</t>
        </is>
      </c>
      <c r="B257" s="4" t="inlineStr">
        <is>
          <t>IMB-0021291</t>
        </is>
      </c>
      <c r="C257" s="4" t="inlineStr">
        <is>
          <t>OUTROS</t>
        </is>
      </c>
      <c r="D257" s="5" t="n">
        <v>31528.79</v>
      </c>
      <c r="E257" s="5" t="n">
        <v>31528.79</v>
      </c>
      <c r="F257" s="4" t="inlineStr">
        <is>
          <t>Acumulada difere do recalculo (taxa x tempo)</t>
        </is>
      </c>
    </row>
    <row r="258">
      <c r="A258" s="4" t="inlineStr">
        <is>
          <t>T04_RECALCULO_DEPRECIACAO</t>
        </is>
      </c>
      <c r="B258" s="4" t="inlineStr">
        <is>
          <t>IMB-0026485</t>
        </is>
      </c>
      <c r="C258" s="4" t="inlineStr">
        <is>
          <t>MAQUINAS_EQUIPAMENTOS</t>
        </is>
      </c>
      <c r="D258" s="5" t="n">
        <v>28374.28</v>
      </c>
      <c r="E258" s="5" t="n">
        <v>3330.49</v>
      </c>
      <c r="F258" s="4" t="inlineStr">
        <is>
          <t>Acumulada difere do recalculo (taxa x tempo)</t>
        </is>
      </c>
    </row>
    <row r="259">
      <c r="A259" s="4" t="inlineStr">
        <is>
          <t>T04_RECALCULO_DEPRECIACAO</t>
        </is>
      </c>
      <c r="B259" s="4" t="inlineStr">
        <is>
          <t>IMB-0032435</t>
        </is>
      </c>
      <c r="C259" s="4" t="inlineStr">
        <is>
          <t>OUTROS</t>
        </is>
      </c>
      <c r="D259" s="5" t="n">
        <v>6921.67</v>
      </c>
      <c r="E259" s="5" t="n">
        <v>6921.669999999998</v>
      </c>
      <c r="F259" s="4" t="inlineStr">
        <is>
          <t>Acumulada difere do recalculo (taxa x tempo)</t>
        </is>
      </c>
    </row>
    <row r="260">
      <c r="A260" s="4" t="inlineStr">
        <is>
          <t>T04_RECALCULO_DEPRECIACAO</t>
        </is>
      </c>
      <c r="B260" s="4" t="inlineStr">
        <is>
          <t>IMB-0039244</t>
        </is>
      </c>
      <c r="C260" s="4" t="inlineStr">
        <is>
          <t>MAQUINAS_EQUIPAMENTOS</t>
        </is>
      </c>
      <c r="D260" s="5" t="n">
        <v>62126.14</v>
      </c>
      <c r="E260" s="5" t="n">
        <v>4668.959999999999</v>
      </c>
      <c r="F260" s="4" t="inlineStr">
        <is>
          <t>Acumulada difere do recalculo (taxa x tempo)</t>
        </is>
      </c>
    </row>
    <row r="261">
      <c r="A261" s="4" t="inlineStr">
        <is>
          <t>T04_RECALCULO_DEPRECIACAO</t>
        </is>
      </c>
      <c r="B261" s="4" t="inlineStr">
        <is>
          <t>IMB-0041271</t>
        </is>
      </c>
      <c r="C261" s="4" t="inlineStr">
        <is>
          <t>OUTROS</t>
        </is>
      </c>
      <c r="D261" s="5" t="n">
        <v>-11128.51</v>
      </c>
      <c r="E261" s="5" t="n">
        <v>-31218.79</v>
      </c>
      <c r="F261" s="4" t="inlineStr">
        <is>
          <t>Acumulada difere do recalculo (taxa x tempo)</t>
        </is>
      </c>
    </row>
    <row r="262">
      <c r="A262" s="4" t="inlineStr">
        <is>
          <t>T04_RECALCULO_DEPRECIACAO</t>
        </is>
      </c>
      <c r="B262" s="4" t="inlineStr">
        <is>
          <t>IMB-0052507</t>
        </is>
      </c>
      <c r="C262" s="4" t="inlineStr">
        <is>
          <t>MAQUINAS_EQUIPAMENTOS</t>
        </is>
      </c>
      <c r="D262" s="5" t="n">
        <v>-7884.07</v>
      </c>
      <c r="E262" s="5" t="n">
        <v>-32962.77</v>
      </c>
      <c r="F262" s="4" t="inlineStr">
        <is>
          <t>Acumulada difere do recalculo (taxa x tempo)</t>
        </is>
      </c>
    </row>
    <row r="263">
      <c r="A263" s="4" t="inlineStr">
        <is>
          <t>T04_RECALCULO_DEPRECIACAO</t>
        </is>
      </c>
      <c r="B263" s="4" t="inlineStr">
        <is>
          <t>IMB-0054116</t>
        </is>
      </c>
      <c r="C263" s="4" t="inlineStr">
        <is>
          <t>MAQUINAS_EQUIPAMENTOS</t>
        </is>
      </c>
      <c r="D263" s="5" t="n">
        <v>325117.16</v>
      </c>
      <c r="E263" s="5" t="n">
        <v>325117.16</v>
      </c>
      <c r="F263" s="4" t="inlineStr">
        <is>
          <t>Acumulada difere do recalculo (taxa x tempo)</t>
        </is>
      </c>
    </row>
    <row r="264">
      <c r="A264" s="4" t="inlineStr">
        <is>
          <t>T04_RECALCULO_DEPRECIACAO</t>
        </is>
      </c>
      <c r="B264" s="4" t="inlineStr">
        <is>
          <t>IMB-0061024</t>
        </is>
      </c>
      <c r="C264" s="4" t="inlineStr">
        <is>
          <t>OUTROS</t>
        </is>
      </c>
      <c r="D264" s="5" t="n">
        <v>17350.32</v>
      </c>
      <c r="E264" s="5" t="n">
        <v>17350.32</v>
      </c>
      <c r="F264" s="4" t="inlineStr">
        <is>
          <t>Acumulada difere do recalculo (taxa x tempo)</t>
        </is>
      </c>
    </row>
    <row r="265">
      <c r="A265" s="4" t="inlineStr">
        <is>
          <t>T04_RECALCULO_DEPRECIACAO</t>
        </is>
      </c>
      <c r="B265" s="4" t="inlineStr">
        <is>
          <t>IMB-0066121</t>
        </is>
      </c>
      <c r="C265" s="4" t="inlineStr">
        <is>
          <t>OUTROS</t>
        </is>
      </c>
      <c r="D265" s="5" t="n">
        <v>27551.9</v>
      </c>
      <c r="E265" s="5" t="n">
        <v>27551.9</v>
      </c>
      <c r="F265" s="4" t="inlineStr">
        <is>
          <t>Acumulada difere do recalculo (taxa x tempo)</t>
        </is>
      </c>
    </row>
    <row r="266">
      <c r="A266" s="4" t="inlineStr">
        <is>
          <t>T04_RECALCULO_DEPRECIACAO</t>
        </is>
      </c>
      <c r="B266" s="4" t="inlineStr">
        <is>
          <t>IMB-0088592</t>
        </is>
      </c>
      <c r="C266" s="4" t="inlineStr">
        <is>
          <t>MAQUINAS_EQUIPAMENTOS</t>
        </is>
      </c>
      <c r="D266" s="5" t="n">
        <v>122145.73</v>
      </c>
      <c r="E266" s="5" t="n">
        <v>122145.73</v>
      </c>
      <c r="F266" s="4" t="inlineStr">
        <is>
          <t>Acumulada difere do recalculo (taxa x tempo)</t>
        </is>
      </c>
    </row>
    <row r="267">
      <c r="A267" s="4" t="inlineStr">
        <is>
          <t>T04_RECALCULO_DEPRECIACAO</t>
        </is>
      </c>
      <c r="B267" s="4" t="inlineStr">
        <is>
          <t>IMB-0089273</t>
        </is>
      </c>
      <c r="C267" s="4" t="inlineStr">
        <is>
          <t>MAQUINAS_EQUIPAMENTOS</t>
        </is>
      </c>
      <c r="D267" s="5" t="n">
        <v>48816.14</v>
      </c>
      <c r="E267" s="5" t="n">
        <v>4841.870000000001</v>
      </c>
      <c r="F267" s="4" t="inlineStr">
        <is>
          <t>Acumulada difere do recalculo (taxa x tempo)</t>
        </is>
      </c>
    </row>
    <row r="268">
      <c r="A268" s="4" t="inlineStr">
        <is>
          <t>T04_RECALCULO_DEPRECIACAO</t>
        </is>
      </c>
      <c r="B268" s="4" t="inlineStr">
        <is>
          <t>IMB-0094536</t>
        </is>
      </c>
      <c r="C268" s="4" t="inlineStr">
        <is>
          <t>OUTROS</t>
        </is>
      </c>
      <c r="D268" s="5" t="n">
        <v>-4847.11</v>
      </c>
      <c r="E268" s="5" t="n">
        <v>-25379.88</v>
      </c>
      <c r="F268" s="4" t="inlineStr">
        <is>
          <t>Acumulada difere do recalculo (taxa x tempo)</t>
        </is>
      </c>
    </row>
    <row r="269">
      <c r="A269" s="4" t="inlineStr">
        <is>
          <t>T04_RECALCULO_DEPRECIACAO</t>
        </is>
      </c>
      <c r="B269" s="4" t="inlineStr">
        <is>
          <t>IMB-0097008</t>
        </is>
      </c>
      <c r="C269" s="4" t="inlineStr">
        <is>
          <t>MAQUINAS_EQUIPAMENTOS</t>
        </is>
      </c>
      <c r="D269" s="5" t="n">
        <v>62889.74</v>
      </c>
      <c r="E269" s="5" t="n">
        <v>3933.14</v>
      </c>
      <c r="F269" s="4" t="inlineStr">
        <is>
          <t>Acumulada difere do recalculo (taxa x tempo)</t>
        </is>
      </c>
    </row>
    <row r="270">
      <c r="A270" s="4" t="inlineStr">
        <is>
          <t>T04_RECALCULO_DEPRECIACAO</t>
        </is>
      </c>
      <c r="B270" s="4" t="inlineStr">
        <is>
          <t>IMB-0097595</t>
        </is>
      </c>
      <c r="C270" s="4" t="inlineStr">
        <is>
          <t>OUTROS</t>
        </is>
      </c>
      <c r="D270" s="5" t="n">
        <v>60448.23</v>
      </c>
      <c r="E270" s="5" t="n">
        <v>3576.499999999999</v>
      </c>
      <c r="F270" s="4" t="inlineStr">
        <is>
          <t>Acumulada difere do recalculo (taxa x tempo)</t>
        </is>
      </c>
    </row>
    <row r="271">
      <c r="A271" s="4" t="inlineStr">
        <is>
          <t>T04_RECALCULO_DEPRECIACAO</t>
        </is>
      </c>
      <c r="B271" s="4" t="inlineStr">
        <is>
          <t>IMB-0104648</t>
        </is>
      </c>
      <c r="C271" s="4" t="inlineStr">
        <is>
          <t>OUTROS</t>
        </is>
      </c>
      <c r="D271" s="5" t="n">
        <v>22671.1</v>
      </c>
      <c r="E271" s="5" t="n">
        <v>22671.1</v>
      </c>
      <c r="F271" s="4" t="inlineStr">
        <is>
          <t>Acumulada difere do recalculo (taxa x tempo)</t>
        </is>
      </c>
    </row>
    <row r="272">
      <c r="A272" s="4" t="inlineStr">
        <is>
          <t>T04_RECALCULO_DEPRECIACAO</t>
        </is>
      </c>
      <c r="B272" s="4" t="inlineStr">
        <is>
          <t>IMB-0110567</t>
        </is>
      </c>
      <c r="C272" s="4" t="inlineStr">
        <is>
          <t>OUTROS</t>
        </is>
      </c>
      <c r="D272" s="5" t="n">
        <v>29190.33</v>
      </c>
      <c r="E272" s="5" t="n">
        <v>29190.33</v>
      </c>
      <c r="F272" s="4" t="inlineStr">
        <is>
          <t>Acumulada difere do recalculo (taxa x tempo)</t>
        </is>
      </c>
    </row>
    <row r="273">
      <c r="A273" s="4" t="inlineStr">
        <is>
          <t>T04_RECALCULO_DEPRECIACAO</t>
        </is>
      </c>
      <c r="B273" s="4" t="inlineStr">
        <is>
          <t>IMB-0116924</t>
        </is>
      </c>
      <c r="C273" s="4" t="inlineStr">
        <is>
          <t>MAQUINAS_EQUIPAMENTOS</t>
        </is>
      </c>
      <c r="D273" s="5" t="n">
        <v>2909.78</v>
      </c>
      <c r="E273" s="5" t="n">
        <v>2909.78</v>
      </c>
      <c r="F273" s="4" t="inlineStr">
        <is>
          <t>Acumulada difere do recalculo (taxa x tempo)</t>
        </is>
      </c>
    </row>
    <row r="274">
      <c r="A274" s="4" t="inlineStr">
        <is>
          <t>T04_RECALCULO_DEPRECIACAO</t>
        </is>
      </c>
      <c r="B274" s="4" t="inlineStr">
        <is>
          <t>IMB-0117021</t>
        </is>
      </c>
      <c r="C274" s="4" t="inlineStr">
        <is>
          <t>OUTROS</t>
        </is>
      </c>
      <c r="D274" s="5" t="n">
        <v>-9389.540000000001</v>
      </c>
      <c r="E274" s="5" t="n">
        <v>-85420.64</v>
      </c>
      <c r="F274" s="4" t="inlineStr">
        <is>
          <t>Acumulada difere do recalculo (taxa x tempo)</t>
        </is>
      </c>
    </row>
    <row r="275">
      <c r="A275" s="4" t="inlineStr">
        <is>
          <t>T04_RECALCULO_DEPRECIACAO</t>
        </is>
      </c>
      <c r="B275" s="4" t="inlineStr">
        <is>
          <t>IMB-0118329</t>
        </is>
      </c>
      <c r="C275" s="4" t="inlineStr">
        <is>
          <t>MAQUINAS_EQUIPAMENTOS</t>
        </is>
      </c>
      <c r="D275" s="5" t="n">
        <v>72557.81</v>
      </c>
      <c r="E275" s="5" t="n">
        <v>13116.76</v>
      </c>
      <c r="F275" s="4" t="inlineStr">
        <is>
          <t>Acumulada difere do recalculo (taxa x tempo)</t>
        </is>
      </c>
    </row>
    <row r="276">
      <c r="A276" s="4" t="inlineStr">
        <is>
          <t>T04_RECALCULO_DEPRECIACAO</t>
        </is>
      </c>
      <c r="B276" s="4" t="inlineStr">
        <is>
          <t>IMB-0118983</t>
        </is>
      </c>
      <c r="C276" s="4" t="inlineStr">
        <is>
          <t>MAQUINAS_EQUIPAMENTOS</t>
        </is>
      </c>
      <c r="D276" s="5" t="n">
        <v>15587.16</v>
      </c>
      <c r="E276" s="5" t="n">
        <v>1718.03</v>
      </c>
      <c r="F276" s="4" t="inlineStr">
        <is>
          <t>Acumulada difere do recalculo (taxa x tempo)</t>
        </is>
      </c>
    </row>
    <row r="277">
      <c r="A277" s="4" t="inlineStr">
        <is>
          <t>T04_RECALCULO_DEPRECIACAO</t>
        </is>
      </c>
      <c r="B277" s="4" t="inlineStr">
        <is>
          <t>IMB-0123727</t>
        </is>
      </c>
      <c r="C277" s="4" t="inlineStr">
        <is>
          <t>MAQUINAS_EQUIPAMENTOS</t>
        </is>
      </c>
      <c r="D277" s="5" t="n">
        <v>7982.68</v>
      </c>
      <c r="E277" s="5" t="n">
        <v>7982.68</v>
      </c>
      <c r="F277" s="4" t="inlineStr">
        <is>
          <t>Acumulada difere do recalculo (taxa x tempo)</t>
        </is>
      </c>
    </row>
    <row r="278">
      <c r="A278" s="4" t="inlineStr">
        <is>
          <t>T04_RECALCULO_DEPRECIACAO</t>
        </is>
      </c>
      <c r="B278" s="4" t="inlineStr">
        <is>
          <t>IMB-0124285</t>
        </is>
      </c>
      <c r="C278" s="4" t="inlineStr">
        <is>
          <t>OUTROS</t>
        </is>
      </c>
      <c r="D278" s="5" t="n">
        <v>-45639.34</v>
      </c>
      <c r="E278" s="5" t="n">
        <v>-226743.43</v>
      </c>
      <c r="F278" s="4" t="inlineStr">
        <is>
          <t>Acumulada difere do recalculo (taxa x tempo)</t>
        </is>
      </c>
    </row>
    <row r="279">
      <c r="A279" s="4" t="inlineStr">
        <is>
          <t>T04_RECALCULO_DEPRECIACAO</t>
        </is>
      </c>
      <c r="B279" s="4" t="inlineStr">
        <is>
          <t>IMB-0136249</t>
        </is>
      </c>
      <c r="C279" s="4" t="inlineStr">
        <is>
          <t>MAQUINAS_EQUIPAMENTOS</t>
        </is>
      </c>
      <c r="D279" s="5" t="n">
        <v>79700.17</v>
      </c>
      <c r="E279" s="5" t="n">
        <v>15583.99</v>
      </c>
      <c r="F279" s="4" t="inlineStr">
        <is>
          <t>Acumulada difere do recalculo (taxa x tempo)</t>
        </is>
      </c>
    </row>
    <row r="280">
      <c r="A280" s="4" t="inlineStr">
        <is>
          <t>T04_RECALCULO_DEPRECIACAO</t>
        </is>
      </c>
      <c r="B280" s="4" t="inlineStr">
        <is>
          <t>IMB-0137541</t>
        </is>
      </c>
      <c r="C280" s="4" t="inlineStr">
        <is>
          <t>OUTROS</t>
        </is>
      </c>
      <c r="D280" s="5" t="n">
        <v>-4281.85</v>
      </c>
      <c r="E280" s="5" t="n">
        <v>-28629.86</v>
      </c>
      <c r="F280" s="4" t="inlineStr">
        <is>
          <t>Acumulada difere do recalculo (taxa x tempo)</t>
        </is>
      </c>
    </row>
    <row r="281">
      <c r="A281" s="4" t="inlineStr">
        <is>
          <t>T04_RECALCULO_DEPRECIACAO</t>
        </is>
      </c>
      <c r="B281" s="4" t="inlineStr">
        <is>
          <t>IMB-0151060</t>
        </is>
      </c>
      <c r="C281" s="4" t="inlineStr">
        <is>
          <t>OUTROS</t>
        </is>
      </c>
      <c r="D281" s="5" t="n">
        <v>39958.66</v>
      </c>
      <c r="E281" s="5" t="n">
        <v>39958.65999999999</v>
      </c>
      <c r="F281" s="4" t="inlineStr">
        <is>
          <t>Acumulada difere do recalculo (taxa x tempo)</t>
        </is>
      </c>
    </row>
    <row r="282">
      <c r="A282" s="4" t="inlineStr">
        <is>
          <t>T04_RECALCULO_DEPRECIACAO</t>
        </is>
      </c>
      <c r="B282" s="4" t="inlineStr">
        <is>
          <t>IMB-0155705</t>
        </is>
      </c>
      <c r="C282" s="4" t="inlineStr">
        <is>
          <t>MAQUINAS_EQUIPAMENTOS</t>
        </is>
      </c>
      <c r="D282" s="5" t="n">
        <v>-3434.75</v>
      </c>
      <c r="E282" s="5" t="n">
        <v>-39205.34</v>
      </c>
      <c r="F282" s="4" t="inlineStr">
        <is>
          <t>Acumulada difere do recalculo (taxa x tempo)</t>
        </is>
      </c>
    </row>
    <row r="283">
      <c r="A283" s="4" t="inlineStr">
        <is>
          <t>T04_RECALCULO_DEPRECIACAO</t>
        </is>
      </c>
      <c r="B283" s="4" t="inlineStr">
        <is>
          <t>IMB-0155733</t>
        </is>
      </c>
      <c r="C283" s="4" t="inlineStr">
        <is>
          <t>MAQUINAS_EQUIPAMENTOS</t>
        </is>
      </c>
      <c r="D283" s="5" t="n">
        <v>48562.7</v>
      </c>
      <c r="E283" s="5" t="n">
        <v>8633.540000000001</v>
      </c>
      <c r="F283" s="4" t="inlineStr">
        <is>
          <t>Acumulada difere do recalculo (taxa x tempo)</t>
        </is>
      </c>
    </row>
    <row r="284">
      <c r="A284" s="4" t="inlineStr">
        <is>
          <t>T04_RECALCULO_DEPRECIACAO</t>
        </is>
      </c>
      <c r="B284" s="4" t="inlineStr">
        <is>
          <t>IMB-0159449</t>
        </is>
      </c>
      <c r="C284" s="4" t="inlineStr">
        <is>
          <t>MAQUINAS_EQUIPAMENTOS</t>
        </is>
      </c>
      <c r="D284" s="5" t="n">
        <v>23044.3</v>
      </c>
      <c r="E284" s="5" t="n">
        <v>-4664.93</v>
      </c>
      <c r="F284" s="4" t="inlineStr">
        <is>
          <t>Acumulada difere do recalculo (taxa x tempo)</t>
        </is>
      </c>
    </row>
    <row r="285">
      <c r="A285" s="4" t="inlineStr">
        <is>
          <t>T04_RECALCULO_DEPRECIACAO</t>
        </is>
      </c>
      <c r="B285" s="4" t="inlineStr">
        <is>
          <t>IMB-0160856</t>
        </is>
      </c>
      <c r="C285" s="4" t="inlineStr">
        <is>
          <t>OUTROS</t>
        </is>
      </c>
      <c r="D285" s="5" t="n">
        <v>16527.5</v>
      </c>
      <c r="E285" s="5" t="n">
        <v>-365.88</v>
      </c>
      <c r="F285" s="4" t="inlineStr">
        <is>
          <t>Acumulada difere do recalculo (taxa x tempo)</t>
        </is>
      </c>
    </row>
    <row r="286">
      <c r="A286" s="4" t="inlineStr">
        <is>
          <t>T04_RECALCULO_DEPRECIACAO</t>
        </is>
      </c>
      <c r="B286" s="4" t="inlineStr">
        <is>
          <t>IMB-0167125</t>
        </is>
      </c>
      <c r="C286" s="4" t="inlineStr">
        <is>
          <t>MAQUINAS_EQUIPAMENTOS</t>
        </is>
      </c>
      <c r="D286" s="5" t="n">
        <v>-10109.6</v>
      </c>
      <c r="E286" s="5" t="n">
        <v>-33823.63</v>
      </c>
      <c r="F286" s="4" t="inlineStr">
        <is>
          <t>Acumulada difere do recalculo (taxa x tempo)</t>
        </is>
      </c>
    </row>
    <row r="287">
      <c r="A287" s="4" t="inlineStr">
        <is>
          <t>T04_RECALCULO_DEPRECIACAO</t>
        </is>
      </c>
      <c r="B287" s="4" t="inlineStr">
        <is>
          <t>IMB-0169365</t>
        </is>
      </c>
      <c r="C287" s="4" t="inlineStr">
        <is>
          <t>MAQUINAS_EQUIPAMENTOS</t>
        </is>
      </c>
      <c r="D287" s="5" t="n">
        <v>-8305.190000000001</v>
      </c>
      <c r="E287" s="5" t="n">
        <v>-22831.81</v>
      </c>
      <c r="F287" s="4" t="inlineStr">
        <is>
          <t>Acumulada difere do recalculo (taxa x tempo)</t>
        </is>
      </c>
    </row>
    <row r="288">
      <c r="A288" s="4" t="inlineStr">
        <is>
          <t>T04_RECALCULO_DEPRECIACAO</t>
        </is>
      </c>
      <c r="B288" s="4" t="inlineStr">
        <is>
          <t>IMB-0169375</t>
        </is>
      </c>
      <c r="C288" s="4" t="inlineStr">
        <is>
          <t>MAQUINAS_EQUIPAMENTOS</t>
        </is>
      </c>
      <c r="D288" s="5" t="n">
        <v>78578.23</v>
      </c>
      <c r="E288" s="5" t="n">
        <v>78578.23</v>
      </c>
      <c r="F288" s="4" t="inlineStr">
        <is>
          <t>Acumulada difere do recalculo (taxa x tempo)</t>
        </is>
      </c>
    </row>
    <row r="289">
      <c r="A289" s="4" t="inlineStr">
        <is>
          <t>T04_RECALCULO_DEPRECIACAO</t>
        </is>
      </c>
      <c r="B289" s="4" t="inlineStr">
        <is>
          <t>IMB-0179024</t>
        </is>
      </c>
      <c r="C289" s="4" t="inlineStr">
        <is>
          <t>OUTROS</t>
        </is>
      </c>
      <c r="D289" s="5" t="n">
        <v>-11502.78</v>
      </c>
      <c r="E289" s="5" t="n">
        <v>-30896.95</v>
      </c>
      <c r="F289" s="4" t="inlineStr">
        <is>
          <t>Acumulada difere do recalculo (taxa x tempo)</t>
        </is>
      </c>
    </row>
    <row r="290">
      <c r="A290" s="4" t="inlineStr">
        <is>
          <t>T04_RECALCULO_DEPRECIACAO</t>
        </is>
      </c>
      <c r="B290" s="4" t="inlineStr">
        <is>
          <t>IMB-0180892</t>
        </is>
      </c>
      <c r="C290" s="4" t="inlineStr">
        <is>
          <t>MAQUINAS_EQUIPAMENTOS</t>
        </is>
      </c>
      <c r="D290" s="5" t="n">
        <v>-6862.56</v>
      </c>
      <c r="E290" s="5" t="n">
        <v>-38428.82</v>
      </c>
      <c r="F290" s="4" t="inlineStr">
        <is>
          <t>Acumulada difere do recalculo (taxa x tempo)</t>
        </is>
      </c>
    </row>
    <row r="291">
      <c r="A291" s="4" t="inlineStr">
        <is>
          <t>T04_RECALCULO_DEPRECIACAO</t>
        </is>
      </c>
      <c r="B291" s="4" t="inlineStr">
        <is>
          <t>IMB-0190867</t>
        </is>
      </c>
      <c r="C291" s="4" t="inlineStr">
        <is>
          <t>OUTROS</t>
        </is>
      </c>
      <c r="D291" s="5" t="n">
        <v>72188.39</v>
      </c>
      <c r="E291" s="5" t="n">
        <v>72188.39</v>
      </c>
      <c r="F291" s="4" t="inlineStr">
        <is>
          <t>Acumulada difere do recalculo (taxa x tempo)</t>
        </is>
      </c>
    </row>
    <row r="292">
      <c r="A292" s="4" t="inlineStr">
        <is>
          <t>T04_RECALCULO_DEPRECIACAO</t>
        </is>
      </c>
      <c r="B292" s="4" t="inlineStr">
        <is>
          <t>IMB-0197964</t>
        </is>
      </c>
      <c r="C292" s="4" t="inlineStr">
        <is>
          <t>MAQUINAS_EQUIPAMENTOS</t>
        </is>
      </c>
      <c r="D292" s="5" t="n">
        <v>-10932.11</v>
      </c>
      <c r="E292" s="5" t="n">
        <v>-109503.54</v>
      </c>
      <c r="F292" s="4" t="inlineStr">
        <is>
          <t>Acumulada difere do recalculo (taxa x tempo)</t>
        </is>
      </c>
    </row>
    <row r="293">
      <c r="A293" s="4" t="inlineStr">
        <is>
          <t>T04_RECALCULO_DEPRECIACAO</t>
        </is>
      </c>
      <c r="B293" s="4" t="inlineStr">
        <is>
          <t>IMB-0199292</t>
        </is>
      </c>
      <c r="C293" s="4" t="inlineStr">
        <is>
          <t>OUTROS</t>
        </is>
      </c>
      <c r="D293" s="5" t="n">
        <v>-16285.4</v>
      </c>
      <c r="E293" s="5" t="n">
        <v>-48308.44</v>
      </c>
      <c r="F293" s="4" t="inlineStr">
        <is>
          <t>Acumulada difere do recalculo (taxa x tempo)</t>
        </is>
      </c>
    </row>
    <row r="294">
      <c r="A294" s="4" t="inlineStr">
        <is>
          <t>T04_RECALCULO_DEPRECIACAO</t>
        </is>
      </c>
      <c r="B294" s="4" t="inlineStr">
        <is>
          <t>IMB-0200590</t>
        </is>
      </c>
      <c r="C294" s="4" t="inlineStr">
        <is>
          <t>OUTROS</t>
        </is>
      </c>
      <c r="D294" s="5" t="n">
        <v>-3951.45</v>
      </c>
      <c r="E294" s="5" t="n">
        <v>-23900.92</v>
      </c>
      <c r="F294" s="4" t="inlineStr">
        <is>
          <t>Acumulada difere do recalculo (taxa x tempo)</t>
        </is>
      </c>
    </row>
    <row r="295">
      <c r="A295" s="4" t="inlineStr">
        <is>
          <t>T04_RECALCULO_DEPRECIACAO</t>
        </is>
      </c>
      <c r="B295" s="4" t="inlineStr">
        <is>
          <t>IMB-0201415</t>
        </is>
      </c>
      <c r="C295" s="4" t="inlineStr">
        <is>
          <t>OUTROS</t>
        </is>
      </c>
      <c r="D295" s="5" t="n">
        <v>5385.32</v>
      </c>
      <c r="E295" s="5" t="n">
        <v>5385.32</v>
      </c>
      <c r="F295" s="4" t="inlineStr">
        <is>
          <t>Acumulada difere do recalculo (taxa x tempo)</t>
        </is>
      </c>
    </row>
    <row r="296">
      <c r="A296" s="4" t="inlineStr">
        <is>
          <t>T04_RECALCULO_DEPRECIACAO</t>
        </is>
      </c>
      <c r="B296" s="4" t="inlineStr">
        <is>
          <t>IMB-0210665</t>
        </is>
      </c>
      <c r="C296" s="4" t="inlineStr">
        <is>
          <t>MAQUINAS_EQUIPAMENTOS</t>
        </is>
      </c>
      <c r="D296" s="5" t="n">
        <v>8974.969999999999</v>
      </c>
      <c r="E296" s="5" t="n">
        <v>-3631.29</v>
      </c>
      <c r="F296" s="4" t="inlineStr">
        <is>
          <t>Acumulada difere do recalculo (taxa x tempo)</t>
        </is>
      </c>
    </row>
    <row r="297">
      <c r="A297" s="4" t="inlineStr">
        <is>
          <t>T04_RECALCULO_DEPRECIACAO</t>
        </is>
      </c>
      <c r="B297" s="4" t="inlineStr">
        <is>
          <t>IMB-0213067</t>
        </is>
      </c>
      <c r="C297" s="4" t="inlineStr">
        <is>
          <t>MAQUINAS_EQUIPAMENTOS</t>
        </is>
      </c>
      <c r="D297" s="5" t="n">
        <v>5066.84</v>
      </c>
      <c r="E297" s="5" t="n">
        <v>5066.84</v>
      </c>
      <c r="F297" s="4" t="inlineStr">
        <is>
          <t>Acumulada difere do recalculo (taxa x tempo)</t>
        </is>
      </c>
    </row>
    <row r="298">
      <c r="A298" s="4" t="inlineStr">
        <is>
          <t>T04_RECALCULO_DEPRECIACAO</t>
        </is>
      </c>
      <c r="B298" s="4" t="inlineStr">
        <is>
          <t>IMB-0216936</t>
        </is>
      </c>
      <c r="C298" s="4" t="inlineStr">
        <is>
          <t>MAQUINAS_EQUIPAMENTOS</t>
        </is>
      </c>
      <c r="D298" s="5" t="n">
        <v>28800.68</v>
      </c>
      <c r="E298" s="5" t="n">
        <v>2763.96</v>
      </c>
      <c r="F298" s="4" t="inlineStr">
        <is>
          <t>Acumulada difere do recalculo (taxa x tempo)</t>
        </is>
      </c>
    </row>
    <row r="299">
      <c r="A299" s="4" t="inlineStr">
        <is>
          <t>T04_RECALCULO_DEPRECIACAO</t>
        </is>
      </c>
      <c r="B299" s="4" t="inlineStr">
        <is>
          <t>IMB-0228656</t>
        </is>
      </c>
      <c r="C299" s="4" t="inlineStr">
        <is>
          <t>MAQUINAS_EQUIPAMENTOS</t>
        </is>
      </c>
      <c r="D299" s="5" t="n">
        <v>-7389.61</v>
      </c>
      <c r="E299" s="5" t="n">
        <v>-24818.92</v>
      </c>
      <c r="F299" s="4" t="inlineStr">
        <is>
          <t>Acumulada difere do recalculo (taxa x tempo)</t>
        </is>
      </c>
    </row>
    <row r="300">
      <c r="A300" s="4" t="inlineStr">
        <is>
          <t>T04_RECALCULO_DEPRECIACAO</t>
        </is>
      </c>
      <c r="B300" s="4" t="inlineStr">
        <is>
          <t>IMB-0230347</t>
        </is>
      </c>
      <c r="C300" s="4" t="inlineStr">
        <is>
          <t>MAQUINAS_EQUIPAMENTOS</t>
        </is>
      </c>
      <c r="D300" s="5" t="n">
        <v>-12350.2</v>
      </c>
      <c r="E300" s="5" t="n">
        <v>-28512.72</v>
      </c>
      <c r="F300" s="4" t="inlineStr">
        <is>
          <t>Acumulada difere do recalculo (taxa x tempo)</t>
        </is>
      </c>
    </row>
    <row r="301">
      <c r="A301" s="4" t="inlineStr">
        <is>
          <t>T04_RECALCULO_DEPRECIACAO</t>
        </is>
      </c>
      <c r="B301" s="4" t="inlineStr">
        <is>
          <t>IMB-0232760</t>
        </is>
      </c>
      <c r="C301" s="4" t="inlineStr">
        <is>
          <t>MAQUINAS_EQUIPAMENTOS</t>
        </is>
      </c>
      <c r="D301" s="5" t="n">
        <v>-24138.66</v>
      </c>
      <c r="E301" s="5" t="n">
        <v>-87786.17</v>
      </c>
      <c r="F301" s="4" t="inlineStr">
        <is>
          <t>Acumulada difere do recalculo (taxa x tempo)</t>
        </is>
      </c>
    </row>
    <row r="302">
      <c r="A302" s="4" t="inlineStr">
        <is>
          <t>T04_RECALCULO_DEPRECIACAO</t>
        </is>
      </c>
      <c r="B302" s="4" t="inlineStr">
        <is>
          <t>IMB-0234494</t>
        </is>
      </c>
      <c r="C302" s="4" t="inlineStr">
        <is>
          <t>MAQUINAS_EQUIPAMENTOS</t>
        </is>
      </c>
      <c r="D302" s="5" t="n">
        <v>-12664.48</v>
      </c>
      <c r="E302" s="5" t="n">
        <v>-35660.77</v>
      </c>
      <c r="F302" s="4" t="inlineStr">
        <is>
          <t>Acumulada difere do recalculo (taxa x tempo)</t>
        </is>
      </c>
    </row>
    <row r="303">
      <c r="A303" s="4" t="inlineStr">
        <is>
          <t>T04_RECALCULO_DEPRECIACAO</t>
        </is>
      </c>
      <c r="B303" s="4" t="inlineStr">
        <is>
          <t>IMB-0243033</t>
        </is>
      </c>
      <c r="C303" s="4" t="inlineStr">
        <is>
          <t>MAQUINAS_EQUIPAMENTOS</t>
        </is>
      </c>
      <c r="D303" s="5" t="n">
        <v>-46127.4</v>
      </c>
      <c r="E303" s="5" t="n">
        <v>-46127.39999999999</v>
      </c>
      <c r="F303" s="4" t="inlineStr">
        <is>
          <t>Acumulada difere do recalculo (taxa x tempo)</t>
        </is>
      </c>
    </row>
    <row r="304">
      <c r="A304" s="4" t="inlineStr">
        <is>
          <t>T04_RECALCULO_DEPRECIACAO</t>
        </is>
      </c>
      <c r="B304" s="4" t="inlineStr">
        <is>
          <t>IMB-0243644</t>
        </is>
      </c>
      <c r="C304" s="4" t="inlineStr">
        <is>
          <t>OUTROS</t>
        </is>
      </c>
      <c r="D304" s="5" t="n">
        <v>31857.86</v>
      </c>
      <c r="E304" s="5" t="n">
        <v>31857.86</v>
      </c>
      <c r="F304" s="4" t="inlineStr">
        <is>
          <t>Acumulada difere do recalculo (taxa x tempo)</t>
        </is>
      </c>
    </row>
    <row r="305">
      <c r="A305" s="4" t="inlineStr">
        <is>
          <t>T04_RECALCULO_DEPRECIACAO</t>
        </is>
      </c>
      <c r="B305" s="4" t="inlineStr">
        <is>
          <t>IMB-0247009</t>
        </is>
      </c>
      <c r="C305" s="4" t="inlineStr">
        <is>
          <t>MAQUINAS_EQUIPAMENTOS</t>
        </is>
      </c>
      <c r="D305" s="5" t="n">
        <v>235626.25</v>
      </c>
      <c r="E305" s="5" t="n">
        <v>23464.09</v>
      </c>
      <c r="F305" s="4" t="inlineStr">
        <is>
          <t>Acumulada difere do recalculo (taxa x tempo)</t>
        </is>
      </c>
    </row>
    <row r="306">
      <c r="A306" s="4" t="inlineStr">
        <is>
          <t>T04_RECALCULO_DEPRECIACAO</t>
        </is>
      </c>
      <c r="B306" s="4" t="inlineStr">
        <is>
          <t>IMB-0247152</t>
        </is>
      </c>
      <c r="C306" s="4" t="inlineStr">
        <is>
          <t>MAQUINAS_EQUIPAMENTOS</t>
        </is>
      </c>
      <c r="D306" s="5" t="n">
        <v>67702.33</v>
      </c>
      <c r="E306" s="5" t="n">
        <v>7159.390000000001</v>
      </c>
      <c r="F306" s="4" t="inlineStr">
        <is>
          <t>Acumulada difere do recalculo (taxa x tempo)</t>
        </is>
      </c>
    </row>
    <row r="307">
      <c r="A307" s="4" t="inlineStr">
        <is>
          <t>T04_RECALCULO_DEPRECIACAO</t>
        </is>
      </c>
      <c r="B307" s="4" t="inlineStr">
        <is>
          <t>IMB-0247844</t>
        </is>
      </c>
      <c r="C307" s="4" t="inlineStr">
        <is>
          <t>MAQUINAS_EQUIPAMENTOS</t>
        </is>
      </c>
      <c r="D307" s="5" t="n">
        <v>6089.68</v>
      </c>
      <c r="E307" s="5" t="n">
        <v>6089.68</v>
      </c>
      <c r="F307" s="4" t="inlineStr">
        <is>
          <t>Acumulada difere do recalculo (taxa x tempo)</t>
        </is>
      </c>
    </row>
    <row r="308">
      <c r="A308" s="4" t="inlineStr">
        <is>
          <t>T04_RECALCULO_DEPRECIACAO</t>
        </is>
      </c>
      <c r="B308" s="4" t="inlineStr">
        <is>
          <t>IMB-0258154</t>
        </is>
      </c>
      <c r="C308" s="4" t="inlineStr">
        <is>
          <t>MAQUINAS_EQUIPAMENTOS</t>
        </is>
      </c>
      <c r="D308" s="5" t="n">
        <v>-7758.77</v>
      </c>
      <c r="E308" s="5" t="n">
        <v>-26280.75</v>
      </c>
      <c r="F308" s="4" t="inlineStr">
        <is>
          <t>Acumulada difere do recalculo (taxa x tempo)</t>
        </is>
      </c>
    </row>
    <row r="309">
      <c r="A309" s="4" t="inlineStr">
        <is>
          <t>T04_RECALCULO_DEPRECIACAO</t>
        </is>
      </c>
      <c r="B309" s="4" t="inlineStr">
        <is>
          <t>IMB-0264454</t>
        </is>
      </c>
      <c r="C309" s="4" t="inlineStr">
        <is>
          <t>MAQUINAS_EQUIPAMENTOS</t>
        </is>
      </c>
      <c r="D309" s="5" t="n">
        <v>-6606.57</v>
      </c>
      <c r="E309" s="5" t="n">
        <v>-29880.11</v>
      </c>
      <c r="F309" s="4" t="inlineStr">
        <is>
          <t>Acumulada difere do recalculo (taxa x tempo)</t>
        </is>
      </c>
    </row>
    <row r="310">
      <c r="A310" s="4" t="inlineStr">
        <is>
          <t>T04_RECALCULO_DEPRECIACAO</t>
        </is>
      </c>
      <c r="B310" s="4" t="inlineStr">
        <is>
          <t>IMB-0271711</t>
        </is>
      </c>
      <c r="C310" s="4" t="inlineStr">
        <is>
          <t>OUTROS</t>
        </is>
      </c>
      <c r="D310" s="5" t="n">
        <v>8514.5</v>
      </c>
      <c r="E310" s="5" t="n">
        <v>8514.5</v>
      </c>
      <c r="F310" s="4" t="inlineStr">
        <is>
          <t>Acumulada difere do recalculo (taxa x tempo)</t>
        </is>
      </c>
    </row>
    <row r="311">
      <c r="A311" s="4" t="inlineStr">
        <is>
          <t>T04_RECALCULO_DEPRECIACAO</t>
        </is>
      </c>
      <c r="B311" s="4" t="inlineStr">
        <is>
          <t>IMB-0285198</t>
        </is>
      </c>
      <c r="C311" s="4" t="inlineStr">
        <is>
          <t>MAQUINAS_EQUIPAMENTOS</t>
        </is>
      </c>
      <c r="D311" s="5" t="n">
        <v>-13539.72</v>
      </c>
      <c r="E311" s="5" t="n">
        <v>-37040.2</v>
      </c>
      <c r="F311" s="4" t="inlineStr">
        <is>
          <t>Acumulada difere do recalculo (taxa x tempo)</t>
        </is>
      </c>
    </row>
    <row r="312">
      <c r="A312" s="4" t="inlineStr">
        <is>
          <t>T04_RECALCULO_DEPRECIACAO</t>
        </is>
      </c>
      <c r="B312" s="4" t="inlineStr">
        <is>
          <t>IMB-0287559</t>
        </is>
      </c>
      <c r="C312" s="4" t="inlineStr">
        <is>
          <t>MAQUINAS_EQUIPAMENTOS</t>
        </is>
      </c>
      <c r="D312" s="5" t="n">
        <v>88008.64</v>
      </c>
      <c r="E312" s="5" t="n">
        <v>7580.580000000002</v>
      </c>
      <c r="F312" s="4" t="inlineStr">
        <is>
          <t>Acumulada difere do recalculo (taxa x tempo)</t>
        </is>
      </c>
    </row>
    <row r="313">
      <c r="A313" s="4" t="inlineStr">
        <is>
          <t>T04_RECALCULO_DEPRECIACAO</t>
        </is>
      </c>
      <c r="B313" s="4" t="inlineStr">
        <is>
          <t>IMB-0289112</t>
        </is>
      </c>
      <c r="C313" s="4" t="inlineStr">
        <is>
          <t>MAQUINAS_EQUIPAMENTOS</t>
        </is>
      </c>
      <c r="D313" s="5" t="n">
        <v>82751.97</v>
      </c>
      <c r="E313" s="5" t="n">
        <v>14076.61</v>
      </c>
      <c r="F313" s="4" t="inlineStr">
        <is>
          <t>Acumulada difere do recalculo (taxa x tempo)</t>
        </is>
      </c>
    </row>
    <row r="314">
      <c r="A314" s="4" t="inlineStr">
        <is>
          <t>T04_RECALCULO_DEPRECIACAO</t>
        </is>
      </c>
      <c r="B314" s="4" t="inlineStr">
        <is>
          <t>IMB-0290340</t>
        </is>
      </c>
      <c r="C314" s="4" t="inlineStr">
        <is>
          <t>MAQUINAS_EQUIPAMENTOS</t>
        </is>
      </c>
      <c r="D314" s="5" t="n">
        <v>3775.38</v>
      </c>
      <c r="E314" s="5" t="n">
        <v>3775.38</v>
      </c>
      <c r="F314" s="4" t="inlineStr">
        <is>
          <t>Acumulada difere do recalculo (taxa x tempo)</t>
        </is>
      </c>
    </row>
    <row r="315">
      <c r="A315" s="4" t="inlineStr">
        <is>
          <t>T04_RECALCULO_DEPRECIACAO</t>
        </is>
      </c>
      <c r="B315" s="4" t="inlineStr">
        <is>
          <t>IMB-0292390</t>
        </is>
      </c>
      <c r="C315" s="4" t="inlineStr">
        <is>
          <t>OUTROS</t>
        </is>
      </c>
      <c r="D315" s="5" t="n">
        <v>-9240.059999999999</v>
      </c>
      <c r="E315" s="5" t="n">
        <v>-9240.059999999998</v>
      </c>
      <c r="F315" s="4" t="inlineStr">
        <is>
          <t>Acumulada difere do recalculo (taxa x tempo)</t>
        </is>
      </c>
    </row>
    <row r="316">
      <c r="A316" s="4" t="inlineStr">
        <is>
          <t>T04_RECALCULO_DEPRECIACAO</t>
        </is>
      </c>
      <c r="B316" s="4" t="inlineStr">
        <is>
          <t>IMB-0294633</t>
        </is>
      </c>
      <c r="C316" s="4" t="inlineStr">
        <is>
          <t>MAQUINAS_EQUIPAMENTOS</t>
        </is>
      </c>
      <c r="D316" s="5" t="n">
        <v>91656.00999999999</v>
      </c>
      <c r="E316" s="5" t="n">
        <v>13548.34</v>
      </c>
      <c r="F316" s="4" t="inlineStr">
        <is>
          <t>Acumulada difere do recalculo (taxa x tempo)</t>
        </is>
      </c>
    </row>
    <row r="317">
      <c r="A317" s="4" t="inlineStr">
        <is>
          <t>T04_RECALCULO_DEPRECIACAO</t>
        </is>
      </c>
      <c r="B317" s="4" t="inlineStr">
        <is>
          <t>IMB-0297635</t>
        </is>
      </c>
      <c r="C317" s="4" t="inlineStr">
        <is>
          <t>MAQUINAS_EQUIPAMENTOS</t>
        </is>
      </c>
      <c r="D317" s="5" t="n">
        <v>30651.62</v>
      </c>
      <c r="E317" s="5" t="n">
        <v>-6714.72</v>
      </c>
      <c r="F317" s="4" t="inlineStr">
        <is>
          <t>Acumulada difere do recalculo (taxa x tempo)</t>
        </is>
      </c>
    </row>
    <row r="318">
      <c r="A318" s="4" t="inlineStr">
        <is>
          <t>T04_RECALCULO_DEPRECIACAO</t>
        </is>
      </c>
      <c r="B318" s="4" t="inlineStr">
        <is>
          <t>IMB-0298331</t>
        </is>
      </c>
      <c r="C318" s="4" t="inlineStr">
        <is>
          <t>OUTROS</t>
        </is>
      </c>
      <c r="D318" s="5" t="n">
        <v>-8701.4</v>
      </c>
      <c r="E318" s="5" t="n">
        <v>-30519.44</v>
      </c>
      <c r="F318" s="4" t="inlineStr">
        <is>
          <t>Acumulada difere do recalculo (taxa x tempo)</t>
        </is>
      </c>
    </row>
    <row r="319">
      <c r="A319" s="4" t="inlineStr">
        <is>
          <t>T04_RECALCULO_DEPRECIACAO</t>
        </is>
      </c>
      <c r="B319" s="4" t="inlineStr">
        <is>
          <t>IMB-0301942</t>
        </is>
      </c>
      <c r="C319" s="4" t="inlineStr">
        <is>
          <t>MAQUINAS_EQUIPAMENTOS</t>
        </is>
      </c>
      <c r="D319" s="5" t="n">
        <v>-12920.78</v>
      </c>
      <c r="E319" s="5" t="n">
        <v>-30681.82</v>
      </c>
      <c r="F319" s="4" t="inlineStr">
        <is>
          <t>Acumulada difere do recalculo (taxa x tempo)</t>
        </is>
      </c>
    </row>
    <row r="320">
      <c r="A320" s="4" t="inlineStr">
        <is>
          <t>T04_RECALCULO_DEPRECIACAO</t>
        </is>
      </c>
      <c r="B320" s="4" t="inlineStr">
        <is>
          <t>IMB-0304726</t>
        </is>
      </c>
      <c r="C320" s="4" t="inlineStr">
        <is>
          <t>MAQUINAS_EQUIPAMENTOS</t>
        </is>
      </c>
      <c r="D320" s="5" t="n">
        <v>14440.95</v>
      </c>
      <c r="E320" s="5" t="n">
        <v>14440.95</v>
      </c>
      <c r="F320" s="4" t="inlineStr">
        <is>
          <t>Acumulada difere do recalculo (taxa x tempo)</t>
        </is>
      </c>
    </row>
    <row r="321">
      <c r="A321" s="4" t="inlineStr">
        <is>
          <t>T04_RECALCULO_DEPRECIACAO</t>
        </is>
      </c>
      <c r="B321" s="4" t="inlineStr">
        <is>
          <t>IMB-0306656</t>
        </is>
      </c>
      <c r="C321" s="4" t="inlineStr">
        <is>
          <t>MAQUINAS_EQUIPAMENTOS</t>
        </is>
      </c>
      <c r="D321" s="5" t="n">
        <v>31286.03</v>
      </c>
      <c r="E321" s="5" t="n">
        <v>31286.03</v>
      </c>
      <c r="F321" s="4" t="inlineStr">
        <is>
          <t>Acumulada difere do recalculo (taxa x tempo)</t>
        </is>
      </c>
    </row>
    <row r="322">
      <c r="A322" s="4" t="inlineStr">
        <is>
          <t>T04_RECALCULO_DEPRECIACAO</t>
        </is>
      </c>
      <c r="B322" s="4" t="inlineStr">
        <is>
          <t>IMB-0326085</t>
        </is>
      </c>
      <c r="C322" s="4" t="inlineStr">
        <is>
          <t>OUTROS</t>
        </is>
      </c>
      <c r="D322" s="5" t="n">
        <v>10183.67</v>
      </c>
      <c r="E322" s="5" t="n">
        <v>10183.67</v>
      </c>
      <c r="F322" s="4" t="inlineStr">
        <is>
          <t>Acumulada difere do recalculo (taxa x tempo)</t>
        </is>
      </c>
    </row>
    <row r="323">
      <c r="A323" s="4" t="inlineStr">
        <is>
          <t>T04_RECALCULO_DEPRECIACAO</t>
        </is>
      </c>
      <c r="B323" s="4" t="inlineStr">
        <is>
          <t>IMB-0330994</t>
        </is>
      </c>
      <c r="C323" s="4" t="inlineStr">
        <is>
          <t>MAQUINAS_EQUIPAMENTOS</t>
        </is>
      </c>
      <c r="D323" s="5" t="n">
        <v>9680.219999999999</v>
      </c>
      <c r="E323" s="5" t="n">
        <v>9680.220000000001</v>
      </c>
      <c r="F323" s="4" t="inlineStr">
        <is>
          <t>Acumulada difere do recalculo (taxa x tempo)</t>
        </is>
      </c>
    </row>
    <row r="324">
      <c r="A324" s="4" t="inlineStr">
        <is>
          <t>T04_RECALCULO_DEPRECIACAO</t>
        </is>
      </c>
      <c r="B324" s="4" t="inlineStr">
        <is>
          <t>IMB-0331991</t>
        </is>
      </c>
      <c r="C324" s="4" t="inlineStr">
        <is>
          <t>MAQUINAS_EQUIPAMENTOS</t>
        </is>
      </c>
      <c r="D324" s="5" t="n">
        <v>-19213.74</v>
      </c>
      <c r="E324" s="5" t="n">
        <v>-49108.61</v>
      </c>
      <c r="F324" s="4" t="inlineStr">
        <is>
          <t>Acumulada difere do recalculo (taxa x tempo)</t>
        </is>
      </c>
    </row>
    <row r="325">
      <c r="A325" s="4" t="inlineStr">
        <is>
          <t>T04_RECALCULO_DEPRECIACAO</t>
        </is>
      </c>
      <c r="B325" s="4" t="inlineStr">
        <is>
          <t>IMB-0332213</t>
        </is>
      </c>
      <c r="C325" s="4" t="inlineStr">
        <is>
          <t>MAQUINAS_EQUIPAMENTOS</t>
        </is>
      </c>
      <c r="D325" s="5" t="n">
        <v>10309.97</v>
      </c>
      <c r="E325" s="5" t="n">
        <v>10309.97</v>
      </c>
      <c r="F325" s="4" t="inlineStr">
        <is>
          <t>Acumulada difere do recalculo (taxa x tempo)</t>
        </is>
      </c>
    </row>
    <row r="326">
      <c r="A326" s="4" t="inlineStr">
        <is>
          <t>T04_RECALCULO_DEPRECIACAO</t>
        </is>
      </c>
      <c r="B326" s="4" t="inlineStr">
        <is>
          <t>IMB-0334538</t>
        </is>
      </c>
      <c r="C326" s="4" t="inlineStr">
        <is>
          <t>MAQUINAS_EQUIPAMENTOS</t>
        </is>
      </c>
      <c r="D326" s="5" t="n">
        <v>-5433.91</v>
      </c>
      <c r="E326" s="5" t="n">
        <v>-22970.37</v>
      </c>
      <c r="F326" s="4" t="inlineStr">
        <is>
          <t>Acumulada difere do recalculo (taxa x tempo)</t>
        </is>
      </c>
    </row>
    <row r="327">
      <c r="A327" s="4" t="inlineStr">
        <is>
          <t>T04_RECALCULO_DEPRECIACAO</t>
        </is>
      </c>
      <c r="B327" s="4" t="inlineStr">
        <is>
          <t>IMB-0334732</t>
        </is>
      </c>
      <c r="C327" s="4" t="inlineStr">
        <is>
          <t>MAQUINAS_EQUIPAMENTOS</t>
        </is>
      </c>
      <c r="D327" s="5" t="n">
        <v>27586.32</v>
      </c>
      <c r="E327" s="5" t="n">
        <v>2965.360000000001</v>
      </c>
      <c r="F327" s="4" t="inlineStr">
        <is>
          <t>Acumulada difere do recalculo (taxa x tempo)</t>
        </is>
      </c>
    </row>
    <row r="328">
      <c r="A328" s="4" t="inlineStr">
        <is>
          <t>T04_RECALCULO_DEPRECIACAO</t>
        </is>
      </c>
      <c r="B328" s="4" t="inlineStr">
        <is>
          <t>IMB-0366950</t>
        </is>
      </c>
      <c r="C328" s="4" t="inlineStr">
        <is>
          <t>MAQUINAS_EQUIPAMENTOS</t>
        </is>
      </c>
      <c r="D328" s="5" t="n">
        <v>-11912.84</v>
      </c>
      <c r="E328" s="5" t="n">
        <v>-27277.47</v>
      </c>
      <c r="F328" s="4" t="inlineStr">
        <is>
          <t>Acumulada difere do recalculo (taxa x tempo)</t>
        </is>
      </c>
    </row>
    <row r="329">
      <c r="A329" s="4" t="inlineStr">
        <is>
          <t>T04_RECALCULO_DEPRECIACAO</t>
        </is>
      </c>
      <c r="B329" s="4" t="inlineStr">
        <is>
          <t>IMB-0367204</t>
        </is>
      </c>
      <c r="C329" s="4" t="inlineStr">
        <is>
          <t>MAQUINAS_EQUIPAMENTOS</t>
        </is>
      </c>
      <c r="D329" s="5" t="n">
        <v>52904.33</v>
      </c>
      <c r="E329" s="5" t="n">
        <v>52904.33</v>
      </c>
      <c r="F329" s="4" t="inlineStr">
        <is>
          <t>Acumulada difere do recalculo (taxa x tempo)</t>
        </is>
      </c>
    </row>
    <row r="330">
      <c r="A330" s="4" t="inlineStr">
        <is>
          <t>T04_RECALCULO_DEPRECIACAO</t>
        </is>
      </c>
      <c r="B330" s="4" t="inlineStr">
        <is>
          <t>IMB-0374810</t>
        </is>
      </c>
      <c r="C330" s="4" t="inlineStr">
        <is>
          <t>MAQUINAS_EQUIPAMENTOS</t>
        </is>
      </c>
      <c r="D330" s="5" t="n">
        <v>116978.73</v>
      </c>
      <c r="E330" s="5" t="n">
        <v>14840</v>
      </c>
      <c r="F330" s="4" t="inlineStr">
        <is>
          <t>Acumulada difere do recalculo (taxa x tempo)</t>
        </is>
      </c>
    </row>
    <row r="331">
      <c r="A331" s="4" t="inlineStr">
        <is>
          <t>T04_RECALCULO_DEPRECIACAO</t>
        </is>
      </c>
      <c r="B331" s="4" t="inlineStr">
        <is>
          <t>IMB-0376184</t>
        </is>
      </c>
      <c r="C331" s="4" t="inlineStr">
        <is>
          <t>MAQUINAS_EQUIPAMENTOS</t>
        </is>
      </c>
      <c r="D331" s="5" t="n">
        <v>29037.35</v>
      </c>
      <c r="E331" s="5" t="n">
        <v>29037.35</v>
      </c>
      <c r="F331" s="4" t="inlineStr">
        <is>
          <t>Acumulada difere do recalculo (taxa x tempo)</t>
        </is>
      </c>
    </row>
    <row r="332">
      <c r="A332" s="4" t="inlineStr">
        <is>
          <t>T04_RECALCULO_DEPRECIACAO</t>
        </is>
      </c>
      <c r="B332" s="4" t="inlineStr">
        <is>
          <t>IMB-0378309</t>
        </is>
      </c>
      <c r="C332" s="4" t="inlineStr">
        <is>
          <t>MAQUINAS_EQUIPAMENTOS</t>
        </is>
      </c>
      <c r="D332" s="5" t="n">
        <v>14919.72</v>
      </c>
      <c r="E332" s="5" t="n">
        <v>14919.72</v>
      </c>
      <c r="F332" s="4" t="inlineStr">
        <is>
          <t>Acumulada difere do recalculo (taxa x tempo)</t>
        </is>
      </c>
    </row>
    <row r="333">
      <c r="A333" s="4" t="inlineStr">
        <is>
          <t>T04_RECALCULO_DEPRECIACAO</t>
        </is>
      </c>
      <c r="B333" s="4" t="inlineStr">
        <is>
          <t>IMB-0379284</t>
        </is>
      </c>
      <c r="C333" s="4" t="inlineStr">
        <is>
          <t>OUTROS</t>
        </is>
      </c>
      <c r="D333" s="5" t="n">
        <v>107671.43</v>
      </c>
      <c r="E333" s="5" t="n">
        <v>5014.67</v>
      </c>
      <c r="F333" s="4" t="inlineStr">
        <is>
          <t>Acumulada difere do recalculo (taxa x tempo)</t>
        </is>
      </c>
    </row>
    <row r="334">
      <c r="A334" s="4" t="inlineStr">
        <is>
          <t>T04_RECALCULO_DEPRECIACAO</t>
        </is>
      </c>
      <c r="B334" s="4" t="inlineStr">
        <is>
          <t>IMB-0380647</t>
        </is>
      </c>
      <c r="C334" s="4" t="inlineStr">
        <is>
          <t>MAQUINAS_EQUIPAMENTOS</t>
        </is>
      </c>
      <c r="D334" s="5" t="n">
        <v>2512.38</v>
      </c>
      <c r="E334" s="5" t="n">
        <v>2512.379999999999</v>
      </c>
      <c r="F334" s="4" t="inlineStr">
        <is>
          <t>Acumulada difere do recalculo (taxa x tempo)</t>
        </is>
      </c>
    </row>
    <row r="335">
      <c r="A335" s="4" t="inlineStr">
        <is>
          <t>T04_RECALCULO_DEPRECIACAO</t>
        </is>
      </c>
      <c r="B335" s="4" t="inlineStr">
        <is>
          <t>IMB-0388603</t>
        </is>
      </c>
      <c r="C335" s="4" t="inlineStr">
        <is>
          <t>OUTROS</t>
        </is>
      </c>
      <c r="D335" s="5" t="n">
        <v>22144.44</v>
      </c>
      <c r="E335" s="5" t="n">
        <v>22144.44</v>
      </c>
      <c r="F335" s="4" t="inlineStr">
        <is>
          <t>Acumulada difere do recalculo (taxa x tempo)</t>
        </is>
      </c>
    </row>
    <row r="336">
      <c r="A336" s="4" t="inlineStr">
        <is>
          <t>T04_RECALCULO_DEPRECIACAO</t>
        </is>
      </c>
      <c r="B336" s="4" t="inlineStr">
        <is>
          <t>IMB-0389974</t>
        </is>
      </c>
      <c r="C336" s="4" t="inlineStr">
        <is>
          <t>MAQUINAS_EQUIPAMENTOS</t>
        </is>
      </c>
      <c r="D336" s="5" t="n">
        <v>61305.55</v>
      </c>
      <c r="E336" s="5" t="n">
        <v>61305.55</v>
      </c>
      <c r="F336" s="4" t="inlineStr">
        <is>
          <t>Acumulada difere do recalculo (taxa x tempo)</t>
        </is>
      </c>
    </row>
    <row r="337">
      <c r="A337" s="4" t="inlineStr">
        <is>
          <t>T04_RECALCULO_DEPRECIACAO</t>
        </is>
      </c>
      <c r="B337" s="4" t="inlineStr">
        <is>
          <t>IMB-0390698</t>
        </is>
      </c>
      <c r="C337" s="4" t="inlineStr">
        <is>
          <t>MAQUINAS_EQUIPAMENTOS</t>
        </is>
      </c>
      <c r="D337" s="5" t="n">
        <v>28082.97</v>
      </c>
      <c r="E337" s="5" t="n">
        <v>4301.94</v>
      </c>
      <c r="F337" s="4" t="inlineStr">
        <is>
          <t>Acumulada difere do recalculo (taxa x tempo)</t>
        </is>
      </c>
    </row>
    <row r="338">
      <c r="A338" s="4" t="inlineStr">
        <is>
          <t>T04_RECALCULO_DEPRECIACAO</t>
        </is>
      </c>
      <c r="B338" s="4" t="inlineStr">
        <is>
          <t>IMB-0392123</t>
        </is>
      </c>
      <c r="C338" s="4" t="inlineStr">
        <is>
          <t>MAQUINAS_EQUIPAMENTOS</t>
        </is>
      </c>
      <c r="D338" s="5" t="n">
        <v>17902.4</v>
      </c>
      <c r="E338" s="5" t="n">
        <v>2327.2</v>
      </c>
      <c r="F338" s="4" t="inlineStr">
        <is>
          <t>Acumulada difere do recalculo (taxa x tempo)</t>
        </is>
      </c>
    </row>
    <row r="339">
      <c r="A339" s="4" t="inlineStr">
        <is>
          <t>T04_RECALCULO_DEPRECIACAO</t>
        </is>
      </c>
      <c r="B339" s="4" t="inlineStr">
        <is>
          <t>IMB-0393261</t>
        </is>
      </c>
      <c r="C339" s="4" t="inlineStr">
        <is>
          <t>MAQUINAS_EQUIPAMENTOS</t>
        </is>
      </c>
      <c r="D339" s="5" t="n">
        <v>-15481.84</v>
      </c>
      <c r="E339" s="5" t="n">
        <v>-15481.84</v>
      </c>
      <c r="F339" s="4" t="inlineStr">
        <is>
          <t>Acumulada difere do recalculo (taxa x tempo)</t>
        </is>
      </c>
    </row>
    <row r="340">
      <c r="A340" s="4" t="inlineStr">
        <is>
          <t>T04_RECALCULO_DEPRECIACAO</t>
        </is>
      </c>
      <c r="B340" s="4" t="inlineStr">
        <is>
          <t>IMB-0403673</t>
        </is>
      </c>
      <c r="C340" s="4" t="inlineStr">
        <is>
          <t>MAQUINAS_EQUIPAMENTOS</t>
        </is>
      </c>
      <c r="D340" s="5" t="n">
        <v>22384.11</v>
      </c>
      <c r="E340" s="5" t="n">
        <v>2721.05</v>
      </c>
      <c r="F340" s="4" t="inlineStr">
        <is>
          <t>Acumulada difere do recalculo (taxa x tempo)</t>
        </is>
      </c>
    </row>
    <row r="341">
      <c r="A341" s="4" t="inlineStr">
        <is>
          <t>T04_RECALCULO_DEPRECIACAO</t>
        </is>
      </c>
      <c r="B341" s="4" t="inlineStr">
        <is>
          <t>IMB-0406198</t>
        </is>
      </c>
      <c r="C341" s="4" t="inlineStr">
        <is>
          <t>OUTROS</t>
        </is>
      </c>
      <c r="D341" s="5" t="n">
        <v>4494.07</v>
      </c>
      <c r="E341" s="5" t="n">
        <v>4494.07</v>
      </c>
      <c r="F341" s="4" t="inlineStr">
        <is>
          <t>Acumulada difere do recalculo (taxa x tempo)</t>
        </is>
      </c>
    </row>
    <row r="342">
      <c r="A342" s="4" t="inlineStr">
        <is>
          <t>T04_RECALCULO_DEPRECIACAO</t>
        </is>
      </c>
      <c r="B342" s="4" t="inlineStr">
        <is>
          <t>IMB-0409616</t>
        </is>
      </c>
      <c r="C342" s="4" t="inlineStr">
        <is>
          <t>OUTROS</t>
        </is>
      </c>
      <c r="D342" s="5" t="n">
        <v>21491.72</v>
      </c>
      <c r="E342" s="5" t="n">
        <v>20532.82</v>
      </c>
      <c r="F342" s="4" t="inlineStr">
        <is>
          <t>Acumulada difere do recalculo (taxa x tempo)</t>
        </is>
      </c>
    </row>
    <row r="343">
      <c r="A343" s="4" t="inlineStr">
        <is>
          <t>T04_RECALCULO_DEPRECIACAO</t>
        </is>
      </c>
      <c r="B343" s="4" t="inlineStr">
        <is>
          <t>IMB-0418093</t>
        </is>
      </c>
      <c r="C343" s="4" t="inlineStr">
        <is>
          <t>OUTROS</t>
        </is>
      </c>
      <c r="D343" s="5" t="n">
        <v>10299.22</v>
      </c>
      <c r="E343" s="5" t="n">
        <v>10299.22</v>
      </c>
      <c r="F343" s="4" t="inlineStr">
        <is>
          <t>Acumulada difere do recalculo (taxa x tempo)</t>
        </is>
      </c>
    </row>
    <row r="344">
      <c r="A344" s="4" t="inlineStr">
        <is>
          <t>T04_RECALCULO_DEPRECIACAO</t>
        </is>
      </c>
      <c r="B344" s="4" t="inlineStr">
        <is>
          <t>IMB-0421670</t>
        </is>
      </c>
      <c r="C344" s="4" t="inlineStr">
        <is>
          <t>MAQUINAS_EQUIPAMENTOS</t>
        </is>
      </c>
      <c r="D344" s="5" t="n">
        <v>-15721.39</v>
      </c>
      <c r="E344" s="5" t="n">
        <v>-39965.19</v>
      </c>
      <c r="F344" s="4" t="inlineStr">
        <is>
          <t>Acumulada difere do recalculo (taxa x tempo)</t>
        </is>
      </c>
    </row>
    <row r="345">
      <c r="A345" s="4" t="inlineStr">
        <is>
          <t>T04_RECALCULO_DEPRECIACAO</t>
        </is>
      </c>
      <c r="B345" s="4" t="inlineStr">
        <is>
          <t>IMB-0421797</t>
        </is>
      </c>
      <c r="C345" s="4" t="inlineStr">
        <is>
          <t>OUTROS</t>
        </is>
      </c>
      <c r="D345" s="5" t="n">
        <v>4067.86</v>
      </c>
      <c r="E345" s="5" t="n">
        <v>3856.059999999999</v>
      </c>
      <c r="F345" s="4" t="inlineStr">
        <is>
          <t>Acumulada difere do recalculo (taxa x tempo)</t>
        </is>
      </c>
    </row>
    <row r="346">
      <c r="A346" s="4" t="inlineStr">
        <is>
          <t>T04_RECALCULO_DEPRECIACAO</t>
        </is>
      </c>
      <c r="B346" s="4" t="inlineStr">
        <is>
          <t>IMB-0422913</t>
        </is>
      </c>
      <c r="C346" s="4" t="inlineStr">
        <is>
          <t>MAQUINAS_EQUIPAMENTOS</t>
        </is>
      </c>
      <c r="D346" s="5" t="n">
        <v>-29434.39</v>
      </c>
      <c r="E346" s="5" t="n">
        <v>-77523.75999999999</v>
      </c>
      <c r="F346" s="4" t="inlineStr">
        <is>
          <t>Acumulada difere do recalculo (taxa x tempo)</t>
        </is>
      </c>
    </row>
    <row r="347">
      <c r="A347" s="4" t="inlineStr">
        <is>
          <t>T04_RECALCULO_DEPRECIACAO</t>
        </is>
      </c>
      <c r="B347" s="4" t="inlineStr">
        <is>
          <t>IMB-0429978</t>
        </is>
      </c>
      <c r="C347" s="4" t="inlineStr">
        <is>
          <t>MAQUINAS_EQUIPAMENTOS</t>
        </is>
      </c>
      <c r="D347" s="5" t="n">
        <v>50662.4</v>
      </c>
      <c r="E347" s="5" t="n">
        <v>50662.4</v>
      </c>
      <c r="F347" s="4" t="inlineStr">
        <is>
          <t>Acumulada difere do recalculo (taxa x tempo)</t>
        </is>
      </c>
    </row>
    <row r="348">
      <c r="A348" s="4" t="inlineStr">
        <is>
          <t>T04_RECALCULO_DEPRECIACAO</t>
        </is>
      </c>
      <c r="B348" s="4" t="inlineStr">
        <is>
          <t>IMB-0433399</t>
        </is>
      </c>
      <c r="C348" s="4" t="inlineStr">
        <is>
          <t>MAQUINAS_EQUIPAMENTOS</t>
        </is>
      </c>
      <c r="D348" s="5" t="n">
        <v>-27341.43</v>
      </c>
      <c r="E348" s="5" t="n">
        <v>-240426.05</v>
      </c>
      <c r="F348" s="4" t="inlineStr">
        <is>
          <t>Acumulada difere do recalculo (taxa x tempo)</t>
        </is>
      </c>
    </row>
    <row r="349">
      <c r="A349" s="4" t="inlineStr">
        <is>
          <t>T04_RECALCULO_DEPRECIACAO</t>
        </is>
      </c>
      <c r="B349" s="4" t="inlineStr">
        <is>
          <t>IMB-0434413</t>
        </is>
      </c>
      <c r="C349" s="4" t="inlineStr">
        <is>
          <t>OUTROS</t>
        </is>
      </c>
      <c r="D349" s="5" t="n">
        <v>-13853.86</v>
      </c>
      <c r="E349" s="5" t="n">
        <v>-43926.37</v>
      </c>
      <c r="F349" s="4" t="inlineStr">
        <is>
          <t>Acumulada difere do recalculo (taxa x tempo)</t>
        </is>
      </c>
    </row>
    <row r="350">
      <c r="A350" s="4" t="inlineStr">
        <is>
          <t>T04_RECALCULO_DEPRECIACAO</t>
        </is>
      </c>
      <c r="B350" s="4" t="inlineStr">
        <is>
          <t>IMB-0434655</t>
        </is>
      </c>
      <c r="C350" s="4" t="inlineStr">
        <is>
          <t>MAQUINAS_EQUIPAMENTOS</t>
        </is>
      </c>
      <c r="D350" s="5" t="n">
        <v>37335.62</v>
      </c>
      <c r="E350" s="5" t="n">
        <v>7236.59</v>
      </c>
      <c r="F350" s="4" t="inlineStr">
        <is>
          <t>Acumulada difere do recalculo (taxa x tempo)</t>
        </is>
      </c>
    </row>
    <row r="351">
      <c r="A351" s="4" t="inlineStr">
        <is>
          <t>T04_RECALCULO_DEPRECIACAO</t>
        </is>
      </c>
      <c r="B351" s="4" t="inlineStr">
        <is>
          <t>IMB-0436438</t>
        </is>
      </c>
      <c r="C351" s="4" t="inlineStr">
        <is>
          <t>MAQUINAS_EQUIPAMENTOS</t>
        </is>
      </c>
      <c r="D351" s="5" t="n">
        <v>8170.41</v>
      </c>
      <c r="E351" s="5" t="n">
        <v>8170.41</v>
      </c>
      <c r="F351" s="4" t="inlineStr">
        <is>
          <t>Acumulada difere do recalculo (taxa x tempo)</t>
        </is>
      </c>
    </row>
    <row r="352">
      <c r="A352" s="4" t="inlineStr">
        <is>
          <t>T04_RECALCULO_DEPRECIACAO</t>
        </is>
      </c>
      <c r="B352" s="4" t="inlineStr">
        <is>
          <t>IMB-0442589</t>
        </is>
      </c>
      <c r="C352" s="4" t="inlineStr">
        <is>
          <t>MAQUINAS_EQUIPAMENTOS</t>
        </is>
      </c>
      <c r="D352" s="5" t="n">
        <v>-14375.16</v>
      </c>
      <c r="E352" s="5" t="n">
        <v>-33623.22</v>
      </c>
      <c r="F352" s="4" t="inlineStr">
        <is>
          <t>Acumulada difere do recalculo (taxa x tempo)</t>
        </is>
      </c>
    </row>
    <row r="353">
      <c r="A353" s="4" t="inlineStr">
        <is>
          <t>T04_RECALCULO_DEPRECIACAO</t>
        </is>
      </c>
      <c r="B353" s="4" t="inlineStr">
        <is>
          <t>IMB-0443237</t>
        </is>
      </c>
      <c r="C353" s="4" t="inlineStr">
        <is>
          <t>MAQUINAS_EQUIPAMENTOS</t>
        </is>
      </c>
      <c r="D353" s="5" t="n">
        <v>26985.35</v>
      </c>
      <c r="E353" s="5" t="n">
        <v>4332.66</v>
      </c>
      <c r="F353" s="4" t="inlineStr">
        <is>
          <t>Acumulada difere do recalculo (taxa x tempo)</t>
        </is>
      </c>
    </row>
    <row r="354">
      <c r="A354" s="4" t="inlineStr">
        <is>
          <t>T04_RECALCULO_DEPRECIACAO</t>
        </is>
      </c>
      <c r="B354" s="4" t="inlineStr">
        <is>
          <t>IMB-0443761</t>
        </is>
      </c>
      <c r="C354" s="4" t="inlineStr">
        <is>
          <t>MAQUINAS_EQUIPAMENTOS</t>
        </is>
      </c>
      <c r="D354" s="5" t="n">
        <v>83139.81</v>
      </c>
      <c r="E354" s="5" t="n">
        <v>7907.120000000001</v>
      </c>
      <c r="F354" s="4" t="inlineStr">
        <is>
          <t>Acumulada difere do recalculo (taxa x tempo)</t>
        </is>
      </c>
    </row>
    <row r="355">
      <c r="A355" s="4" t="inlineStr">
        <is>
          <t>T04_RECALCULO_DEPRECIACAO</t>
        </is>
      </c>
      <c r="B355" s="4" t="inlineStr">
        <is>
          <t>IMB-0449257</t>
        </is>
      </c>
      <c r="C355" s="4" t="inlineStr">
        <is>
          <t>OUTROS</t>
        </is>
      </c>
      <c r="D355" s="5" t="n">
        <v>12198.24</v>
      </c>
      <c r="E355" s="5" t="n">
        <v>-323.12</v>
      </c>
      <c r="F355" s="4" t="inlineStr">
        <is>
          <t>Acumulada difere do recalculo (taxa x tempo)</t>
        </is>
      </c>
    </row>
    <row r="356">
      <c r="A356" s="4" t="inlineStr">
        <is>
          <t>T04_RECALCULO_DEPRECIACAO</t>
        </is>
      </c>
      <c r="B356" s="4" t="inlineStr">
        <is>
          <t>IMB-0453132</t>
        </is>
      </c>
      <c r="C356" s="4" t="inlineStr">
        <is>
          <t>MAQUINAS_EQUIPAMENTOS</t>
        </is>
      </c>
      <c r="D356" s="5" t="n">
        <v>-9429.16</v>
      </c>
      <c r="E356" s="5" t="n">
        <v>-38505.23</v>
      </c>
      <c r="F356" s="4" t="inlineStr">
        <is>
          <t>Acumulada difere do recalculo (taxa x tempo)</t>
        </is>
      </c>
    </row>
    <row r="357">
      <c r="A357" s="4" t="inlineStr">
        <is>
          <t>T04_RECALCULO_DEPRECIACAO</t>
        </is>
      </c>
      <c r="B357" s="4" t="inlineStr">
        <is>
          <t>IMB-0476306</t>
        </is>
      </c>
      <c r="C357" s="4" t="inlineStr">
        <is>
          <t>MAQUINAS_EQUIPAMENTOS</t>
        </is>
      </c>
      <c r="D357" s="5" t="n">
        <v>386577.59</v>
      </c>
      <c r="E357" s="5" t="n">
        <v>79034.29000000001</v>
      </c>
      <c r="F357" s="4" t="inlineStr">
        <is>
          <t>Acumulada difere do recalculo (taxa x tempo)</t>
        </is>
      </c>
    </row>
    <row r="358">
      <c r="A358" s="4" t="inlineStr">
        <is>
          <t>T04_RECALCULO_DEPRECIACAO</t>
        </is>
      </c>
      <c r="B358" s="4" t="inlineStr">
        <is>
          <t>IMB-0476499</t>
        </is>
      </c>
      <c r="C358" s="4" t="inlineStr">
        <is>
          <t>OUTROS</t>
        </is>
      </c>
      <c r="D358" s="5" t="n">
        <v>33731.87</v>
      </c>
      <c r="E358" s="5" t="n">
        <v>2243.98</v>
      </c>
      <c r="F358" s="4" t="inlineStr">
        <is>
          <t>Acumulada difere do recalculo (taxa x tempo)</t>
        </is>
      </c>
    </row>
    <row r="359">
      <c r="A359" s="4" t="inlineStr">
        <is>
          <t>T04_RECALCULO_DEPRECIACAO</t>
        </is>
      </c>
      <c r="B359" s="4" t="inlineStr">
        <is>
          <t>IMB-0477688</t>
        </is>
      </c>
      <c r="C359" s="4" t="inlineStr">
        <is>
          <t>OUTROS</t>
        </is>
      </c>
      <c r="D359" s="5" t="n">
        <v>-10125.72</v>
      </c>
      <c r="E359" s="5" t="n">
        <v>-42145.94</v>
      </c>
      <c r="F359" s="4" t="inlineStr">
        <is>
          <t>Acumulada difere do recalculo (taxa x tempo)</t>
        </is>
      </c>
    </row>
    <row r="360">
      <c r="A360" s="4" t="inlineStr">
        <is>
          <t>T04_RECALCULO_DEPRECIACAO</t>
        </is>
      </c>
      <c r="B360" s="4" t="inlineStr">
        <is>
          <t>IMB-0484960</t>
        </is>
      </c>
      <c r="C360" s="4" t="inlineStr">
        <is>
          <t>OUTROS</t>
        </is>
      </c>
      <c r="D360" s="5" t="n">
        <v>4027.41</v>
      </c>
      <c r="E360" s="5" t="n">
        <v>4027.41</v>
      </c>
      <c r="F360" s="4" t="inlineStr">
        <is>
          <t>Acumulada difere do recalculo (taxa x tempo)</t>
        </is>
      </c>
    </row>
    <row r="361">
      <c r="A361" s="4" t="inlineStr">
        <is>
          <t>T04_RECALCULO_DEPRECIACAO</t>
        </is>
      </c>
      <c r="B361" s="4" t="inlineStr">
        <is>
          <t>IMB-0487703</t>
        </is>
      </c>
      <c r="C361" s="4" t="inlineStr">
        <is>
          <t>MAQUINAS_EQUIPAMENTOS</t>
        </is>
      </c>
      <c r="D361" s="5" t="n">
        <v>19954.77</v>
      </c>
      <c r="E361" s="5" t="n">
        <v>1857.62</v>
      </c>
      <c r="F361" s="4" t="inlineStr">
        <is>
          <t>Acumulada difere do recalculo (taxa x tempo)</t>
        </is>
      </c>
    </row>
    <row r="362">
      <c r="A362" s="4" t="inlineStr">
        <is>
          <t>T04_RECALCULO_DEPRECIACAO</t>
        </is>
      </c>
      <c r="B362" s="4" t="inlineStr">
        <is>
          <t>IMB-0500414</t>
        </is>
      </c>
      <c r="C362" s="4" t="inlineStr">
        <is>
          <t>MAQUINAS_EQUIPAMENTOS</t>
        </is>
      </c>
      <c r="D362" s="5" t="n">
        <v>30734.35</v>
      </c>
      <c r="E362" s="5" t="n">
        <v>1615.14</v>
      </c>
      <c r="F362" s="4" t="inlineStr">
        <is>
          <t>Acumulada difere do recalculo (taxa x tempo)</t>
        </is>
      </c>
    </row>
    <row r="363">
      <c r="A363" s="4" t="inlineStr">
        <is>
          <t>T04_RECALCULO_DEPRECIACAO</t>
        </is>
      </c>
      <c r="B363" s="4" t="inlineStr">
        <is>
          <t>IMB-0517290</t>
        </is>
      </c>
      <c r="C363" s="4" t="inlineStr">
        <is>
          <t>MAQUINAS_EQUIPAMENTOS</t>
        </is>
      </c>
      <c r="D363" s="5" t="n">
        <v>15654.92</v>
      </c>
      <c r="E363" s="5" t="n">
        <v>2545.1</v>
      </c>
      <c r="F363" s="4" t="inlineStr">
        <is>
          <t>Acumulada difere do recalculo (taxa x tempo)</t>
        </is>
      </c>
    </row>
    <row r="364">
      <c r="A364" s="4" t="inlineStr">
        <is>
          <t>T04_RECALCULO_DEPRECIACAO</t>
        </is>
      </c>
      <c r="B364" s="4" t="inlineStr">
        <is>
          <t>IMB-0525887</t>
        </is>
      </c>
      <c r="C364" s="4" t="inlineStr">
        <is>
          <t>MAQUINAS_EQUIPAMENTOS</t>
        </is>
      </c>
      <c r="D364" s="5" t="n">
        <v>-12317.67</v>
      </c>
      <c r="E364" s="5" t="n">
        <v>-40440.49</v>
      </c>
      <c r="F364" s="4" t="inlineStr">
        <is>
          <t>Acumulada difere do recalculo (taxa x tempo)</t>
        </is>
      </c>
    </row>
    <row r="365">
      <c r="A365" s="4" t="inlineStr">
        <is>
          <t>T04_RECALCULO_DEPRECIACAO</t>
        </is>
      </c>
      <c r="B365" s="4" t="inlineStr">
        <is>
          <t>IMB-0528372</t>
        </is>
      </c>
      <c r="C365" s="4" t="inlineStr">
        <is>
          <t>OUTROS</t>
        </is>
      </c>
      <c r="D365" s="5" t="n">
        <v>20286.56</v>
      </c>
      <c r="E365" s="5" t="n">
        <v>20286.56</v>
      </c>
      <c r="F365" s="4" t="inlineStr">
        <is>
          <t>Acumulada difere do recalculo (taxa x tempo)</t>
        </is>
      </c>
    </row>
    <row r="366">
      <c r="A366" s="4" t="inlineStr">
        <is>
          <t>T05_BAIXADO_COM_SALDO</t>
        </is>
      </c>
      <c r="B366" s="4" t="inlineStr">
        <is>
          <t>IMB-0001746</t>
        </is>
      </c>
      <c r="C366" s="4" t="inlineStr">
        <is>
          <t>DESENVOLVIMENTO_CAMPOS</t>
        </is>
      </c>
      <c r="D366" s="5" t="n">
        <v>21238.84</v>
      </c>
      <c r="E366" s="5" t="n">
        <v>21238.84</v>
      </c>
      <c r="F366" s="4" t="inlineStr">
        <is>
          <t>Status BAIXADO com saldo remanescente</t>
        </is>
      </c>
    </row>
    <row r="367">
      <c r="A367" s="4" t="inlineStr">
        <is>
          <t>T05_BAIXADO_COM_SALDO</t>
        </is>
      </c>
      <c r="B367" s="4" t="inlineStr">
        <is>
          <t>IMB-0024386</t>
        </is>
      </c>
      <c r="C367" s="4" t="inlineStr">
        <is>
          <t>DESENVOLVIMENTO_CAMPOS</t>
        </is>
      </c>
      <c r="D367" s="5" t="n">
        <v>3409.42</v>
      </c>
      <c r="E367" s="5" t="n">
        <v>3409.42</v>
      </c>
      <c r="F367" s="4" t="inlineStr">
        <is>
          <t>Status BAIXADO com saldo remanescente</t>
        </is>
      </c>
    </row>
    <row r="368">
      <c r="A368" s="4" t="inlineStr">
        <is>
          <t>T05_BAIXADO_COM_SALDO</t>
        </is>
      </c>
      <c r="B368" s="4" t="inlineStr">
        <is>
          <t>IMB-0027490</t>
        </is>
      </c>
      <c r="C368" s="4" t="inlineStr">
        <is>
          <t>DESENVOLVIMENTO_CAMPOS</t>
        </is>
      </c>
      <c r="D368" s="5" t="n">
        <v>18388.46</v>
      </c>
      <c r="E368" s="5" t="n">
        <v>18388.46</v>
      </c>
      <c r="F368" s="4" t="inlineStr">
        <is>
          <t>Status BAIXADO com saldo remanescente</t>
        </is>
      </c>
    </row>
    <row r="369">
      <c r="A369" s="4" t="inlineStr">
        <is>
          <t>T05_BAIXADO_COM_SALDO</t>
        </is>
      </c>
      <c r="B369" s="4" t="inlineStr">
        <is>
          <t>IMB-0033574</t>
        </is>
      </c>
      <c r="C369" s="4" t="inlineStr">
        <is>
          <t>DESENVOLVIMENTO_CAMPOS</t>
        </is>
      </c>
      <c r="D369" s="5" t="n">
        <v>6409.91</v>
      </c>
      <c r="E369" s="5" t="n">
        <v>6409.91</v>
      </c>
      <c r="F369" s="4" t="inlineStr">
        <is>
          <t>Status BAIXADO com saldo remanescente</t>
        </is>
      </c>
    </row>
    <row r="370">
      <c r="A370" s="4" t="inlineStr">
        <is>
          <t>T05_BAIXADO_COM_SALDO</t>
        </is>
      </c>
      <c r="B370" s="4" t="inlineStr">
        <is>
          <t>IMB-0036244</t>
        </is>
      </c>
      <c r="C370" s="4" t="inlineStr">
        <is>
          <t>DESENVOLVIMENTO_CAMPOS</t>
        </is>
      </c>
      <c r="D370" s="5" t="n">
        <v>3402.97</v>
      </c>
      <c r="E370" s="5" t="n">
        <v>3402.97</v>
      </c>
      <c r="F370" s="4" t="inlineStr">
        <is>
          <t>Status BAIXADO com saldo remanescente</t>
        </is>
      </c>
    </row>
    <row r="371">
      <c r="A371" s="4" t="inlineStr">
        <is>
          <t>T05_BAIXADO_COM_SALDO</t>
        </is>
      </c>
      <c r="B371" s="4" t="inlineStr">
        <is>
          <t>IMB-0048945</t>
        </is>
      </c>
      <c r="C371" s="4" t="inlineStr">
        <is>
          <t>DESENVOLVIMENTO_CAMPOS</t>
        </is>
      </c>
      <c r="D371" s="5" t="n">
        <v>7392.79</v>
      </c>
      <c r="E371" s="5" t="n">
        <v>7392.79</v>
      </c>
      <c r="F371" s="4" t="inlineStr">
        <is>
          <t>Status BAIXADO com saldo remanescente</t>
        </is>
      </c>
    </row>
    <row r="372">
      <c r="A372" s="4" t="inlineStr">
        <is>
          <t>T05_BAIXADO_COM_SALDO</t>
        </is>
      </c>
      <c r="B372" s="4" t="inlineStr">
        <is>
          <t>IMB-0052467</t>
        </is>
      </c>
      <c r="C372" s="4" t="inlineStr">
        <is>
          <t>DESENVOLVIMENTO_CAMPOS</t>
        </is>
      </c>
      <c r="D372" s="5" t="n">
        <v>3949.09</v>
      </c>
      <c r="E372" s="5" t="n">
        <v>3949.09</v>
      </c>
      <c r="F372" s="4" t="inlineStr">
        <is>
          <t>Status BAIXADO com saldo remanescente</t>
        </is>
      </c>
    </row>
    <row r="373">
      <c r="A373" s="4" t="inlineStr">
        <is>
          <t>T05_BAIXADO_COM_SALDO</t>
        </is>
      </c>
      <c r="B373" s="4" t="inlineStr">
        <is>
          <t>IMB-0053200</t>
        </is>
      </c>
      <c r="C373" s="4" t="inlineStr">
        <is>
          <t>MAQUINAS_EQUIPAMENTOS</t>
        </is>
      </c>
      <c r="D373" s="5" t="n">
        <v>13711.6</v>
      </c>
      <c r="E373" s="5" t="n">
        <v>13711.6</v>
      </c>
      <c r="F373" s="4" t="inlineStr">
        <is>
          <t>Status BAIXADO com saldo remanescente</t>
        </is>
      </c>
    </row>
    <row r="374">
      <c r="A374" s="4" t="inlineStr">
        <is>
          <t>T05_BAIXADO_COM_SALDO</t>
        </is>
      </c>
      <c r="B374" s="4" t="inlineStr">
        <is>
          <t>IMB-0068561</t>
        </is>
      </c>
      <c r="C374" s="4" t="inlineStr">
        <is>
          <t>DESENVOLVIMENTO_CAMPOS</t>
        </is>
      </c>
      <c r="D374" s="5" t="n">
        <v>12616.73</v>
      </c>
      <c r="E374" s="5" t="n">
        <v>12616.73</v>
      </c>
      <c r="F374" s="4" t="inlineStr">
        <is>
          <t>Status BAIXADO com saldo remanescente</t>
        </is>
      </c>
    </row>
    <row r="375">
      <c r="A375" s="4" t="inlineStr">
        <is>
          <t>T05_BAIXADO_COM_SALDO</t>
        </is>
      </c>
      <c r="B375" s="4" t="inlineStr">
        <is>
          <t>IMB-0071051</t>
        </is>
      </c>
      <c r="C375" s="4" t="inlineStr">
        <is>
          <t>DESENVOLVIMENTO_CAMPOS</t>
        </is>
      </c>
      <c r="D375" s="5" t="n">
        <v>6900.94</v>
      </c>
      <c r="E375" s="5" t="n">
        <v>6900.94</v>
      </c>
      <c r="F375" s="4" t="inlineStr">
        <is>
          <t>Status BAIXADO com saldo remanescente</t>
        </is>
      </c>
    </row>
    <row r="376">
      <c r="A376" s="4" t="inlineStr">
        <is>
          <t>T05_BAIXADO_COM_SALDO</t>
        </is>
      </c>
      <c r="B376" s="4" t="inlineStr">
        <is>
          <t>IMB-0104993</t>
        </is>
      </c>
      <c r="C376" s="4" t="inlineStr">
        <is>
          <t>DESENVOLVIMENTO_CAMPOS</t>
        </is>
      </c>
      <c r="D376" s="5" t="n">
        <v>109223.97</v>
      </c>
      <c r="E376" s="5" t="n">
        <v>109223.97</v>
      </c>
      <c r="F376" s="4" t="inlineStr">
        <is>
          <t>Status BAIXADO com saldo remanescente</t>
        </is>
      </c>
    </row>
    <row r="377">
      <c r="A377" s="4" t="inlineStr">
        <is>
          <t>T05_BAIXADO_COM_SALDO</t>
        </is>
      </c>
      <c r="B377" s="4" t="inlineStr">
        <is>
          <t>IMB-0128072</t>
        </is>
      </c>
      <c r="C377" s="4" t="inlineStr">
        <is>
          <t>DESENVOLVIMENTO_CAMPOS</t>
        </is>
      </c>
      <c r="D377" s="5" t="n">
        <v>97120.62</v>
      </c>
      <c r="E377" s="5" t="n">
        <v>97120.62</v>
      </c>
      <c r="F377" s="4" t="inlineStr">
        <is>
          <t>Status BAIXADO com saldo remanescente</t>
        </is>
      </c>
    </row>
    <row r="378">
      <c r="A378" s="4" t="inlineStr">
        <is>
          <t>T05_BAIXADO_COM_SALDO</t>
        </is>
      </c>
      <c r="B378" s="4" t="inlineStr">
        <is>
          <t>IMB-0130333</t>
        </is>
      </c>
      <c r="C378" s="4" t="inlineStr">
        <is>
          <t>DESENVOLVIMENTO_CAMPOS</t>
        </is>
      </c>
      <c r="D378" s="5" t="n">
        <v>16237.15</v>
      </c>
      <c r="E378" s="5" t="n">
        <v>16237.15</v>
      </c>
      <c r="F378" s="4" t="inlineStr">
        <is>
          <t>Status BAIXADO com saldo remanescente</t>
        </is>
      </c>
    </row>
    <row r="379">
      <c r="A379" s="4" t="inlineStr">
        <is>
          <t>T05_BAIXADO_COM_SALDO</t>
        </is>
      </c>
      <c r="B379" s="4" t="inlineStr">
        <is>
          <t>IMB-0132295</t>
        </is>
      </c>
      <c r="C379" s="4" t="inlineStr">
        <is>
          <t>DESENVOLVIMENTO_CAMPOS</t>
        </is>
      </c>
      <c r="D379" s="5" t="n">
        <v>7528.64</v>
      </c>
      <c r="E379" s="5" t="n">
        <v>7528.64</v>
      </c>
      <c r="F379" s="4" t="inlineStr">
        <is>
          <t>Status BAIXADO com saldo remanescente</t>
        </is>
      </c>
    </row>
    <row r="380">
      <c r="A380" s="4" t="inlineStr">
        <is>
          <t>T05_BAIXADO_COM_SALDO</t>
        </is>
      </c>
      <c r="B380" s="4" t="inlineStr">
        <is>
          <t>IMB-0135072</t>
        </is>
      </c>
      <c r="C380" s="4" t="inlineStr">
        <is>
          <t>DESENVOLVIMENTO_CAMPOS</t>
        </is>
      </c>
      <c r="D380" s="5" t="n">
        <v>5464.84</v>
      </c>
      <c r="E380" s="5" t="n">
        <v>5464.84</v>
      </c>
      <c r="F380" s="4" t="inlineStr">
        <is>
          <t>Status BAIXADO com saldo remanescente</t>
        </is>
      </c>
    </row>
    <row r="381">
      <c r="A381" s="4" t="inlineStr">
        <is>
          <t>T05_BAIXADO_COM_SALDO</t>
        </is>
      </c>
      <c r="B381" s="4" t="inlineStr">
        <is>
          <t>IMB-0155806</t>
        </is>
      </c>
      <c r="C381" s="4" t="inlineStr">
        <is>
          <t>DESENVOLVIMENTO_CAMPOS</t>
        </is>
      </c>
      <c r="D381" s="5" t="n">
        <v>8775.01</v>
      </c>
      <c r="E381" s="5" t="n">
        <v>8775.01</v>
      </c>
      <c r="F381" s="4" t="inlineStr">
        <is>
          <t>Status BAIXADO com saldo remanescente</t>
        </is>
      </c>
    </row>
    <row r="382">
      <c r="A382" s="4" t="inlineStr">
        <is>
          <t>T05_BAIXADO_COM_SALDO</t>
        </is>
      </c>
      <c r="B382" s="4" t="inlineStr">
        <is>
          <t>IMB-0168093</t>
        </is>
      </c>
      <c r="C382" s="4" t="inlineStr">
        <is>
          <t>DESENVOLVIMENTO_CAMPOS</t>
        </is>
      </c>
      <c r="D382" s="5" t="n">
        <v>239859.63</v>
      </c>
      <c r="E382" s="5" t="n">
        <v>239859.63</v>
      </c>
      <c r="F382" s="4" t="inlineStr">
        <is>
          <t>Status BAIXADO com saldo remanescente</t>
        </is>
      </c>
    </row>
    <row r="383">
      <c r="A383" s="4" t="inlineStr">
        <is>
          <t>T05_BAIXADO_COM_SALDO</t>
        </is>
      </c>
      <c r="B383" s="4" t="inlineStr">
        <is>
          <t>IMB-0172908</t>
        </is>
      </c>
      <c r="C383" s="4" t="inlineStr">
        <is>
          <t>DESENVOLVIMENTO_CAMPOS</t>
        </is>
      </c>
      <c r="D383" s="5" t="n">
        <v>86963.81</v>
      </c>
      <c r="E383" s="5" t="n">
        <v>86963.81</v>
      </c>
      <c r="F383" s="4" t="inlineStr">
        <is>
          <t>Status BAIXADO com saldo remanescente</t>
        </is>
      </c>
    </row>
    <row r="384">
      <c r="A384" s="4" t="inlineStr">
        <is>
          <t>T05_BAIXADO_COM_SALDO</t>
        </is>
      </c>
      <c r="B384" s="4" t="inlineStr">
        <is>
          <t>IMB-0176996</t>
        </is>
      </c>
      <c r="C384" s="4" t="inlineStr">
        <is>
          <t>DESENVOLVIMENTO_CAMPOS</t>
        </is>
      </c>
      <c r="D384" s="5" t="n">
        <v>45147.55</v>
      </c>
      <c r="E384" s="5" t="n">
        <v>45147.55</v>
      </c>
      <c r="F384" s="4" t="inlineStr">
        <is>
          <t>Status BAIXADO com saldo remanescente</t>
        </is>
      </c>
    </row>
    <row r="385">
      <c r="A385" s="4" t="inlineStr">
        <is>
          <t>T05_BAIXADO_COM_SALDO</t>
        </is>
      </c>
      <c r="B385" s="4" t="inlineStr">
        <is>
          <t>IMB-0194295</t>
        </is>
      </c>
      <c r="C385" s="4" t="inlineStr">
        <is>
          <t>DESENVOLVIMENTO_CAMPOS</t>
        </is>
      </c>
      <c r="D385" s="5" t="n">
        <v>13796.31</v>
      </c>
      <c r="E385" s="5" t="n">
        <v>13796.31</v>
      </c>
      <c r="F385" s="4" t="inlineStr">
        <is>
          <t>Status BAIXADO com saldo remanescente</t>
        </is>
      </c>
    </row>
    <row r="386">
      <c r="A386" s="4" t="inlineStr">
        <is>
          <t>T05_BAIXADO_COM_SALDO</t>
        </is>
      </c>
      <c r="B386" s="4" t="inlineStr">
        <is>
          <t>IMB-0195134</t>
        </is>
      </c>
      <c r="C386" s="4" t="inlineStr">
        <is>
          <t>DESENVOLVIMENTO_CAMPOS</t>
        </is>
      </c>
      <c r="D386" s="5" t="n">
        <v>4228.85</v>
      </c>
      <c r="E386" s="5" t="n">
        <v>4228.85</v>
      </c>
      <c r="F386" s="4" t="inlineStr">
        <is>
          <t>Status BAIXADO com saldo remanescente</t>
        </is>
      </c>
    </row>
    <row r="387">
      <c r="A387" s="4" t="inlineStr">
        <is>
          <t>T05_BAIXADO_COM_SALDO</t>
        </is>
      </c>
      <c r="B387" s="4" t="inlineStr">
        <is>
          <t>IMB-0205240</t>
        </is>
      </c>
      <c r="C387" s="4" t="inlineStr">
        <is>
          <t>MAQUINAS_EQUIPAMENTOS</t>
        </is>
      </c>
      <c r="D387" s="5" t="n">
        <v>7201.32</v>
      </c>
      <c r="E387" s="5" t="n">
        <v>7201.32</v>
      </c>
      <c r="F387" s="4" t="inlineStr">
        <is>
          <t>Status BAIXADO com saldo remanescente</t>
        </is>
      </c>
    </row>
    <row r="388">
      <c r="A388" s="4" t="inlineStr">
        <is>
          <t>T05_BAIXADO_COM_SALDO</t>
        </is>
      </c>
      <c r="B388" s="4" t="inlineStr">
        <is>
          <t>IMB-0206411</t>
        </is>
      </c>
      <c r="C388" s="4" t="inlineStr">
        <is>
          <t>MAQUINAS_EQUIPAMENTOS</t>
        </is>
      </c>
      <c r="D388" s="5" t="n">
        <v>16677.52</v>
      </c>
      <c r="E388" s="5" t="n">
        <v>16677.52</v>
      </c>
      <c r="F388" s="4" t="inlineStr">
        <is>
          <t>Status BAIXADO com saldo remanescente</t>
        </is>
      </c>
    </row>
    <row r="389">
      <c r="A389" s="4" t="inlineStr">
        <is>
          <t>T05_BAIXADO_COM_SALDO</t>
        </is>
      </c>
      <c r="B389" s="4" t="inlineStr">
        <is>
          <t>IMB-0220168</t>
        </is>
      </c>
      <c r="C389" s="4" t="inlineStr">
        <is>
          <t>MAQUINAS_EQUIPAMENTOS</t>
        </is>
      </c>
      <c r="D389" s="5" t="n">
        <v>31987.4</v>
      </c>
      <c r="E389" s="5" t="n">
        <v>31987.4</v>
      </c>
      <c r="F389" s="4" t="inlineStr">
        <is>
          <t>Status BAIXADO com saldo remanescente</t>
        </is>
      </c>
    </row>
    <row r="390">
      <c r="A390" s="4" t="inlineStr">
        <is>
          <t>T05_BAIXADO_COM_SALDO</t>
        </is>
      </c>
      <c r="B390" s="4" t="inlineStr">
        <is>
          <t>IMB-0231947</t>
        </is>
      </c>
      <c r="C390" s="4" t="inlineStr">
        <is>
          <t>DESENVOLVIMENTO_CAMPOS</t>
        </is>
      </c>
      <c r="D390" s="5" t="n">
        <v>3214.66</v>
      </c>
      <c r="E390" s="5" t="n">
        <v>3214.66</v>
      </c>
      <c r="F390" s="4" t="inlineStr">
        <is>
          <t>Status BAIXADO com saldo remanescente</t>
        </is>
      </c>
    </row>
    <row r="391">
      <c r="A391" s="4" t="inlineStr">
        <is>
          <t>T05_BAIXADO_COM_SALDO</t>
        </is>
      </c>
      <c r="B391" s="4" t="inlineStr">
        <is>
          <t>IMB-0232204</t>
        </is>
      </c>
      <c r="C391" s="4" t="inlineStr">
        <is>
          <t>DESENVOLVIMENTO_CAMPOS</t>
        </is>
      </c>
      <c r="D391" s="5" t="n">
        <v>4173.27</v>
      </c>
      <c r="E391" s="5" t="n">
        <v>4173.27</v>
      </c>
      <c r="F391" s="4" t="inlineStr">
        <is>
          <t>Status BAIXADO com saldo remanescente</t>
        </is>
      </c>
    </row>
    <row r="392">
      <c r="A392" s="4" t="inlineStr">
        <is>
          <t>T05_BAIXADO_COM_SALDO</t>
        </is>
      </c>
      <c r="B392" s="4" t="inlineStr">
        <is>
          <t>IMB-0232708</t>
        </is>
      </c>
      <c r="C392" s="4" t="inlineStr">
        <is>
          <t>MAQUINAS_EQUIPAMENTOS</t>
        </is>
      </c>
      <c r="D392" s="5" t="n">
        <v>12350.67</v>
      </c>
      <c r="E392" s="5" t="n">
        <v>12350.67</v>
      </c>
      <c r="F392" s="4" t="inlineStr">
        <is>
          <t>Status BAIXADO com saldo remanescente</t>
        </is>
      </c>
    </row>
    <row r="393">
      <c r="A393" s="4" t="inlineStr">
        <is>
          <t>T05_BAIXADO_COM_SALDO</t>
        </is>
      </c>
      <c r="B393" s="4" t="inlineStr">
        <is>
          <t>IMB-0233537</t>
        </is>
      </c>
      <c r="C393" s="4" t="inlineStr">
        <is>
          <t>DESENVOLVIMENTO_CAMPOS</t>
        </is>
      </c>
      <c r="D393" s="5" t="n">
        <v>35963.08</v>
      </c>
      <c r="E393" s="5" t="n">
        <v>35963.08</v>
      </c>
      <c r="F393" s="4" t="inlineStr">
        <is>
          <t>Status BAIXADO com saldo remanescente</t>
        </is>
      </c>
    </row>
    <row r="394">
      <c r="A394" s="4" t="inlineStr">
        <is>
          <t>T05_BAIXADO_COM_SALDO</t>
        </is>
      </c>
      <c r="B394" s="4" t="inlineStr">
        <is>
          <t>IMB-0234076</t>
        </is>
      </c>
      <c r="C394" s="4" t="inlineStr">
        <is>
          <t>DESENVOLVIMENTO_CAMPOS</t>
        </is>
      </c>
      <c r="D394" s="5" t="n">
        <v>89472.75</v>
      </c>
      <c r="E394" s="5" t="n">
        <v>89472.75</v>
      </c>
      <c r="F394" s="4" t="inlineStr">
        <is>
          <t>Status BAIXADO com saldo remanescente</t>
        </is>
      </c>
    </row>
    <row r="395">
      <c r="A395" s="4" t="inlineStr">
        <is>
          <t>T05_BAIXADO_COM_SALDO</t>
        </is>
      </c>
      <c r="B395" s="4" t="inlineStr">
        <is>
          <t>IMB-0234867</t>
        </is>
      </c>
      <c r="C395" s="4" t="inlineStr">
        <is>
          <t>MAQUINAS_EQUIPAMENTOS</t>
        </is>
      </c>
      <c r="D395" s="5" t="n">
        <v>7987.39</v>
      </c>
      <c r="E395" s="5" t="n">
        <v>7987.39</v>
      </c>
      <c r="F395" s="4" t="inlineStr">
        <is>
          <t>Status BAIXADO com saldo remanescente</t>
        </is>
      </c>
    </row>
    <row r="396">
      <c r="A396" s="4" t="inlineStr">
        <is>
          <t>T05_BAIXADO_COM_SALDO</t>
        </is>
      </c>
      <c r="B396" s="4" t="inlineStr">
        <is>
          <t>IMB-0249255</t>
        </is>
      </c>
      <c r="C396" s="4" t="inlineStr">
        <is>
          <t>OUTROS</t>
        </is>
      </c>
      <c r="D396" s="5" t="n">
        <v>6773</v>
      </c>
      <c r="E396" s="5" t="n">
        <v>6773</v>
      </c>
      <c r="F396" s="4" t="inlineStr">
        <is>
          <t>Status BAIXADO com saldo remanescente</t>
        </is>
      </c>
    </row>
    <row r="397">
      <c r="A397" s="4" t="inlineStr">
        <is>
          <t>T05_BAIXADO_COM_SALDO</t>
        </is>
      </c>
      <c r="B397" s="4" t="inlineStr">
        <is>
          <t>IMB-0264671</t>
        </is>
      </c>
      <c r="C397" s="4" t="inlineStr">
        <is>
          <t>MAQUINAS_EQUIPAMENTOS</t>
        </is>
      </c>
      <c r="D397" s="5" t="n">
        <v>4754.69</v>
      </c>
      <c r="E397" s="5" t="n">
        <v>4754.69</v>
      </c>
      <c r="F397" s="4" t="inlineStr">
        <is>
          <t>Status BAIXADO com saldo remanescente</t>
        </is>
      </c>
    </row>
    <row r="398">
      <c r="A398" s="4" t="inlineStr">
        <is>
          <t>T05_BAIXADO_COM_SALDO</t>
        </is>
      </c>
      <c r="B398" s="4" t="inlineStr">
        <is>
          <t>IMB-0265363</t>
        </is>
      </c>
      <c r="C398" s="4" t="inlineStr">
        <is>
          <t>DESENVOLVIMENTO_CAMPOS</t>
        </is>
      </c>
      <c r="D398" s="5" t="n">
        <v>23535.03</v>
      </c>
      <c r="E398" s="5" t="n">
        <v>23535.03</v>
      </c>
      <c r="F398" s="4" t="inlineStr">
        <is>
          <t>Status BAIXADO com saldo remanescente</t>
        </is>
      </c>
    </row>
    <row r="399">
      <c r="A399" s="4" t="inlineStr">
        <is>
          <t>T05_BAIXADO_COM_SALDO</t>
        </is>
      </c>
      <c r="B399" s="4" t="inlineStr">
        <is>
          <t>IMB-0266143</t>
        </is>
      </c>
      <c r="C399" s="4" t="inlineStr">
        <is>
          <t>DESENVOLVIMENTO_CAMPOS</t>
        </is>
      </c>
      <c r="D399" s="5" t="n">
        <v>4086.3</v>
      </c>
      <c r="E399" s="5" t="n">
        <v>4086.3</v>
      </c>
      <c r="F399" s="4" t="inlineStr">
        <is>
          <t>Status BAIXADO com saldo remanescente</t>
        </is>
      </c>
    </row>
    <row r="400">
      <c r="A400" s="4" t="inlineStr">
        <is>
          <t>T05_BAIXADO_COM_SALDO</t>
        </is>
      </c>
      <c r="B400" s="4" t="inlineStr">
        <is>
          <t>IMB-0266510</t>
        </is>
      </c>
      <c r="C400" s="4" t="inlineStr">
        <is>
          <t>DESENVOLVIMENTO_CAMPOS</t>
        </is>
      </c>
      <c r="D400" s="5" t="n">
        <v>3651.37</v>
      </c>
      <c r="E400" s="5" t="n">
        <v>3651.37</v>
      </c>
      <c r="F400" s="4" t="inlineStr">
        <is>
          <t>Status BAIXADO com saldo remanescente</t>
        </is>
      </c>
    </row>
    <row r="401">
      <c r="A401" s="4" t="inlineStr">
        <is>
          <t>T05_BAIXADO_COM_SALDO</t>
        </is>
      </c>
      <c r="B401" s="4" t="inlineStr">
        <is>
          <t>IMB-0284034</t>
        </is>
      </c>
      <c r="C401" s="4" t="inlineStr">
        <is>
          <t>DESENVOLVIMENTO_CAMPOS</t>
        </is>
      </c>
      <c r="D401" s="5" t="n">
        <v>77410.41</v>
      </c>
      <c r="E401" s="5" t="n">
        <v>77410.41</v>
      </c>
      <c r="F401" s="4" t="inlineStr">
        <is>
          <t>Status BAIXADO com saldo remanescente</t>
        </is>
      </c>
    </row>
    <row r="402">
      <c r="A402" s="4" t="inlineStr">
        <is>
          <t>T05_BAIXADO_COM_SALDO</t>
        </is>
      </c>
      <c r="B402" s="4" t="inlineStr">
        <is>
          <t>IMB-0291515</t>
        </is>
      </c>
      <c r="C402" s="4" t="inlineStr">
        <is>
          <t>DESENVOLVIMENTO_CAMPOS</t>
        </is>
      </c>
      <c r="D402" s="5" t="n">
        <v>5794.44</v>
      </c>
      <c r="E402" s="5" t="n">
        <v>5794.44</v>
      </c>
      <c r="F402" s="4" t="inlineStr">
        <is>
          <t>Status BAIXADO com saldo remanescente</t>
        </is>
      </c>
    </row>
    <row r="403">
      <c r="A403" s="4" t="inlineStr">
        <is>
          <t>T05_BAIXADO_COM_SALDO</t>
        </is>
      </c>
      <c r="B403" s="4" t="inlineStr">
        <is>
          <t>IMB-0292328</t>
        </is>
      </c>
      <c r="C403" s="4" t="inlineStr">
        <is>
          <t>OUTROS</t>
        </is>
      </c>
      <c r="D403" s="5" t="n">
        <v>51041.5</v>
      </c>
      <c r="E403" s="5" t="n">
        <v>51041.5</v>
      </c>
      <c r="F403" s="4" t="inlineStr">
        <is>
          <t>Status BAIXADO com saldo remanescente</t>
        </is>
      </c>
    </row>
    <row r="404">
      <c r="A404" s="4" t="inlineStr">
        <is>
          <t>T05_BAIXADO_COM_SALDO</t>
        </is>
      </c>
      <c r="B404" s="4" t="inlineStr">
        <is>
          <t>IMB-0304216</t>
        </is>
      </c>
      <c r="C404" s="4" t="inlineStr">
        <is>
          <t>MAQUINAS_EQUIPAMENTOS</t>
        </is>
      </c>
      <c r="D404" s="5" t="n">
        <v>10120.4</v>
      </c>
      <c r="E404" s="5" t="n">
        <v>10120.4</v>
      </c>
      <c r="F404" s="4" t="inlineStr">
        <is>
          <t>Status BAIXADO com saldo remanescente</t>
        </is>
      </c>
    </row>
    <row r="405">
      <c r="A405" s="4" t="inlineStr">
        <is>
          <t>T05_BAIXADO_COM_SALDO</t>
        </is>
      </c>
      <c r="B405" s="4" t="inlineStr">
        <is>
          <t>IMB-0304753</t>
        </is>
      </c>
      <c r="C405" s="4" t="inlineStr">
        <is>
          <t>DESENVOLVIMENTO_CAMPOS</t>
        </is>
      </c>
      <c r="D405" s="5" t="n">
        <v>31662.47</v>
      </c>
      <c r="E405" s="5" t="n">
        <v>31662.47</v>
      </c>
      <c r="F405" s="4" t="inlineStr">
        <is>
          <t>Status BAIXADO com saldo remanescente</t>
        </is>
      </c>
    </row>
    <row r="406">
      <c r="A406" s="4" t="inlineStr">
        <is>
          <t>T05_BAIXADO_COM_SALDO</t>
        </is>
      </c>
      <c r="B406" s="4" t="inlineStr">
        <is>
          <t>IMB-0305865</t>
        </is>
      </c>
      <c r="C406" s="4" t="inlineStr">
        <is>
          <t>DESENVOLVIMENTO_CAMPOS</t>
        </is>
      </c>
      <c r="D406" s="5" t="n">
        <v>154499.92</v>
      </c>
      <c r="E406" s="5" t="n">
        <v>154499.92</v>
      </c>
      <c r="F406" s="4" t="inlineStr">
        <is>
          <t>Status BAIXADO com saldo remanescente</t>
        </is>
      </c>
    </row>
    <row r="407">
      <c r="A407" s="4" t="inlineStr">
        <is>
          <t>T05_BAIXADO_COM_SALDO</t>
        </is>
      </c>
      <c r="B407" s="4" t="inlineStr">
        <is>
          <t>IMB-0315094</t>
        </is>
      </c>
      <c r="C407" s="4" t="inlineStr">
        <is>
          <t>DESENVOLVIMENTO_CAMPOS</t>
        </is>
      </c>
      <c r="D407" s="5" t="n">
        <v>69717.35000000001</v>
      </c>
      <c r="E407" s="5" t="n">
        <v>69717.35000000001</v>
      </c>
      <c r="F407" s="4" t="inlineStr">
        <is>
          <t>Status BAIXADO com saldo remanescente</t>
        </is>
      </c>
    </row>
    <row r="408">
      <c r="A408" s="4" t="inlineStr">
        <is>
          <t>T05_BAIXADO_COM_SALDO</t>
        </is>
      </c>
      <c r="B408" s="4" t="inlineStr">
        <is>
          <t>IMB-0315790</t>
        </is>
      </c>
      <c r="C408" s="4" t="inlineStr">
        <is>
          <t>DESENVOLVIMENTO_CAMPOS</t>
        </is>
      </c>
      <c r="D408" s="5" t="n">
        <v>9444.49</v>
      </c>
      <c r="E408" s="5" t="n">
        <v>9444.49</v>
      </c>
      <c r="F408" s="4" t="inlineStr">
        <is>
          <t>Status BAIXADO com saldo remanescente</t>
        </is>
      </c>
    </row>
    <row r="409">
      <c r="A409" s="4" t="inlineStr">
        <is>
          <t>T05_BAIXADO_COM_SALDO</t>
        </is>
      </c>
      <c r="B409" s="4" t="inlineStr">
        <is>
          <t>IMB-0318941</t>
        </is>
      </c>
      <c r="C409" s="4" t="inlineStr">
        <is>
          <t>DESENVOLVIMENTO_CAMPOS</t>
        </is>
      </c>
      <c r="D409" s="5" t="n">
        <v>73082.06</v>
      </c>
      <c r="E409" s="5" t="n">
        <v>73082.06</v>
      </c>
      <c r="F409" s="4" t="inlineStr">
        <is>
          <t>Status BAIXADO com saldo remanescente</t>
        </is>
      </c>
    </row>
    <row r="410">
      <c r="A410" s="4" t="inlineStr">
        <is>
          <t>T05_BAIXADO_COM_SALDO</t>
        </is>
      </c>
      <c r="B410" s="4" t="inlineStr">
        <is>
          <t>IMB-0327911</t>
        </is>
      </c>
      <c r="C410" s="4" t="inlineStr">
        <is>
          <t>DESENVOLVIMENTO_CAMPOS</t>
        </is>
      </c>
      <c r="D410" s="5" t="n">
        <v>85987.38</v>
      </c>
      <c r="E410" s="5" t="n">
        <v>85987.38</v>
      </c>
      <c r="F410" s="4" t="inlineStr">
        <is>
          <t>Status BAIXADO com saldo remanescente</t>
        </is>
      </c>
    </row>
    <row r="411">
      <c r="A411" s="4" t="inlineStr">
        <is>
          <t>T05_BAIXADO_COM_SALDO</t>
        </is>
      </c>
      <c r="B411" s="4" t="inlineStr">
        <is>
          <t>IMB-0329067</t>
        </is>
      </c>
      <c r="C411" s="4" t="inlineStr">
        <is>
          <t>DESENVOLVIMENTO_CAMPOS</t>
        </is>
      </c>
      <c r="D411" s="5" t="n">
        <v>53140.76</v>
      </c>
      <c r="E411" s="5" t="n">
        <v>53140.76</v>
      </c>
      <c r="F411" s="4" t="inlineStr">
        <is>
          <t>Status BAIXADO com saldo remanescente</t>
        </is>
      </c>
    </row>
    <row r="412">
      <c r="A412" s="4" t="inlineStr">
        <is>
          <t>T05_BAIXADO_COM_SALDO</t>
        </is>
      </c>
      <c r="B412" s="4" t="inlineStr">
        <is>
          <t>IMB-0335610</t>
        </is>
      </c>
      <c r="C412" s="4" t="inlineStr">
        <is>
          <t>DESENVOLVIMENTO_CAMPOS</t>
        </is>
      </c>
      <c r="D412" s="5" t="n">
        <v>298590.56</v>
      </c>
      <c r="E412" s="5" t="n">
        <v>298590.56</v>
      </c>
      <c r="F412" s="4" t="inlineStr">
        <is>
          <t>Status BAIXADO com saldo remanescente</t>
        </is>
      </c>
    </row>
    <row r="413">
      <c r="A413" s="4" t="inlineStr">
        <is>
          <t>T05_BAIXADO_COM_SALDO</t>
        </is>
      </c>
      <c r="B413" s="4" t="inlineStr">
        <is>
          <t>IMB-0369387</t>
        </is>
      </c>
      <c r="C413" s="4" t="inlineStr">
        <is>
          <t>DESENVOLVIMENTO_CAMPOS</t>
        </is>
      </c>
      <c r="D413" s="5" t="n">
        <v>144710.03</v>
      </c>
      <c r="E413" s="5" t="n">
        <v>144710.03</v>
      </c>
      <c r="F413" s="4" t="inlineStr">
        <is>
          <t>Status BAIXADO com saldo remanescente</t>
        </is>
      </c>
    </row>
    <row r="414">
      <c r="A414" s="4" t="inlineStr">
        <is>
          <t>T05_BAIXADO_COM_SALDO</t>
        </is>
      </c>
      <c r="B414" s="4" t="inlineStr">
        <is>
          <t>IMB-0373428</t>
        </is>
      </c>
      <c r="C414" s="4" t="inlineStr">
        <is>
          <t>MAQUINAS_EQUIPAMENTOS</t>
        </is>
      </c>
      <c r="D414" s="5" t="n">
        <v>6575.12</v>
      </c>
      <c r="E414" s="5" t="n">
        <v>6575.12</v>
      </c>
      <c r="F414" s="4" t="inlineStr">
        <is>
          <t>Status BAIXADO com saldo remanescente</t>
        </is>
      </c>
    </row>
    <row r="415">
      <c r="A415" s="4" t="inlineStr">
        <is>
          <t>T05_BAIXADO_COM_SALDO</t>
        </is>
      </c>
      <c r="B415" s="4" t="inlineStr">
        <is>
          <t>IMB-0373898</t>
        </is>
      </c>
      <c r="C415" s="4" t="inlineStr">
        <is>
          <t>DESENVOLVIMENTO_CAMPOS</t>
        </is>
      </c>
      <c r="D415" s="5" t="n">
        <v>167991.3</v>
      </c>
      <c r="E415" s="5" t="n">
        <v>167991.3</v>
      </c>
      <c r="F415" s="4" t="inlineStr">
        <is>
          <t>Status BAIXADO com saldo remanescente</t>
        </is>
      </c>
    </row>
    <row r="416">
      <c r="A416" s="4" t="inlineStr">
        <is>
          <t>T05_BAIXADO_COM_SALDO</t>
        </is>
      </c>
      <c r="B416" s="4" t="inlineStr">
        <is>
          <t>IMB-0374848</t>
        </is>
      </c>
      <c r="C416" s="4" t="inlineStr">
        <is>
          <t>MAQUINAS_EQUIPAMENTOS</t>
        </is>
      </c>
      <c r="D416" s="5" t="n">
        <v>20650.59</v>
      </c>
      <c r="E416" s="5" t="n">
        <v>20650.59</v>
      </c>
      <c r="F416" s="4" t="inlineStr">
        <is>
          <t>Status BAIXADO com saldo remanescente</t>
        </is>
      </c>
    </row>
    <row r="417">
      <c r="A417" s="4" t="inlineStr">
        <is>
          <t>T05_BAIXADO_COM_SALDO</t>
        </is>
      </c>
      <c r="B417" s="4" t="inlineStr">
        <is>
          <t>IMB-0378422</t>
        </is>
      </c>
      <c r="C417" s="4" t="inlineStr">
        <is>
          <t>MAQUINAS_EQUIPAMENTOS</t>
        </is>
      </c>
      <c r="D417" s="5" t="n">
        <v>9204.139999999999</v>
      </c>
      <c r="E417" s="5" t="n">
        <v>9204.139999999999</v>
      </c>
      <c r="F417" s="4" t="inlineStr">
        <is>
          <t>Status BAIXADO com saldo remanescente</t>
        </is>
      </c>
    </row>
    <row r="418">
      <c r="A418" s="4" t="inlineStr">
        <is>
          <t>T05_BAIXADO_COM_SALDO</t>
        </is>
      </c>
      <c r="B418" s="4" t="inlineStr">
        <is>
          <t>IMB-0388053</t>
        </is>
      </c>
      <c r="C418" s="4" t="inlineStr">
        <is>
          <t>MAQUINAS_EQUIPAMENTOS</t>
        </is>
      </c>
      <c r="D418" s="5" t="n">
        <v>6692.29</v>
      </c>
      <c r="E418" s="5" t="n">
        <v>6692.29</v>
      </c>
      <c r="F418" s="4" t="inlineStr">
        <is>
          <t>Status BAIXADO com saldo remanescente</t>
        </is>
      </c>
    </row>
    <row r="419">
      <c r="A419" s="4" t="inlineStr">
        <is>
          <t>T05_BAIXADO_COM_SALDO</t>
        </is>
      </c>
      <c r="B419" s="4" t="inlineStr">
        <is>
          <t>IMB-0401279</t>
        </is>
      </c>
      <c r="C419" s="4" t="inlineStr">
        <is>
          <t>DESENVOLVIMENTO_CAMPOS</t>
        </is>
      </c>
      <c r="D419" s="5" t="n">
        <v>28674.26</v>
      </c>
      <c r="E419" s="5" t="n">
        <v>28674.26</v>
      </c>
      <c r="F419" s="4" t="inlineStr">
        <is>
          <t>Status BAIXADO com saldo remanescente</t>
        </is>
      </c>
    </row>
    <row r="420">
      <c r="A420" s="4" t="inlineStr">
        <is>
          <t>T05_BAIXADO_COM_SALDO</t>
        </is>
      </c>
      <c r="B420" s="4" t="inlineStr">
        <is>
          <t>IMB-0406286</t>
        </is>
      </c>
      <c r="C420" s="4" t="inlineStr">
        <is>
          <t>DESENVOLVIMENTO_CAMPOS</t>
        </is>
      </c>
      <c r="D420" s="5" t="n">
        <v>29849.31</v>
      </c>
      <c r="E420" s="5" t="n">
        <v>29849.31</v>
      </c>
      <c r="F420" s="4" t="inlineStr">
        <is>
          <t>Status BAIXADO com saldo remanescente</t>
        </is>
      </c>
    </row>
    <row r="421">
      <c r="A421" s="4" t="inlineStr">
        <is>
          <t>T05_BAIXADO_COM_SALDO</t>
        </is>
      </c>
      <c r="B421" s="4" t="inlineStr">
        <is>
          <t>IMB-0431669</t>
        </is>
      </c>
      <c r="C421" s="4" t="inlineStr">
        <is>
          <t>DESENVOLVIMENTO_CAMPOS</t>
        </is>
      </c>
      <c r="D421" s="5" t="n">
        <v>6567.99</v>
      </c>
      <c r="E421" s="5" t="n">
        <v>6567.99</v>
      </c>
      <c r="F421" s="4" t="inlineStr">
        <is>
          <t>Status BAIXADO com saldo remanescente</t>
        </is>
      </c>
    </row>
    <row r="422">
      <c r="A422" s="4" t="inlineStr">
        <is>
          <t>T05_BAIXADO_COM_SALDO</t>
        </is>
      </c>
      <c r="B422" s="4" t="inlineStr">
        <is>
          <t>IMB-0434223</t>
        </is>
      </c>
      <c r="C422" s="4" t="inlineStr">
        <is>
          <t>DESENVOLVIMENTO_CAMPOS</t>
        </is>
      </c>
      <c r="D422" s="5" t="n">
        <v>13211.69</v>
      </c>
      <c r="E422" s="5" t="n">
        <v>13211.69</v>
      </c>
      <c r="F422" s="4" t="inlineStr">
        <is>
          <t>Status BAIXADO com saldo remanescente</t>
        </is>
      </c>
    </row>
    <row r="423">
      <c r="A423" s="4" t="inlineStr">
        <is>
          <t>T05_BAIXADO_COM_SALDO</t>
        </is>
      </c>
      <c r="B423" s="4" t="inlineStr">
        <is>
          <t>IMB-0444143</t>
        </is>
      </c>
      <c r="C423" s="4" t="inlineStr">
        <is>
          <t>DESENVOLVIMENTO_CAMPOS</t>
        </is>
      </c>
      <c r="D423" s="5" t="n">
        <v>24426.67</v>
      </c>
      <c r="E423" s="5" t="n">
        <v>24426.67</v>
      </c>
      <c r="F423" s="4" t="inlineStr">
        <is>
          <t>Status BAIXADO com saldo remanescente</t>
        </is>
      </c>
    </row>
    <row r="424">
      <c r="A424" s="4" t="inlineStr">
        <is>
          <t>T05_BAIXADO_COM_SALDO</t>
        </is>
      </c>
      <c r="B424" s="4" t="inlineStr">
        <is>
          <t>IMB-0466342</t>
        </is>
      </c>
      <c r="C424" s="4" t="inlineStr">
        <is>
          <t>MAQUINAS_EQUIPAMENTOS</t>
        </is>
      </c>
      <c r="D424" s="5" t="n">
        <v>4631.96</v>
      </c>
      <c r="E424" s="5" t="n">
        <v>4631.96</v>
      </c>
      <c r="F424" s="4" t="inlineStr">
        <is>
          <t>Status BAIXADO com saldo remanescente</t>
        </is>
      </c>
    </row>
    <row r="425">
      <c r="A425" s="4" t="inlineStr">
        <is>
          <t>T05_BAIXADO_COM_SALDO</t>
        </is>
      </c>
      <c r="B425" s="4" t="inlineStr">
        <is>
          <t>IMB-0466977</t>
        </is>
      </c>
      <c r="C425" s="4" t="inlineStr">
        <is>
          <t>DESENVOLVIMENTO_CAMPOS</t>
        </is>
      </c>
      <c r="D425" s="5" t="n">
        <v>23776.92</v>
      </c>
      <c r="E425" s="5" t="n">
        <v>23776.92</v>
      </c>
      <c r="F425" s="4" t="inlineStr">
        <is>
          <t>Status BAIXADO com saldo remanescente</t>
        </is>
      </c>
    </row>
    <row r="426">
      <c r="A426" s="4" t="inlineStr">
        <is>
          <t>T05_BAIXADO_COM_SALDO</t>
        </is>
      </c>
      <c r="B426" s="4" t="inlineStr">
        <is>
          <t>IMB-0471197</t>
        </is>
      </c>
      <c r="C426" s="4" t="inlineStr">
        <is>
          <t>DESENVOLVIMENTO_CAMPOS</t>
        </is>
      </c>
      <c r="D426" s="5" t="n">
        <v>10382.21</v>
      </c>
      <c r="E426" s="5" t="n">
        <v>10382.21</v>
      </c>
      <c r="F426" s="4" t="inlineStr">
        <is>
          <t>Status BAIXADO com saldo remanescente</t>
        </is>
      </c>
    </row>
    <row r="427">
      <c r="A427" s="4" t="inlineStr">
        <is>
          <t>T05_BAIXADO_COM_SALDO</t>
        </is>
      </c>
      <c r="B427" s="4" t="inlineStr">
        <is>
          <t>IMB-0475791</t>
        </is>
      </c>
      <c r="C427" s="4" t="inlineStr">
        <is>
          <t>DESENVOLVIMENTO_CAMPOS</t>
        </is>
      </c>
      <c r="D427" s="5" t="n">
        <v>79408.99000000001</v>
      </c>
      <c r="E427" s="5" t="n">
        <v>79408.99000000001</v>
      </c>
      <c r="F427" s="4" t="inlineStr">
        <is>
          <t>Status BAIXADO com saldo remanescente</t>
        </is>
      </c>
    </row>
    <row r="428">
      <c r="A428" s="4" t="inlineStr">
        <is>
          <t>T05_BAIXADO_COM_SALDO</t>
        </is>
      </c>
      <c r="B428" s="4" t="inlineStr">
        <is>
          <t>IMB-0519488</t>
        </is>
      </c>
      <c r="C428" s="4" t="inlineStr">
        <is>
          <t>DESENVOLVIMENTO_CAMPOS</t>
        </is>
      </c>
      <c r="D428" s="5" t="n">
        <v>72946.88</v>
      </c>
      <c r="E428" s="5" t="n">
        <v>72946.88</v>
      </c>
      <c r="F428" s="4" t="inlineStr">
        <is>
          <t>Status BAIXADO com saldo remanescente</t>
        </is>
      </c>
    </row>
    <row r="429">
      <c r="A429" s="4" t="inlineStr">
        <is>
          <t>T06_ALMOX_SEM_MOVIMENTO_5A</t>
        </is>
      </c>
      <c r="B429" s="4" t="inlineStr">
        <is>
          <t>IMB-0016565</t>
        </is>
      </c>
      <c r="C429" s="4" t="inlineStr">
        <is>
          <t>ALMOXARIFADO_INVERSOES_FIXAS</t>
        </is>
      </c>
      <c r="D429" s="5" t="n">
        <v>375.05</v>
      </c>
      <c r="E429" s="5" t="n">
        <v>375.05</v>
      </c>
      <c r="F429" s="4" t="inlineStr">
        <is>
          <t>Sem movimentacao desde antes de 01/01/2021 (avaliar obsolescencia / valor recuperavel)</t>
        </is>
      </c>
    </row>
    <row r="430">
      <c r="A430" s="4" t="inlineStr">
        <is>
          <t>T06_ALMOX_SEM_MOVIMENTO_5A</t>
        </is>
      </c>
      <c r="B430" s="4" t="inlineStr">
        <is>
          <t>IMB-0018888</t>
        </is>
      </c>
      <c r="C430" s="4" t="inlineStr">
        <is>
          <t>ALMOXARIFADO_INVERSOES_FIXAS</t>
        </is>
      </c>
      <c r="D430" s="5" t="n">
        <v>330.63</v>
      </c>
      <c r="E430" s="5" t="n">
        <v>330.63</v>
      </c>
      <c r="F430" s="4" t="inlineStr">
        <is>
          <t>Sem movimentacao desde antes de 01/01/2021 (avaliar obsolescencia / valor recuperavel)</t>
        </is>
      </c>
    </row>
    <row r="431">
      <c r="A431" s="4" t="inlineStr">
        <is>
          <t>T06_ALMOX_SEM_MOVIMENTO_5A</t>
        </is>
      </c>
      <c r="B431" s="4" t="inlineStr">
        <is>
          <t>IMB-0021093</t>
        </is>
      </c>
      <c r="C431" s="4" t="inlineStr">
        <is>
          <t>ALMOXARIFADO_INVERSOES_FIXAS</t>
        </is>
      </c>
      <c r="D431" s="5" t="n">
        <v>823.84</v>
      </c>
      <c r="E431" s="5" t="n">
        <v>823.84</v>
      </c>
      <c r="F431" s="4" t="inlineStr">
        <is>
          <t>Sem movimentacao desde antes de 01/01/2021 (avaliar obsolescencia / valor recuperavel)</t>
        </is>
      </c>
    </row>
    <row r="432">
      <c r="A432" s="4" t="inlineStr">
        <is>
          <t>T06_ALMOX_SEM_MOVIMENTO_5A</t>
        </is>
      </c>
      <c r="B432" s="4" t="inlineStr">
        <is>
          <t>IMB-0024660</t>
        </is>
      </c>
      <c r="C432" s="4" t="inlineStr">
        <is>
          <t>ALMOXARIFADO_INVERSOES_FIXAS</t>
        </is>
      </c>
      <c r="D432" s="5" t="n">
        <v>188.71</v>
      </c>
      <c r="E432" s="5" t="n">
        <v>188.71</v>
      </c>
      <c r="F432" s="4" t="inlineStr">
        <is>
          <t>Sem movimentacao desde antes de 01/01/2021 (avaliar obsolescencia / valor recuperavel)</t>
        </is>
      </c>
    </row>
    <row r="433">
      <c r="A433" s="4" t="inlineStr">
        <is>
          <t>T06_ALMOX_SEM_MOVIMENTO_5A</t>
        </is>
      </c>
      <c r="B433" s="4" t="inlineStr">
        <is>
          <t>IMB-0026996</t>
        </is>
      </c>
      <c r="C433" s="4" t="inlineStr">
        <is>
          <t>ALMOXARIFADO_INVERSOES_FIXAS</t>
        </is>
      </c>
      <c r="D433" s="5" t="n">
        <v>243.25</v>
      </c>
      <c r="E433" s="5" t="n">
        <v>243.25</v>
      </c>
      <c r="F433" s="4" t="inlineStr">
        <is>
          <t>Sem movimentacao desde antes de 01/01/2021 (avaliar obsolescencia / valor recuperavel)</t>
        </is>
      </c>
    </row>
    <row r="434">
      <c r="A434" s="4" t="inlineStr">
        <is>
          <t>T06_ALMOX_SEM_MOVIMENTO_5A</t>
        </is>
      </c>
      <c r="B434" s="4" t="inlineStr">
        <is>
          <t>IMB-0033192</t>
        </is>
      </c>
      <c r="C434" s="4" t="inlineStr">
        <is>
          <t>ALMOXARIFADO_INVERSOES_FIXAS</t>
        </is>
      </c>
      <c r="D434" s="5" t="n">
        <v>1168.81</v>
      </c>
      <c r="E434" s="5" t="n">
        <v>1168.81</v>
      </c>
      <c r="F434" s="4" t="inlineStr">
        <is>
          <t>Sem movimentacao desde antes de 01/01/2021 (avaliar obsolescencia / valor recuperavel)</t>
        </is>
      </c>
    </row>
    <row r="435">
      <c r="A435" s="4" t="inlineStr">
        <is>
          <t>T06_ALMOX_SEM_MOVIMENTO_5A</t>
        </is>
      </c>
      <c r="B435" s="4" t="inlineStr">
        <is>
          <t>IMB-0036037</t>
        </is>
      </c>
      <c r="C435" s="4" t="inlineStr">
        <is>
          <t>ALMOXARIFADO_INVERSOES_FIXAS</t>
        </is>
      </c>
      <c r="D435" s="5" t="n">
        <v>144.23</v>
      </c>
      <c r="E435" s="5" t="n">
        <v>144.23</v>
      </c>
      <c r="F435" s="4" t="inlineStr">
        <is>
          <t>Sem movimentacao desde antes de 01/01/2021 (avaliar obsolescencia / valor recuperavel)</t>
        </is>
      </c>
    </row>
    <row r="436">
      <c r="A436" s="4" t="inlineStr">
        <is>
          <t>T06_ALMOX_SEM_MOVIMENTO_5A</t>
        </is>
      </c>
      <c r="B436" s="4" t="inlineStr">
        <is>
          <t>IMB-0037693</t>
        </is>
      </c>
      <c r="C436" s="4" t="inlineStr">
        <is>
          <t>ALMOXARIFADO_INVERSOES_FIXAS</t>
        </is>
      </c>
      <c r="D436" s="5" t="n">
        <v>1909.22</v>
      </c>
      <c r="E436" s="5" t="n">
        <v>1909.22</v>
      </c>
      <c r="F436" s="4" t="inlineStr">
        <is>
          <t>Sem movimentacao desde antes de 01/01/2021 (avaliar obsolescencia / valor recuperavel)</t>
        </is>
      </c>
    </row>
    <row r="437">
      <c r="A437" s="4" t="inlineStr">
        <is>
          <t>T06_ALMOX_SEM_MOVIMENTO_5A</t>
        </is>
      </c>
      <c r="B437" s="4" t="inlineStr">
        <is>
          <t>IMB-0040001</t>
        </is>
      </c>
      <c r="C437" s="4" t="inlineStr">
        <is>
          <t>ALMOXARIFADO_INVERSOES_FIXAS</t>
        </is>
      </c>
      <c r="D437" s="5" t="n">
        <v>394.34</v>
      </c>
      <c r="E437" s="5" t="n">
        <v>394.34</v>
      </c>
      <c r="F437" s="4" t="inlineStr">
        <is>
          <t>Sem movimentacao desde antes de 01/01/2021 (avaliar obsolescencia / valor recuperavel)</t>
        </is>
      </c>
    </row>
    <row r="438">
      <c r="A438" s="4" t="inlineStr">
        <is>
          <t>T06_ALMOX_SEM_MOVIMENTO_5A</t>
        </is>
      </c>
      <c r="B438" s="4" t="inlineStr">
        <is>
          <t>IMB-0054181</t>
        </is>
      </c>
      <c r="C438" s="4" t="inlineStr">
        <is>
          <t>ALMOXARIFADO_INVERSOES_FIXAS</t>
        </is>
      </c>
      <c r="D438" s="5" t="n">
        <v>183.34</v>
      </c>
      <c r="E438" s="5" t="n">
        <v>183.34</v>
      </c>
      <c r="F438" s="4" t="inlineStr">
        <is>
          <t>Sem movimentacao desde antes de 01/01/2021 (avaliar obsolescencia / valor recuperavel)</t>
        </is>
      </c>
    </row>
    <row r="439">
      <c r="A439" s="4" t="inlineStr">
        <is>
          <t>T06_ALMOX_SEM_MOVIMENTO_5A</t>
        </is>
      </c>
      <c r="B439" s="4" t="inlineStr">
        <is>
          <t>IMB-0054861</t>
        </is>
      </c>
      <c r="C439" s="4" t="inlineStr">
        <is>
          <t>ALMOXARIFADO_INVERSOES_FIXAS</t>
        </is>
      </c>
      <c r="D439" s="5" t="n">
        <v>630.2</v>
      </c>
      <c r="E439" s="5" t="n">
        <v>630.2</v>
      </c>
      <c r="F439" s="4" t="inlineStr">
        <is>
          <t>Sem movimentacao desde antes de 01/01/2021 (avaliar obsolescencia / valor recuperavel)</t>
        </is>
      </c>
    </row>
    <row r="440">
      <c r="A440" s="4" t="inlineStr">
        <is>
          <t>T06_ALMOX_SEM_MOVIMENTO_5A</t>
        </is>
      </c>
      <c r="B440" s="4" t="inlineStr">
        <is>
          <t>IMB-0056501</t>
        </is>
      </c>
      <c r="C440" s="4" t="inlineStr">
        <is>
          <t>ALMOXARIFADO_INVERSOES_FIXAS</t>
        </is>
      </c>
      <c r="D440" s="5" t="n">
        <v>14252.63</v>
      </c>
      <c r="E440" s="5" t="n">
        <v>14252.63</v>
      </c>
      <c r="F440" s="4" t="inlineStr">
        <is>
          <t>Sem movimentacao desde antes de 01/01/2021 (avaliar obsolescencia / valor recuperavel)</t>
        </is>
      </c>
    </row>
    <row r="441">
      <c r="A441" s="4" t="inlineStr">
        <is>
          <t>T06_ALMOX_SEM_MOVIMENTO_5A</t>
        </is>
      </c>
      <c r="B441" s="4" t="inlineStr">
        <is>
          <t>IMB-0057103</t>
        </is>
      </c>
      <c r="C441" s="4" t="inlineStr">
        <is>
          <t>ALMOXARIFADO_INVERSOES_FIXAS</t>
        </is>
      </c>
      <c r="D441" s="5" t="n">
        <v>1493.15</v>
      </c>
      <c r="E441" s="5" t="n">
        <v>1493.15</v>
      </c>
      <c r="F441" s="4" t="inlineStr">
        <is>
          <t>Sem movimentacao desde antes de 01/01/2021 (avaliar obsolescencia / valor recuperavel)</t>
        </is>
      </c>
    </row>
    <row r="442">
      <c r="A442" s="4" t="inlineStr">
        <is>
          <t>T06_ALMOX_SEM_MOVIMENTO_5A</t>
        </is>
      </c>
      <c r="B442" s="4" t="inlineStr">
        <is>
          <t>IMB-0064427</t>
        </is>
      </c>
      <c r="C442" s="4" t="inlineStr">
        <is>
          <t>ALMOXARIFADO_INVERSOES_FIXAS</t>
        </is>
      </c>
      <c r="D442" s="5" t="n">
        <v>807.45</v>
      </c>
      <c r="E442" s="5" t="n">
        <v>807.45</v>
      </c>
      <c r="F442" s="4" t="inlineStr">
        <is>
          <t>Sem movimentacao desde antes de 01/01/2021 (avaliar obsolescencia / valor recuperavel)</t>
        </is>
      </c>
    </row>
    <row r="443">
      <c r="A443" s="4" t="inlineStr">
        <is>
          <t>T06_ALMOX_SEM_MOVIMENTO_5A</t>
        </is>
      </c>
      <c r="B443" s="4" t="inlineStr">
        <is>
          <t>IMB-0084584</t>
        </is>
      </c>
      <c r="C443" s="4" t="inlineStr">
        <is>
          <t>ALMOXARIFADO_INVERSOES_FIXAS</t>
        </is>
      </c>
      <c r="D443" s="5" t="n">
        <v>102.38</v>
      </c>
      <c r="E443" s="5" t="n">
        <v>102.38</v>
      </c>
      <c r="F443" s="4" t="inlineStr">
        <is>
          <t>Sem movimentacao desde antes de 01/01/2021 (avaliar obsolescencia / valor recuperavel)</t>
        </is>
      </c>
    </row>
    <row r="444">
      <c r="A444" s="4" t="inlineStr">
        <is>
          <t>T06_ALMOX_SEM_MOVIMENTO_5A</t>
        </is>
      </c>
      <c r="B444" s="4" t="inlineStr">
        <is>
          <t>IMB-0086496</t>
        </is>
      </c>
      <c r="C444" s="4" t="inlineStr">
        <is>
          <t>ALMOXARIFADO_INVERSOES_FIXAS</t>
        </is>
      </c>
      <c r="D444" s="5" t="n">
        <v>1415.38</v>
      </c>
      <c r="E444" s="5" t="n">
        <v>1415.38</v>
      </c>
      <c r="F444" s="4" t="inlineStr">
        <is>
          <t>Sem movimentacao desde antes de 01/01/2021 (avaliar obsolescencia / valor recuperavel)</t>
        </is>
      </c>
    </row>
    <row r="445">
      <c r="A445" s="4" t="inlineStr">
        <is>
          <t>T06_ALMOX_SEM_MOVIMENTO_5A</t>
        </is>
      </c>
      <c r="B445" s="4" t="inlineStr">
        <is>
          <t>IMB-0089746</t>
        </is>
      </c>
      <c r="C445" s="4" t="inlineStr">
        <is>
          <t>ALMOXARIFADO_INVERSOES_FIXAS</t>
        </is>
      </c>
      <c r="D445" s="5" t="n">
        <v>1362.89</v>
      </c>
      <c r="E445" s="5" t="n">
        <v>1362.89</v>
      </c>
      <c r="F445" s="4" t="inlineStr">
        <is>
          <t>Sem movimentacao desde antes de 01/01/2021 (avaliar obsolescencia / valor recuperavel)</t>
        </is>
      </c>
    </row>
    <row r="446">
      <c r="A446" s="4" t="inlineStr">
        <is>
          <t>T06_ALMOX_SEM_MOVIMENTO_5A</t>
        </is>
      </c>
      <c r="B446" s="4" t="inlineStr">
        <is>
          <t>IMB-0091000</t>
        </is>
      </c>
      <c r="C446" s="4" t="inlineStr">
        <is>
          <t>ALMOXARIFADO_INVERSOES_FIXAS</t>
        </is>
      </c>
      <c r="D446" s="5" t="n">
        <v>637.13</v>
      </c>
      <c r="E446" s="5" t="n">
        <v>637.13</v>
      </c>
      <c r="F446" s="4" t="inlineStr">
        <is>
          <t>Sem movimentacao desde antes de 01/01/2021 (avaliar obsolescencia / valor recuperavel)</t>
        </is>
      </c>
    </row>
    <row r="447">
      <c r="A447" s="4" t="inlineStr">
        <is>
          <t>T06_ALMOX_SEM_MOVIMENTO_5A</t>
        </is>
      </c>
      <c r="B447" s="4" t="inlineStr">
        <is>
          <t>IMB-0095118</t>
        </is>
      </c>
      <c r="C447" s="4" t="inlineStr">
        <is>
          <t>ALMOXARIFADO_INVERSOES_FIXAS</t>
        </is>
      </c>
      <c r="D447" s="5" t="n">
        <v>84.11</v>
      </c>
      <c r="E447" s="5" t="n">
        <v>84.11</v>
      </c>
      <c r="F447" s="4" t="inlineStr">
        <is>
          <t>Sem movimentacao desde antes de 01/01/2021 (avaliar obsolescencia / valor recuperavel)</t>
        </is>
      </c>
    </row>
    <row r="448">
      <c r="A448" s="4" t="inlineStr">
        <is>
          <t>T06_ALMOX_SEM_MOVIMENTO_5A</t>
        </is>
      </c>
      <c r="B448" s="4" t="inlineStr">
        <is>
          <t>IMB-0098113</t>
        </is>
      </c>
      <c r="C448" s="4" t="inlineStr">
        <is>
          <t>ALMOXARIFADO_INVERSOES_FIXAS</t>
        </is>
      </c>
      <c r="D448" s="5" t="n">
        <v>2534.13</v>
      </c>
      <c r="E448" s="5" t="n">
        <v>2534.13</v>
      </c>
      <c r="F448" s="4" t="inlineStr">
        <is>
          <t>Sem movimentacao desde antes de 01/01/2021 (avaliar obsolescencia / valor recuperavel)</t>
        </is>
      </c>
    </row>
    <row r="449">
      <c r="A449" s="4" t="inlineStr">
        <is>
          <t>T06_ALMOX_SEM_MOVIMENTO_5A</t>
        </is>
      </c>
      <c r="B449" s="4" t="inlineStr">
        <is>
          <t>IMB-0100303</t>
        </is>
      </c>
      <c r="C449" s="4" t="inlineStr">
        <is>
          <t>ALMOXARIFADO_INVERSOES_FIXAS</t>
        </is>
      </c>
      <c r="D449" s="5" t="n">
        <v>9220.889999999999</v>
      </c>
      <c r="E449" s="5" t="n">
        <v>9220.889999999999</v>
      </c>
      <c r="F449" s="4" t="inlineStr">
        <is>
          <t>Sem movimentacao desde antes de 01/01/2021 (avaliar obsolescencia / valor recuperavel)</t>
        </is>
      </c>
    </row>
    <row r="450">
      <c r="A450" s="4" t="inlineStr">
        <is>
          <t>T06_ALMOX_SEM_MOVIMENTO_5A</t>
        </is>
      </c>
      <c r="B450" s="4" t="inlineStr">
        <is>
          <t>IMB-0102751</t>
        </is>
      </c>
      <c r="C450" s="4" t="inlineStr">
        <is>
          <t>ALMOXARIFADO_INVERSOES_FIXAS</t>
        </is>
      </c>
      <c r="D450" s="5" t="n">
        <v>833.75</v>
      </c>
      <c r="E450" s="5" t="n">
        <v>833.75</v>
      </c>
      <c r="F450" s="4" t="inlineStr">
        <is>
          <t>Sem movimentacao desde antes de 01/01/2021 (avaliar obsolescencia / valor recuperavel)</t>
        </is>
      </c>
    </row>
    <row r="451">
      <c r="A451" s="4" t="inlineStr">
        <is>
          <t>T06_ALMOX_SEM_MOVIMENTO_5A</t>
        </is>
      </c>
      <c r="B451" s="4" t="inlineStr">
        <is>
          <t>IMB-0112438</t>
        </is>
      </c>
      <c r="C451" s="4" t="inlineStr">
        <is>
          <t>ALMOXARIFADO_INVERSOES_FIXAS</t>
        </is>
      </c>
      <c r="D451" s="5" t="n">
        <v>211.27</v>
      </c>
      <c r="E451" s="5" t="n">
        <v>211.27</v>
      </c>
      <c r="F451" s="4" t="inlineStr">
        <is>
          <t>Sem movimentacao desde antes de 01/01/2021 (avaliar obsolescencia / valor recuperavel)</t>
        </is>
      </c>
    </row>
    <row r="452">
      <c r="A452" s="4" t="inlineStr">
        <is>
          <t>T06_ALMOX_SEM_MOVIMENTO_5A</t>
        </is>
      </c>
      <c r="B452" s="4" t="inlineStr">
        <is>
          <t>IMB-0121684</t>
        </is>
      </c>
      <c r="C452" s="4" t="inlineStr">
        <is>
          <t>ALMOXARIFADO_INVERSOES_FIXAS</t>
        </is>
      </c>
      <c r="D452" s="5" t="n">
        <v>5260.01</v>
      </c>
      <c r="E452" s="5" t="n">
        <v>5260.01</v>
      </c>
      <c r="F452" s="4" t="inlineStr">
        <is>
          <t>Sem movimentacao desde antes de 01/01/2021 (avaliar obsolescencia / valor recuperavel)</t>
        </is>
      </c>
    </row>
    <row r="453">
      <c r="A453" s="4" t="inlineStr">
        <is>
          <t>T06_ALMOX_SEM_MOVIMENTO_5A</t>
        </is>
      </c>
      <c r="B453" s="4" t="inlineStr">
        <is>
          <t>IMB-0126305</t>
        </is>
      </c>
      <c r="C453" s="4" t="inlineStr">
        <is>
          <t>ALMOXARIFADO_INVERSOES_FIXAS</t>
        </is>
      </c>
      <c r="D453" s="5" t="n">
        <v>2768.15</v>
      </c>
      <c r="E453" s="5" t="n">
        <v>2768.15</v>
      </c>
      <c r="F453" s="4" t="inlineStr">
        <is>
          <t>Sem movimentacao desde antes de 01/01/2021 (avaliar obsolescencia / valor recuperavel)</t>
        </is>
      </c>
    </row>
    <row r="454">
      <c r="A454" s="4" t="inlineStr">
        <is>
          <t>T06_ALMOX_SEM_MOVIMENTO_5A</t>
        </is>
      </c>
      <c r="B454" s="4" t="inlineStr">
        <is>
          <t>IMB-0128701</t>
        </is>
      </c>
      <c r="C454" s="4" t="inlineStr">
        <is>
          <t>ALMOXARIFADO_INVERSOES_FIXAS</t>
        </is>
      </c>
      <c r="D454" s="5" t="n">
        <v>615.4</v>
      </c>
      <c r="E454" s="5" t="n">
        <v>615.4</v>
      </c>
      <c r="F454" s="4" t="inlineStr">
        <is>
          <t>Sem movimentacao desde antes de 01/01/2021 (avaliar obsolescencia / valor recuperavel)</t>
        </is>
      </c>
    </row>
    <row r="455">
      <c r="A455" s="4" t="inlineStr">
        <is>
          <t>T06_ALMOX_SEM_MOVIMENTO_5A</t>
        </is>
      </c>
      <c r="B455" s="4" t="inlineStr">
        <is>
          <t>IMB-0131265</t>
        </is>
      </c>
      <c r="C455" s="4" t="inlineStr">
        <is>
          <t>ALMOXARIFADO_INVERSOES_FIXAS</t>
        </is>
      </c>
      <c r="D455" s="5" t="n">
        <v>17336.56</v>
      </c>
      <c r="E455" s="5" t="n">
        <v>17336.56</v>
      </c>
      <c r="F455" s="4" t="inlineStr">
        <is>
          <t>Sem movimentacao desde antes de 01/01/2021 (avaliar obsolescencia / valor recuperavel)</t>
        </is>
      </c>
    </row>
    <row r="456">
      <c r="A456" s="4" t="inlineStr">
        <is>
          <t>T06_ALMOX_SEM_MOVIMENTO_5A</t>
        </is>
      </c>
      <c r="B456" s="4" t="inlineStr">
        <is>
          <t>IMB-0139344</t>
        </is>
      </c>
      <c r="C456" s="4" t="inlineStr">
        <is>
          <t>ALMOXARIFADO_INVERSOES_FIXAS</t>
        </is>
      </c>
      <c r="D456" s="5" t="n">
        <v>1244.24</v>
      </c>
      <c r="E456" s="5" t="n">
        <v>1244.24</v>
      </c>
      <c r="F456" s="4" t="inlineStr">
        <is>
          <t>Sem movimentacao desde antes de 01/01/2021 (avaliar obsolescencia / valor recuperavel)</t>
        </is>
      </c>
    </row>
    <row r="457">
      <c r="A457" s="4" t="inlineStr">
        <is>
          <t>T06_ALMOX_SEM_MOVIMENTO_5A</t>
        </is>
      </c>
      <c r="B457" s="4" t="inlineStr">
        <is>
          <t>IMB-0141212</t>
        </is>
      </c>
      <c r="C457" s="4" t="inlineStr">
        <is>
          <t>ALMOXARIFADO_INVERSOES_FIXAS</t>
        </is>
      </c>
      <c r="D457" s="5" t="n">
        <v>4648.43</v>
      </c>
      <c r="E457" s="5" t="n">
        <v>4648.43</v>
      </c>
      <c r="F457" s="4" t="inlineStr">
        <is>
          <t>Sem movimentacao desde antes de 01/01/2021 (avaliar obsolescencia / valor recuperavel)</t>
        </is>
      </c>
    </row>
    <row r="458">
      <c r="A458" s="4" t="inlineStr">
        <is>
          <t>T06_ALMOX_SEM_MOVIMENTO_5A</t>
        </is>
      </c>
      <c r="B458" s="4" t="inlineStr">
        <is>
          <t>IMB-0145348</t>
        </is>
      </c>
      <c r="C458" s="4" t="inlineStr">
        <is>
          <t>ALMOXARIFADO_INVERSOES_FIXAS</t>
        </is>
      </c>
      <c r="D458" s="5" t="n">
        <v>2099.03</v>
      </c>
      <c r="E458" s="5" t="n">
        <v>2099.03</v>
      </c>
      <c r="F458" s="4" t="inlineStr">
        <is>
          <t>Sem movimentacao desde antes de 01/01/2021 (avaliar obsolescencia / valor recuperavel)</t>
        </is>
      </c>
    </row>
    <row r="459">
      <c r="A459" s="4" t="inlineStr">
        <is>
          <t>T06_ALMOX_SEM_MOVIMENTO_5A</t>
        </is>
      </c>
      <c r="B459" s="4" t="inlineStr">
        <is>
          <t>IMB-0146588</t>
        </is>
      </c>
      <c r="C459" s="4" t="inlineStr">
        <is>
          <t>ALMOXARIFADO_INVERSOES_FIXAS</t>
        </is>
      </c>
      <c r="D459" s="5" t="n">
        <v>21622.04</v>
      </c>
      <c r="E459" s="5" t="n">
        <v>21622.04</v>
      </c>
      <c r="F459" s="4" t="inlineStr">
        <is>
          <t>Sem movimentacao desde antes de 01/01/2021 (avaliar obsolescencia / valor recuperavel)</t>
        </is>
      </c>
    </row>
    <row r="460">
      <c r="A460" s="4" t="inlineStr">
        <is>
          <t>T06_ALMOX_SEM_MOVIMENTO_5A</t>
        </is>
      </c>
      <c r="B460" s="4" t="inlineStr">
        <is>
          <t>IMB-0151107</t>
        </is>
      </c>
      <c r="C460" s="4" t="inlineStr">
        <is>
          <t>ALMOXARIFADO_INVERSOES_FIXAS</t>
        </is>
      </c>
      <c r="D460" s="5" t="n">
        <v>201.1</v>
      </c>
      <c r="E460" s="5" t="n">
        <v>201.1</v>
      </c>
      <c r="F460" s="4" t="inlineStr">
        <is>
          <t>Sem movimentacao desde antes de 01/01/2021 (avaliar obsolescencia / valor recuperavel)</t>
        </is>
      </c>
    </row>
    <row r="461">
      <c r="A461" s="4" t="inlineStr">
        <is>
          <t>T06_ALMOX_SEM_MOVIMENTO_5A</t>
        </is>
      </c>
      <c r="B461" s="4" t="inlineStr">
        <is>
          <t>IMB-0157738</t>
        </is>
      </c>
      <c r="C461" s="4" t="inlineStr">
        <is>
          <t>ALMOXARIFADO_INVERSOES_FIXAS</t>
        </is>
      </c>
      <c r="D461" s="5" t="n">
        <v>725.85</v>
      </c>
      <c r="E461" s="5" t="n">
        <v>725.85</v>
      </c>
      <c r="F461" s="4" t="inlineStr">
        <is>
          <t>Sem movimentacao desde antes de 01/01/2021 (avaliar obsolescencia / valor recuperavel)</t>
        </is>
      </c>
    </row>
    <row r="462">
      <c r="A462" s="4" t="inlineStr">
        <is>
          <t>T06_ALMOX_SEM_MOVIMENTO_5A</t>
        </is>
      </c>
      <c r="B462" s="4" t="inlineStr">
        <is>
          <t>IMB-0181753</t>
        </is>
      </c>
      <c r="C462" s="4" t="inlineStr">
        <is>
          <t>ALMOXARIFADO_INVERSOES_FIXAS</t>
        </is>
      </c>
      <c r="D462" s="5" t="n">
        <v>10121</v>
      </c>
      <c r="E462" s="5" t="n">
        <v>10121</v>
      </c>
      <c r="F462" s="4" t="inlineStr">
        <is>
          <t>Sem movimentacao desde antes de 01/01/2021 (avaliar obsolescencia / valor recuperavel)</t>
        </is>
      </c>
    </row>
    <row r="463">
      <c r="A463" s="4" t="inlineStr">
        <is>
          <t>T06_ALMOX_SEM_MOVIMENTO_5A</t>
        </is>
      </c>
      <c r="B463" s="4" t="inlineStr">
        <is>
          <t>IMB-0184679</t>
        </is>
      </c>
      <c r="C463" s="4" t="inlineStr">
        <is>
          <t>ALMOXARIFADO_INVERSOES_FIXAS</t>
        </is>
      </c>
      <c r="D463" s="5" t="n">
        <v>783.09</v>
      </c>
      <c r="E463" s="5" t="n">
        <v>783.09</v>
      </c>
      <c r="F463" s="4" t="inlineStr">
        <is>
          <t>Sem movimentacao desde antes de 01/01/2021 (avaliar obsolescencia / valor recuperavel)</t>
        </is>
      </c>
    </row>
    <row r="464">
      <c r="A464" s="4" t="inlineStr">
        <is>
          <t>T06_ALMOX_SEM_MOVIMENTO_5A</t>
        </is>
      </c>
      <c r="B464" s="4" t="inlineStr">
        <is>
          <t>IMB-0185291</t>
        </is>
      </c>
      <c r="C464" s="4" t="inlineStr">
        <is>
          <t>ALMOXARIFADO_INVERSOES_FIXAS</t>
        </is>
      </c>
      <c r="D464" s="5" t="n">
        <v>4175.8</v>
      </c>
      <c r="E464" s="5" t="n">
        <v>4175.8</v>
      </c>
      <c r="F464" s="4" t="inlineStr">
        <is>
          <t>Sem movimentacao desde antes de 01/01/2021 (avaliar obsolescencia / valor recuperavel)</t>
        </is>
      </c>
    </row>
    <row r="465">
      <c r="A465" s="4" t="inlineStr">
        <is>
          <t>T06_ALMOX_SEM_MOVIMENTO_5A</t>
        </is>
      </c>
      <c r="B465" s="4" t="inlineStr">
        <is>
          <t>IMB-0191187</t>
        </is>
      </c>
      <c r="C465" s="4" t="inlineStr">
        <is>
          <t>ALMOXARIFADO_INVERSOES_FIXAS</t>
        </is>
      </c>
      <c r="D465" s="5" t="n">
        <v>2048.32</v>
      </c>
      <c r="E465" s="5" t="n">
        <v>2048.32</v>
      </c>
      <c r="F465" s="4" t="inlineStr">
        <is>
          <t>Sem movimentacao desde antes de 01/01/2021 (avaliar obsolescencia / valor recuperavel)</t>
        </is>
      </c>
    </row>
    <row r="466">
      <c r="A466" s="4" t="inlineStr">
        <is>
          <t>T06_ALMOX_SEM_MOVIMENTO_5A</t>
        </is>
      </c>
      <c r="B466" s="4" t="inlineStr">
        <is>
          <t>IMB-0197212</t>
        </is>
      </c>
      <c r="C466" s="4" t="inlineStr">
        <is>
          <t>ALMOXARIFADO_INVERSOES_FIXAS</t>
        </is>
      </c>
      <c r="D466" s="5" t="n">
        <v>1289.91</v>
      </c>
      <c r="E466" s="5" t="n">
        <v>1289.91</v>
      </c>
      <c r="F466" s="4" t="inlineStr">
        <is>
          <t>Sem movimentacao desde antes de 01/01/2021 (avaliar obsolescencia / valor recuperavel)</t>
        </is>
      </c>
    </row>
    <row r="467">
      <c r="A467" s="4" t="inlineStr">
        <is>
          <t>T06_ALMOX_SEM_MOVIMENTO_5A</t>
        </is>
      </c>
      <c r="B467" s="4" t="inlineStr">
        <is>
          <t>IMB-0202788</t>
        </is>
      </c>
      <c r="C467" s="4" t="inlineStr">
        <is>
          <t>ALMOXARIFADO_INVERSOES_FIXAS</t>
        </is>
      </c>
      <c r="D467" s="5" t="n">
        <v>603.53</v>
      </c>
      <c r="E467" s="5" t="n">
        <v>603.53</v>
      </c>
      <c r="F467" s="4" t="inlineStr">
        <is>
          <t>Sem movimentacao desde antes de 01/01/2021 (avaliar obsolescencia / valor recuperavel)</t>
        </is>
      </c>
    </row>
    <row r="468">
      <c r="A468" s="4" t="inlineStr">
        <is>
          <t>T06_ALMOX_SEM_MOVIMENTO_5A</t>
        </is>
      </c>
      <c r="B468" s="4" t="inlineStr">
        <is>
          <t>IMB-0210505</t>
        </is>
      </c>
      <c r="C468" s="4" t="inlineStr">
        <is>
          <t>ALMOXARIFADO_INVERSOES_FIXAS</t>
        </is>
      </c>
      <c r="D468" s="5" t="n">
        <v>464.16</v>
      </c>
      <c r="E468" s="5" t="n">
        <v>464.16</v>
      </c>
      <c r="F468" s="4" t="inlineStr">
        <is>
          <t>Sem movimentacao desde antes de 01/01/2021 (avaliar obsolescencia / valor recuperavel)</t>
        </is>
      </c>
    </row>
    <row r="469">
      <c r="A469" s="4" t="inlineStr">
        <is>
          <t>T06_ALMOX_SEM_MOVIMENTO_5A</t>
        </is>
      </c>
      <c r="B469" s="4" t="inlineStr">
        <is>
          <t>IMB-0216086</t>
        </is>
      </c>
      <c r="C469" s="4" t="inlineStr">
        <is>
          <t>ALMOXARIFADO_INVERSOES_FIXAS</t>
        </is>
      </c>
      <c r="D469" s="5" t="n">
        <v>1691.78</v>
      </c>
      <c r="E469" s="5" t="n">
        <v>1691.78</v>
      </c>
      <c r="F469" s="4" t="inlineStr">
        <is>
          <t>Sem movimentacao desde antes de 01/01/2021 (avaliar obsolescencia / valor recuperavel)</t>
        </is>
      </c>
    </row>
    <row r="470">
      <c r="A470" s="4" t="inlineStr">
        <is>
          <t>T06_ALMOX_SEM_MOVIMENTO_5A</t>
        </is>
      </c>
      <c r="B470" s="4" t="inlineStr">
        <is>
          <t>IMB-0237652</t>
        </is>
      </c>
      <c r="C470" s="4" t="inlineStr">
        <is>
          <t>ALMOXARIFADO_INVERSOES_FIXAS</t>
        </is>
      </c>
      <c r="D470" s="5" t="n">
        <v>971.03</v>
      </c>
      <c r="E470" s="5" t="n">
        <v>971.03</v>
      </c>
      <c r="F470" s="4" t="inlineStr">
        <is>
          <t>Sem movimentacao desde antes de 01/01/2021 (avaliar obsolescencia / valor recuperavel)</t>
        </is>
      </c>
    </row>
    <row r="471">
      <c r="A471" s="4" t="inlineStr">
        <is>
          <t>T06_ALMOX_SEM_MOVIMENTO_5A</t>
        </is>
      </c>
      <c r="B471" s="4" t="inlineStr">
        <is>
          <t>IMB-0249750</t>
        </is>
      </c>
      <c r="C471" s="4" t="inlineStr">
        <is>
          <t>ALMOXARIFADO_INVERSOES_FIXAS</t>
        </is>
      </c>
      <c r="D471" s="5" t="n">
        <v>1906.24</v>
      </c>
      <c r="E471" s="5" t="n">
        <v>1906.24</v>
      </c>
      <c r="F471" s="4" t="inlineStr">
        <is>
          <t>Sem movimentacao desde antes de 01/01/2021 (avaliar obsolescencia / valor recuperavel)</t>
        </is>
      </c>
    </row>
    <row r="472">
      <c r="A472" s="4" t="inlineStr">
        <is>
          <t>T06_ALMOX_SEM_MOVIMENTO_5A</t>
        </is>
      </c>
      <c r="B472" s="4" t="inlineStr">
        <is>
          <t>IMB-0251079</t>
        </is>
      </c>
      <c r="C472" s="4" t="inlineStr">
        <is>
          <t>ALMOXARIFADO_INVERSOES_FIXAS</t>
        </is>
      </c>
      <c r="D472" s="5" t="n">
        <v>9336.049999999999</v>
      </c>
      <c r="E472" s="5" t="n">
        <v>9336.049999999999</v>
      </c>
      <c r="F472" s="4" t="inlineStr">
        <is>
          <t>Sem movimentacao desde antes de 01/01/2021 (avaliar obsolescencia / valor recuperavel)</t>
        </is>
      </c>
    </row>
    <row r="473">
      <c r="A473" s="4" t="inlineStr">
        <is>
          <t>T06_ALMOX_SEM_MOVIMENTO_5A</t>
        </is>
      </c>
      <c r="B473" s="4" t="inlineStr">
        <is>
          <t>IMB-0254982</t>
        </is>
      </c>
      <c r="C473" s="4" t="inlineStr">
        <is>
          <t>ALMOXARIFADO_INVERSOES_FIXAS</t>
        </is>
      </c>
      <c r="D473" s="5" t="n">
        <v>3632.73</v>
      </c>
      <c r="E473" s="5" t="n">
        <v>3632.73</v>
      </c>
      <c r="F473" s="4" t="inlineStr">
        <is>
          <t>Sem movimentacao desde antes de 01/01/2021 (avaliar obsolescencia / valor recuperavel)</t>
        </is>
      </c>
    </row>
    <row r="474">
      <c r="A474" s="4" t="inlineStr">
        <is>
          <t>T06_ALMOX_SEM_MOVIMENTO_5A</t>
        </is>
      </c>
      <c r="B474" s="4" t="inlineStr">
        <is>
          <t>IMB-0257560</t>
        </is>
      </c>
      <c r="C474" s="4" t="inlineStr">
        <is>
          <t>ALMOXARIFADO_INVERSOES_FIXAS</t>
        </is>
      </c>
      <c r="D474" s="5" t="n">
        <v>1931.57</v>
      </c>
      <c r="E474" s="5" t="n">
        <v>1931.57</v>
      </c>
      <c r="F474" s="4" t="inlineStr">
        <is>
          <t>Sem movimentacao desde antes de 01/01/2021 (avaliar obsolescencia / valor recuperavel)</t>
        </is>
      </c>
    </row>
    <row r="475">
      <c r="A475" s="4" t="inlineStr">
        <is>
          <t>T06_ALMOX_SEM_MOVIMENTO_5A</t>
        </is>
      </c>
      <c r="B475" s="4" t="inlineStr">
        <is>
          <t>IMB-0258014</t>
        </is>
      </c>
      <c r="C475" s="4" t="inlineStr">
        <is>
          <t>ALMOXARIFADO_INVERSOES_FIXAS</t>
        </is>
      </c>
      <c r="D475" s="5" t="n">
        <v>899.6799999999999</v>
      </c>
      <c r="E475" s="5" t="n">
        <v>899.6799999999999</v>
      </c>
      <c r="F475" s="4" t="inlineStr">
        <is>
          <t>Sem movimentacao desde antes de 01/01/2021 (avaliar obsolescencia / valor recuperavel)</t>
        </is>
      </c>
    </row>
    <row r="476">
      <c r="A476" s="4" t="inlineStr">
        <is>
          <t>T06_ALMOX_SEM_MOVIMENTO_5A</t>
        </is>
      </c>
      <c r="B476" s="4" t="inlineStr">
        <is>
          <t>IMB-0259997</t>
        </is>
      </c>
      <c r="C476" s="4" t="inlineStr">
        <is>
          <t>ALMOXARIFADO_INVERSOES_FIXAS</t>
        </is>
      </c>
      <c r="D476" s="5" t="n">
        <v>867.8200000000001</v>
      </c>
      <c r="E476" s="5" t="n">
        <v>867.8200000000001</v>
      </c>
      <c r="F476" s="4" t="inlineStr">
        <is>
          <t>Sem movimentacao desde antes de 01/01/2021 (avaliar obsolescencia / valor recuperavel)</t>
        </is>
      </c>
    </row>
    <row r="477">
      <c r="A477" s="4" t="inlineStr">
        <is>
          <t>T06_ALMOX_SEM_MOVIMENTO_5A</t>
        </is>
      </c>
      <c r="B477" s="4" t="inlineStr">
        <is>
          <t>IMB-0260707</t>
        </is>
      </c>
      <c r="C477" s="4" t="inlineStr">
        <is>
          <t>ALMOXARIFADO_INVERSOES_FIXAS</t>
        </is>
      </c>
      <c r="D477" s="5" t="n">
        <v>3822.86</v>
      </c>
      <c r="E477" s="5" t="n">
        <v>3822.86</v>
      </c>
      <c r="F477" s="4" t="inlineStr">
        <is>
          <t>Sem movimentacao desde antes de 01/01/2021 (avaliar obsolescencia / valor recuperavel)</t>
        </is>
      </c>
    </row>
    <row r="478">
      <c r="A478" s="4" t="inlineStr">
        <is>
          <t>T06_ALMOX_SEM_MOVIMENTO_5A</t>
        </is>
      </c>
      <c r="B478" s="4" t="inlineStr">
        <is>
          <t>IMB-0261842</t>
        </is>
      </c>
      <c r="C478" s="4" t="inlineStr">
        <is>
          <t>ALMOXARIFADO_INVERSOES_FIXAS</t>
        </is>
      </c>
      <c r="D478" s="5" t="n">
        <v>4075.41</v>
      </c>
      <c r="E478" s="5" t="n">
        <v>4075.41</v>
      </c>
      <c r="F478" s="4" t="inlineStr">
        <is>
          <t>Sem movimentacao desde antes de 01/01/2021 (avaliar obsolescencia / valor recuperavel)</t>
        </is>
      </c>
    </row>
    <row r="479">
      <c r="A479" s="4" t="inlineStr">
        <is>
          <t>T06_ALMOX_SEM_MOVIMENTO_5A</t>
        </is>
      </c>
      <c r="B479" s="4" t="inlineStr">
        <is>
          <t>IMB-0262031</t>
        </is>
      </c>
      <c r="C479" s="4" t="inlineStr">
        <is>
          <t>ALMOXARIFADO_INVERSOES_FIXAS</t>
        </is>
      </c>
      <c r="D479" s="5" t="n">
        <v>10036.31</v>
      </c>
      <c r="E479" s="5" t="n">
        <v>10036.31</v>
      </c>
      <c r="F479" s="4" t="inlineStr">
        <is>
          <t>Sem movimentacao desde antes de 01/01/2021 (avaliar obsolescencia / valor recuperavel)</t>
        </is>
      </c>
    </row>
    <row r="480">
      <c r="A480" s="4" t="inlineStr">
        <is>
          <t>T06_ALMOX_SEM_MOVIMENTO_5A</t>
        </is>
      </c>
      <c r="B480" s="4" t="inlineStr">
        <is>
          <t>IMB-0267326</t>
        </is>
      </c>
      <c r="C480" s="4" t="inlineStr">
        <is>
          <t>ALMOXARIFADO_INVERSOES_FIXAS</t>
        </is>
      </c>
      <c r="D480" s="5" t="n">
        <v>192.85</v>
      </c>
      <c r="E480" s="5" t="n">
        <v>192.85</v>
      </c>
      <c r="F480" s="4" t="inlineStr">
        <is>
          <t>Sem movimentacao desde antes de 01/01/2021 (avaliar obsolescencia / valor recuperavel)</t>
        </is>
      </c>
    </row>
    <row r="481">
      <c r="A481" s="4" t="inlineStr">
        <is>
          <t>T06_ALMOX_SEM_MOVIMENTO_5A</t>
        </is>
      </c>
      <c r="B481" s="4" t="inlineStr">
        <is>
          <t>IMB-0268491</t>
        </is>
      </c>
      <c r="C481" s="4" t="inlineStr">
        <is>
          <t>ALMOXARIFADO_INVERSOES_FIXAS</t>
        </is>
      </c>
      <c r="D481" s="5" t="n">
        <v>470.68</v>
      </c>
      <c r="E481" s="5" t="n">
        <v>470.68</v>
      </c>
      <c r="F481" s="4" t="inlineStr">
        <is>
          <t>Sem movimentacao desde antes de 01/01/2021 (avaliar obsolescencia / valor recuperavel)</t>
        </is>
      </c>
    </row>
    <row r="482">
      <c r="A482" s="4" t="inlineStr">
        <is>
          <t>T06_ALMOX_SEM_MOVIMENTO_5A</t>
        </is>
      </c>
      <c r="B482" s="4" t="inlineStr">
        <is>
          <t>IMB-0274219</t>
        </is>
      </c>
      <c r="C482" s="4" t="inlineStr">
        <is>
          <t>ALMOXARIFADO_INVERSOES_FIXAS</t>
        </is>
      </c>
      <c r="D482" s="5" t="n">
        <v>1716.01</v>
      </c>
      <c r="E482" s="5" t="n">
        <v>1716.01</v>
      </c>
      <c r="F482" s="4" t="inlineStr">
        <is>
          <t>Sem movimentacao desde antes de 01/01/2021 (avaliar obsolescencia / valor recuperavel)</t>
        </is>
      </c>
    </row>
    <row r="483">
      <c r="A483" s="4" t="inlineStr">
        <is>
          <t>T06_ALMOX_SEM_MOVIMENTO_5A</t>
        </is>
      </c>
      <c r="B483" s="4" t="inlineStr">
        <is>
          <t>IMB-0278037</t>
        </is>
      </c>
      <c r="C483" s="4" t="inlineStr">
        <is>
          <t>ALMOXARIFADO_INVERSOES_FIXAS</t>
        </is>
      </c>
      <c r="D483" s="5" t="n">
        <v>1013.46</v>
      </c>
      <c r="E483" s="5" t="n">
        <v>1013.46</v>
      </c>
      <c r="F483" s="4" t="inlineStr">
        <is>
          <t>Sem movimentacao desde antes de 01/01/2021 (avaliar obsolescencia / valor recuperavel)</t>
        </is>
      </c>
    </row>
    <row r="484">
      <c r="A484" s="4" t="inlineStr">
        <is>
          <t>T06_ALMOX_SEM_MOVIMENTO_5A</t>
        </is>
      </c>
      <c r="B484" s="4" t="inlineStr">
        <is>
          <t>IMB-0283566</t>
        </is>
      </c>
      <c r="C484" s="4" t="inlineStr">
        <is>
          <t>ALMOXARIFADO_INVERSOES_FIXAS</t>
        </is>
      </c>
      <c r="D484" s="5" t="n">
        <v>7140.92</v>
      </c>
      <c r="E484" s="5" t="n">
        <v>7140.92</v>
      </c>
      <c r="F484" s="4" t="inlineStr">
        <is>
          <t>Sem movimentacao desde antes de 01/01/2021 (avaliar obsolescencia / valor recuperavel)</t>
        </is>
      </c>
    </row>
    <row r="485">
      <c r="A485" s="4" t="inlineStr">
        <is>
          <t>T06_ALMOX_SEM_MOVIMENTO_5A</t>
        </is>
      </c>
      <c r="B485" s="4" t="inlineStr">
        <is>
          <t>IMB-0290443</t>
        </is>
      </c>
      <c r="C485" s="4" t="inlineStr">
        <is>
          <t>ALMOXARIFADO_INVERSOES_FIXAS</t>
        </is>
      </c>
      <c r="D485" s="5" t="n">
        <v>1842.28</v>
      </c>
      <c r="E485" s="5" t="n">
        <v>1842.28</v>
      </c>
      <c r="F485" s="4" t="inlineStr">
        <is>
          <t>Sem movimentacao desde antes de 01/01/2021 (avaliar obsolescencia / valor recuperavel)</t>
        </is>
      </c>
    </row>
    <row r="486">
      <c r="A486" s="4" t="inlineStr">
        <is>
          <t>T06_ALMOX_SEM_MOVIMENTO_5A</t>
        </is>
      </c>
      <c r="B486" s="4" t="inlineStr">
        <is>
          <t>IMB-0296285</t>
        </is>
      </c>
      <c r="C486" s="4" t="inlineStr">
        <is>
          <t>ALMOXARIFADO_INVERSOES_FIXAS</t>
        </is>
      </c>
      <c r="D486" s="5" t="n">
        <v>4272.48</v>
      </c>
      <c r="E486" s="5" t="n">
        <v>4272.48</v>
      </c>
      <c r="F486" s="4" t="inlineStr">
        <is>
          <t>Sem movimentacao desde antes de 01/01/2021 (avaliar obsolescencia / valor recuperavel)</t>
        </is>
      </c>
    </row>
    <row r="487">
      <c r="A487" s="4" t="inlineStr">
        <is>
          <t>T06_ALMOX_SEM_MOVIMENTO_5A</t>
        </is>
      </c>
      <c r="B487" s="4" t="inlineStr">
        <is>
          <t>IMB-0297546</t>
        </is>
      </c>
      <c r="C487" s="4" t="inlineStr">
        <is>
          <t>ALMOXARIFADO_INVERSOES_FIXAS</t>
        </is>
      </c>
      <c r="D487" s="5" t="n">
        <v>1816.84</v>
      </c>
      <c r="E487" s="5" t="n">
        <v>1816.84</v>
      </c>
      <c r="F487" s="4" t="inlineStr">
        <is>
          <t>Sem movimentacao desde antes de 01/01/2021 (avaliar obsolescencia / valor recuperavel)</t>
        </is>
      </c>
    </row>
    <row r="488">
      <c r="A488" s="4" t="inlineStr">
        <is>
          <t>T06_ALMOX_SEM_MOVIMENTO_5A</t>
        </is>
      </c>
      <c r="B488" s="4" t="inlineStr">
        <is>
          <t>IMB-0318713</t>
        </is>
      </c>
      <c r="C488" s="4" t="inlineStr">
        <is>
          <t>ALMOXARIFADO_INVERSOES_FIXAS</t>
        </is>
      </c>
      <c r="D488" s="5" t="n">
        <v>425.98</v>
      </c>
      <c r="E488" s="5" t="n">
        <v>425.98</v>
      </c>
      <c r="F488" s="4" t="inlineStr">
        <is>
          <t>Sem movimentacao desde antes de 01/01/2021 (avaliar obsolescencia / valor recuperavel)</t>
        </is>
      </c>
    </row>
    <row r="489">
      <c r="A489" s="4" t="inlineStr">
        <is>
          <t>T06_ALMOX_SEM_MOVIMENTO_5A</t>
        </is>
      </c>
      <c r="B489" s="4" t="inlineStr">
        <is>
          <t>IMB-0319030</t>
        </is>
      </c>
      <c r="C489" s="4" t="inlineStr">
        <is>
          <t>ALMOXARIFADO_INVERSOES_FIXAS</t>
        </is>
      </c>
      <c r="D489" s="5" t="n">
        <v>6871.62</v>
      </c>
      <c r="E489" s="5" t="n">
        <v>6871.62</v>
      </c>
      <c r="F489" s="4" t="inlineStr">
        <is>
          <t>Sem movimentacao desde antes de 01/01/2021 (avaliar obsolescencia / valor recuperavel)</t>
        </is>
      </c>
    </row>
    <row r="490">
      <c r="A490" s="4" t="inlineStr">
        <is>
          <t>T06_ALMOX_SEM_MOVIMENTO_5A</t>
        </is>
      </c>
      <c r="B490" s="4" t="inlineStr">
        <is>
          <t>IMB-0319692</t>
        </is>
      </c>
      <c r="C490" s="4" t="inlineStr">
        <is>
          <t>ALMOXARIFADO_INVERSOES_FIXAS</t>
        </is>
      </c>
      <c r="D490" s="5" t="n">
        <v>588.37</v>
      </c>
      <c r="E490" s="5" t="n">
        <v>588.37</v>
      </c>
      <c r="F490" s="4" t="inlineStr">
        <is>
          <t>Sem movimentacao desde antes de 01/01/2021 (avaliar obsolescencia / valor recuperavel)</t>
        </is>
      </c>
    </row>
    <row r="491">
      <c r="A491" s="4" t="inlineStr">
        <is>
          <t>T06_ALMOX_SEM_MOVIMENTO_5A</t>
        </is>
      </c>
      <c r="B491" s="4" t="inlineStr">
        <is>
          <t>IMB-0323701</t>
        </is>
      </c>
      <c r="C491" s="4" t="inlineStr">
        <is>
          <t>ALMOXARIFADO_INVERSOES_FIXAS</t>
        </is>
      </c>
      <c r="D491" s="5" t="n">
        <v>1507.06</v>
      </c>
      <c r="E491" s="5" t="n">
        <v>1507.06</v>
      </c>
      <c r="F491" s="4" t="inlineStr">
        <is>
          <t>Sem movimentacao desde antes de 01/01/2021 (avaliar obsolescencia / valor recuperavel)</t>
        </is>
      </c>
    </row>
    <row r="492">
      <c r="A492" s="4" t="inlineStr">
        <is>
          <t>T06_ALMOX_SEM_MOVIMENTO_5A</t>
        </is>
      </c>
      <c r="B492" s="4" t="inlineStr">
        <is>
          <t>IMB-0325465</t>
        </is>
      </c>
      <c r="C492" s="4" t="inlineStr">
        <is>
          <t>ALMOXARIFADO_INVERSOES_FIXAS</t>
        </is>
      </c>
      <c r="D492" s="5" t="n">
        <v>579.99</v>
      </c>
      <c r="E492" s="5" t="n">
        <v>579.99</v>
      </c>
      <c r="F492" s="4" t="inlineStr">
        <is>
          <t>Sem movimentacao desde antes de 01/01/2021 (avaliar obsolescencia / valor recuperavel)</t>
        </is>
      </c>
    </row>
    <row r="493">
      <c r="A493" s="4" t="inlineStr">
        <is>
          <t>T06_ALMOX_SEM_MOVIMENTO_5A</t>
        </is>
      </c>
      <c r="B493" s="4" t="inlineStr">
        <is>
          <t>IMB-0341867</t>
        </is>
      </c>
      <c r="C493" s="4" t="inlineStr">
        <is>
          <t>ALMOXARIFADO_INVERSOES_FIXAS</t>
        </is>
      </c>
      <c r="D493" s="5" t="n">
        <v>3311.35</v>
      </c>
      <c r="E493" s="5" t="n">
        <v>3311.35</v>
      </c>
      <c r="F493" s="4" t="inlineStr">
        <is>
          <t>Sem movimentacao desde antes de 01/01/2021 (avaliar obsolescencia / valor recuperavel)</t>
        </is>
      </c>
    </row>
    <row r="494">
      <c r="A494" s="4" t="inlineStr">
        <is>
          <t>T06_ALMOX_SEM_MOVIMENTO_5A</t>
        </is>
      </c>
      <c r="B494" s="4" t="inlineStr">
        <is>
          <t>IMB-0344380</t>
        </is>
      </c>
      <c r="C494" s="4" t="inlineStr">
        <is>
          <t>ALMOXARIFADO_INVERSOES_FIXAS</t>
        </is>
      </c>
      <c r="D494" s="5" t="n">
        <v>1681.24</v>
      </c>
      <c r="E494" s="5" t="n">
        <v>1681.24</v>
      </c>
      <c r="F494" s="4" t="inlineStr">
        <is>
          <t>Sem movimentacao desde antes de 01/01/2021 (avaliar obsolescencia / valor recuperavel)</t>
        </is>
      </c>
    </row>
    <row r="495">
      <c r="A495" s="4" t="inlineStr">
        <is>
          <t>T06_ALMOX_SEM_MOVIMENTO_5A</t>
        </is>
      </c>
      <c r="B495" s="4" t="inlineStr">
        <is>
          <t>IMB-0353394</t>
        </is>
      </c>
      <c r="C495" s="4" t="inlineStr">
        <is>
          <t>ALMOXARIFADO_INVERSOES_FIXAS</t>
        </is>
      </c>
      <c r="D495" s="5" t="n">
        <v>1681.07</v>
      </c>
      <c r="E495" s="5" t="n">
        <v>1681.07</v>
      </c>
      <c r="F495" s="4" t="inlineStr">
        <is>
          <t>Sem movimentacao desde antes de 01/01/2021 (avaliar obsolescencia / valor recuperavel)</t>
        </is>
      </c>
    </row>
    <row r="496">
      <c r="A496" s="4" t="inlineStr">
        <is>
          <t>T06_ALMOX_SEM_MOVIMENTO_5A</t>
        </is>
      </c>
      <c r="B496" s="4" t="inlineStr">
        <is>
          <t>IMB-0353678</t>
        </is>
      </c>
      <c r="C496" s="4" t="inlineStr">
        <is>
          <t>ALMOXARIFADO_INVERSOES_FIXAS</t>
        </is>
      </c>
      <c r="D496" s="5" t="n">
        <v>2142.77</v>
      </c>
      <c r="E496" s="5" t="n">
        <v>2142.77</v>
      </c>
      <c r="F496" s="4" t="inlineStr">
        <is>
          <t>Sem movimentacao desde antes de 01/01/2021 (avaliar obsolescencia / valor recuperavel)</t>
        </is>
      </c>
    </row>
    <row r="497">
      <c r="A497" s="4" t="inlineStr">
        <is>
          <t>T06_ALMOX_SEM_MOVIMENTO_5A</t>
        </is>
      </c>
      <c r="B497" s="4" t="inlineStr">
        <is>
          <t>IMB-0354581</t>
        </is>
      </c>
      <c r="C497" s="4" t="inlineStr">
        <is>
          <t>ALMOXARIFADO_INVERSOES_FIXAS</t>
        </is>
      </c>
      <c r="D497" s="5" t="n">
        <v>1420.66</v>
      </c>
      <c r="E497" s="5" t="n">
        <v>1420.66</v>
      </c>
      <c r="F497" s="4" t="inlineStr">
        <is>
          <t>Sem movimentacao desde antes de 01/01/2021 (avaliar obsolescencia / valor recuperavel)</t>
        </is>
      </c>
    </row>
    <row r="498">
      <c r="A498" s="4" t="inlineStr">
        <is>
          <t>T06_ALMOX_SEM_MOVIMENTO_5A</t>
        </is>
      </c>
      <c r="B498" s="4" t="inlineStr">
        <is>
          <t>IMB-0372794</t>
        </is>
      </c>
      <c r="C498" s="4" t="inlineStr">
        <is>
          <t>ALMOXARIFADO_INVERSOES_FIXAS</t>
        </is>
      </c>
      <c r="D498" s="5" t="n">
        <v>4338.21</v>
      </c>
      <c r="E498" s="5" t="n">
        <v>4338.21</v>
      </c>
      <c r="F498" s="4" t="inlineStr">
        <is>
          <t>Sem movimentacao desde antes de 01/01/2021 (avaliar obsolescencia / valor recuperavel)</t>
        </is>
      </c>
    </row>
    <row r="499">
      <c r="A499" s="4" t="inlineStr">
        <is>
          <t>T06_ALMOX_SEM_MOVIMENTO_5A</t>
        </is>
      </c>
      <c r="B499" s="4" t="inlineStr">
        <is>
          <t>IMB-0375736</t>
        </is>
      </c>
      <c r="C499" s="4" t="inlineStr">
        <is>
          <t>ALMOXARIFADO_INVERSOES_FIXAS</t>
        </is>
      </c>
      <c r="D499" s="5" t="n">
        <v>963.01</v>
      </c>
      <c r="E499" s="5" t="n">
        <v>963.01</v>
      </c>
      <c r="F499" s="4" t="inlineStr">
        <is>
          <t>Sem movimentacao desde antes de 01/01/2021 (avaliar obsolescencia / valor recuperavel)</t>
        </is>
      </c>
    </row>
    <row r="500">
      <c r="A500" s="4" t="inlineStr">
        <is>
          <t>T06_ALMOX_SEM_MOVIMENTO_5A</t>
        </is>
      </c>
      <c r="B500" s="4" t="inlineStr">
        <is>
          <t>IMB-0376415</t>
        </is>
      </c>
      <c r="C500" s="4" t="inlineStr">
        <is>
          <t>ALMOXARIFADO_INVERSOES_FIXAS</t>
        </is>
      </c>
      <c r="D500" s="5" t="n">
        <v>2516.89</v>
      </c>
      <c r="E500" s="5" t="n">
        <v>2516.89</v>
      </c>
      <c r="F500" s="4" t="inlineStr">
        <is>
          <t>Sem movimentacao desde antes de 01/01/2021 (avaliar obsolescencia / valor recuperavel)</t>
        </is>
      </c>
    </row>
    <row r="501">
      <c r="A501" s="4" t="inlineStr">
        <is>
          <t>T06_ALMOX_SEM_MOVIMENTO_5A</t>
        </is>
      </c>
      <c r="B501" s="4" t="inlineStr">
        <is>
          <t>IMB-0384539</t>
        </is>
      </c>
      <c r="C501" s="4" t="inlineStr">
        <is>
          <t>ALMOXARIFADO_INVERSOES_FIXAS</t>
        </is>
      </c>
      <c r="D501" s="5" t="n">
        <v>920.37</v>
      </c>
      <c r="E501" s="5" t="n">
        <v>920.37</v>
      </c>
      <c r="F501" s="4" t="inlineStr">
        <is>
          <t>Sem movimentacao desde antes de 01/01/2021 (avaliar obsolescencia / valor recuperavel)</t>
        </is>
      </c>
    </row>
    <row r="502">
      <c r="A502" s="4" t="inlineStr">
        <is>
          <t>T06_ALMOX_SEM_MOVIMENTO_5A</t>
        </is>
      </c>
      <c r="B502" s="4" t="inlineStr">
        <is>
          <t>IMB-0391708</t>
        </is>
      </c>
      <c r="C502" s="4" t="inlineStr">
        <is>
          <t>ALMOXARIFADO_INVERSOES_FIXAS</t>
        </is>
      </c>
      <c r="D502" s="5" t="n">
        <v>872.04</v>
      </c>
      <c r="E502" s="5" t="n">
        <v>872.04</v>
      </c>
      <c r="F502" s="4" t="inlineStr">
        <is>
          <t>Sem movimentacao desde antes de 01/01/2021 (avaliar obsolescencia / valor recuperavel)</t>
        </is>
      </c>
    </row>
    <row r="503">
      <c r="A503" s="4" t="inlineStr">
        <is>
          <t>T06_ALMOX_SEM_MOVIMENTO_5A</t>
        </is>
      </c>
      <c r="B503" s="4" t="inlineStr">
        <is>
          <t>IMB-0393346</t>
        </is>
      </c>
      <c r="C503" s="4" t="inlineStr">
        <is>
          <t>ALMOXARIFADO_INVERSOES_FIXAS</t>
        </is>
      </c>
      <c r="D503" s="5" t="n">
        <v>84.22</v>
      </c>
      <c r="E503" s="5" t="n">
        <v>84.22</v>
      </c>
      <c r="F503" s="4" t="inlineStr">
        <is>
          <t>Sem movimentacao desde antes de 01/01/2021 (avaliar obsolescencia / valor recuperavel)</t>
        </is>
      </c>
    </row>
    <row r="504">
      <c r="A504" s="4" t="inlineStr">
        <is>
          <t>T06_ALMOX_SEM_MOVIMENTO_5A</t>
        </is>
      </c>
      <c r="B504" s="4" t="inlineStr">
        <is>
          <t>IMB-0395331</t>
        </is>
      </c>
      <c r="C504" s="4" t="inlineStr">
        <is>
          <t>ALMOXARIFADO_INVERSOES_FIXAS</t>
        </is>
      </c>
      <c r="D504" s="5" t="n">
        <v>1820.71</v>
      </c>
      <c r="E504" s="5" t="n">
        <v>1820.71</v>
      </c>
      <c r="F504" s="4" t="inlineStr">
        <is>
          <t>Sem movimentacao desde antes de 01/01/2021 (avaliar obsolescencia / valor recuperavel)</t>
        </is>
      </c>
    </row>
    <row r="505">
      <c r="A505" s="4" t="inlineStr">
        <is>
          <t>T06_ALMOX_SEM_MOVIMENTO_5A</t>
        </is>
      </c>
      <c r="B505" s="4" t="inlineStr">
        <is>
          <t>IMB-0406013</t>
        </is>
      </c>
      <c r="C505" s="4" t="inlineStr">
        <is>
          <t>ALMOXARIFADO_INVERSOES_FIXAS</t>
        </is>
      </c>
      <c r="D505" s="5" t="n">
        <v>2787.81</v>
      </c>
      <c r="E505" s="5" t="n">
        <v>2787.81</v>
      </c>
      <c r="F505" s="4" t="inlineStr">
        <is>
          <t>Sem movimentacao desde antes de 01/01/2021 (avaliar obsolescencia / valor recuperavel)</t>
        </is>
      </c>
    </row>
    <row r="506">
      <c r="A506" s="4" t="inlineStr">
        <is>
          <t>T06_ALMOX_SEM_MOVIMENTO_5A</t>
        </is>
      </c>
      <c r="B506" s="4" t="inlineStr">
        <is>
          <t>IMB-0410960</t>
        </is>
      </c>
      <c r="C506" s="4" t="inlineStr">
        <is>
          <t>ALMOXARIFADO_INVERSOES_FIXAS</t>
        </is>
      </c>
      <c r="D506" s="5" t="n">
        <v>4230.59</v>
      </c>
      <c r="E506" s="5" t="n">
        <v>4230.59</v>
      </c>
      <c r="F506" s="4" t="inlineStr">
        <is>
          <t>Sem movimentacao desde antes de 01/01/2021 (avaliar obsolescencia / valor recuperavel)</t>
        </is>
      </c>
    </row>
    <row r="507">
      <c r="A507" s="4" t="inlineStr">
        <is>
          <t>T06_ALMOX_SEM_MOVIMENTO_5A</t>
        </is>
      </c>
      <c r="B507" s="4" t="inlineStr">
        <is>
          <t>IMB-0421305</t>
        </is>
      </c>
      <c r="C507" s="4" t="inlineStr">
        <is>
          <t>ALMOXARIFADO_INVERSOES_FIXAS</t>
        </is>
      </c>
      <c r="D507" s="5" t="n">
        <v>326.25</v>
      </c>
      <c r="E507" s="5" t="n">
        <v>326.25</v>
      </c>
      <c r="F507" s="4" t="inlineStr">
        <is>
          <t>Sem movimentacao desde antes de 01/01/2021 (avaliar obsolescencia / valor recuperavel)</t>
        </is>
      </c>
    </row>
    <row r="508">
      <c r="A508" s="4" t="inlineStr">
        <is>
          <t>T06_ALMOX_SEM_MOVIMENTO_5A</t>
        </is>
      </c>
      <c r="B508" s="4" t="inlineStr">
        <is>
          <t>IMB-0427586</t>
        </is>
      </c>
      <c r="C508" s="4" t="inlineStr">
        <is>
          <t>ALMOXARIFADO_INVERSOES_FIXAS</t>
        </is>
      </c>
      <c r="D508" s="5" t="n">
        <v>149.8</v>
      </c>
      <c r="E508" s="5" t="n">
        <v>149.8</v>
      </c>
      <c r="F508" s="4" t="inlineStr">
        <is>
          <t>Sem movimentacao desde antes de 01/01/2021 (avaliar obsolescencia / valor recuperavel)</t>
        </is>
      </c>
    </row>
    <row r="509">
      <c r="A509" s="4" t="inlineStr">
        <is>
          <t>T06_ALMOX_SEM_MOVIMENTO_5A</t>
        </is>
      </c>
      <c r="B509" s="4" t="inlineStr">
        <is>
          <t>IMB-0429180</t>
        </is>
      </c>
      <c r="C509" s="4" t="inlineStr">
        <is>
          <t>ALMOXARIFADO_INVERSOES_FIXAS</t>
        </is>
      </c>
      <c r="D509" s="5" t="n">
        <v>4360.74</v>
      </c>
      <c r="E509" s="5" t="n">
        <v>4360.74</v>
      </c>
      <c r="F509" s="4" t="inlineStr">
        <is>
          <t>Sem movimentacao desde antes de 01/01/2021 (avaliar obsolescencia / valor recuperavel)</t>
        </is>
      </c>
    </row>
    <row r="510">
      <c r="A510" s="4" t="inlineStr">
        <is>
          <t>T06_ALMOX_SEM_MOVIMENTO_5A</t>
        </is>
      </c>
      <c r="B510" s="4" t="inlineStr">
        <is>
          <t>IMB-0437693</t>
        </is>
      </c>
      <c r="C510" s="4" t="inlineStr">
        <is>
          <t>ALMOXARIFADO_INVERSOES_FIXAS</t>
        </is>
      </c>
      <c r="D510" s="5" t="n">
        <v>4795.53</v>
      </c>
      <c r="E510" s="5" t="n">
        <v>4795.53</v>
      </c>
      <c r="F510" s="4" t="inlineStr">
        <is>
          <t>Sem movimentacao desde antes de 01/01/2021 (avaliar obsolescencia / valor recuperavel)</t>
        </is>
      </c>
    </row>
    <row r="511">
      <c r="A511" s="4" t="inlineStr">
        <is>
          <t>T06_ALMOX_SEM_MOVIMENTO_5A</t>
        </is>
      </c>
      <c r="B511" s="4" t="inlineStr">
        <is>
          <t>IMB-0445933</t>
        </is>
      </c>
      <c r="C511" s="4" t="inlineStr">
        <is>
          <t>ALMOXARIFADO_INVERSOES_FIXAS</t>
        </is>
      </c>
      <c r="D511" s="5" t="n">
        <v>614.2</v>
      </c>
      <c r="E511" s="5" t="n">
        <v>614.2</v>
      </c>
      <c r="F511" s="4" t="inlineStr">
        <is>
          <t>Sem movimentacao desde antes de 01/01/2021 (avaliar obsolescencia / valor recuperavel)</t>
        </is>
      </c>
    </row>
    <row r="512">
      <c r="A512" s="4" t="inlineStr">
        <is>
          <t>T06_ALMOX_SEM_MOVIMENTO_5A</t>
        </is>
      </c>
      <c r="B512" s="4" t="inlineStr">
        <is>
          <t>IMB-0461341</t>
        </is>
      </c>
      <c r="C512" s="4" t="inlineStr">
        <is>
          <t>ALMOXARIFADO_INVERSOES_FIXAS</t>
        </is>
      </c>
      <c r="D512" s="5" t="n">
        <v>2856.73</v>
      </c>
      <c r="E512" s="5" t="n">
        <v>2856.73</v>
      </c>
      <c r="F512" s="4" t="inlineStr">
        <is>
          <t>Sem movimentacao desde antes de 01/01/2021 (avaliar obsolescencia / valor recuperavel)</t>
        </is>
      </c>
    </row>
    <row r="513">
      <c r="A513" s="4" t="inlineStr">
        <is>
          <t>T06_ALMOX_SEM_MOVIMENTO_5A</t>
        </is>
      </c>
      <c r="B513" s="4" t="inlineStr">
        <is>
          <t>IMB-0461418</t>
        </is>
      </c>
      <c r="C513" s="4" t="inlineStr">
        <is>
          <t>ALMOXARIFADO_INVERSOES_FIXAS</t>
        </is>
      </c>
      <c r="D513" s="5" t="n">
        <v>785.21</v>
      </c>
      <c r="E513" s="5" t="n">
        <v>785.21</v>
      </c>
      <c r="F513" s="4" t="inlineStr">
        <is>
          <t>Sem movimentacao desde antes de 01/01/2021 (avaliar obsolescencia / valor recuperavel)</t>
        </is>
      </c>
    </row>
    <row r="514">
      <c r="A514" s="4" t="inlineStr">
        <is>
          <t>T06_ALMOX_SEM_MOVIMENTO_5A</t>
        </is>
      </c>
      <c r="B514" s="4" t="inlineStr">
        <is>
          <t>IMB-0465632</t>
        </is>
      </c>
      <c r="C514" s="4" t="inlineStr">
        <is>
          <t>ALMOXARIFADO_INVERSOES_FIXAS</t>
        </is>
      </c>
      <c r="D514" s="5" t="n">
        <v>69.06</v>
      </c>
      <c r="E514" s="5" t="n">
        <v>69.06</v>
      </c>
      <c r="F514" s="4" t="inlineStr">
        <is>
          <t>Sem movimentacao desde antes de 01/01/2021 (avaliar obsolescencia / valor recuperavel)</t>
        </is>
      </c>
    </row>
    <row r="515">
      <c r="A515" s="4" t="inlineStr">
        <is>
          <t>T06_ALMOX_SEM_MOVIMENTO_5A</t>
        </is>
      </c>
      <c r="B515" s="4" t="inlineStr">
        <is>
          <t>IMB-0477504</t>
        </is>
      </c>
      <c r="C515" s="4" t="inlineStr">
        <is>
          <t>ALMOXARIFADO_INVERSOES_FIXAS</t>
        </is>
      </c>
      <c r="D515" s="5" t="n">
        <v>397.85</v>
      </c>
      <c r="E515" s="5" t="n">
        <v>397.85</v>
      </c>
      <c r="F515" s="4" t="inlineStr">
        <is>
          <t>Sem movimentacao desde antes de 01/01/2021 (avaliar obsolescencia / valor recuperavel)</t>
        </is>
      </c>
    </row>
    <row r="516">
      <c r="A516" s="4" t="inlineStr">
        <is>
          <t>T06_ALMOX_SEM_MOVIMENTO_5A</t>
        </is>
      </c>
      <c r="B516" s="4" t="inlineStr">
        <is>
          <t>IMB-0479866</t>
        </is>
      </c>
      <c r="C516" s="4" t="inlineStr">
        <is>
          <t>ALMOXARIFADO_INVERSOES_FIXAS</t>
        </is>
      </c>
      <c r="D516" s="5" t="n">
        <v>376.71</v>
      </c>
      <c r="E516" s="5" t="n">
        <v>376.71</v>
      </c>
      <c r="F516" s="4" t="inlineStr">
        <is>
          <t>Sem movimentacao desde antes de 01/01/2021 (avaliar obsolescencia / valor recuperavel)</t>
        </is>
      </c>
    </row>
    <row r="517">
      <c r="A517" s="4" t="inlineStr">
        <is>
          <t>T06_ALMOX_SEM_MOVIMENTO_5A</t>
        </is>
      </c>
      <c r="B517" s="4" t="inlineStr">
        <is>
          <t>IMB-0485114</t>
        </is>
      </c>
      <c r="C517" s="4" t="inlineStr">
        <is>
          <t>ALMOXARIFADO_INVERSOES_FIXAS</t>
        </is>
      </c>
      <c r="D517" s="5" t="n">
        <v>847.8099999999999</v>
      </c>
      <c r="E517" s="5" t="n">
        <v>847.8099999999999</v>
      </c>
      <c r="F517" s="4" t="inlineStr">
        <is>
          <t>Sem movimentacao desde antes de 01/01/2021 (avaliar obsolescencia / valor recuperavel)</t>
        </is>
      </c>
    </row>
    <row r="518">
      <c r="A518" s="4" t="inlineStr">
        <is>
          <t>T06_ALMOX_SEM_MOVIMENTO_5A</t>
        </is>
      </c>
      <c r="B518" s="4" t="inlineStr">
        <is>
          <t>IMB-0489031</t>
        </is>
      </c>
      <c r="C518" s="4" t="inlineStr">
        <is>
          <t>ALMOXARIFADO_INVERSOES_FIXAS</t>
        </is>
      </c>
      <c r="D518" s="5" t="n">
        <v>7224.12</v>
      </c>
      <c r="E518" s="5" t="n">
        <v>7224.12</v>
      </c>
      <c r="F518" s="4" t="inlineStr">
        <is>
          <t>Sem movimentacao desde antes de 01/01/2021 (avaliar obsolescencia / valor recuperavel)</t>
        </is>
      </c>
    </row>
    <row r="519">
      <c r="A519" s="4" t="inlineStr">
        <is>
          <t>T06_ALMOX_SEM_MOVIMENTO_5A</t>
        </is>
      </c>
      <c r="B519" s="4" t="inlineStr">
        <is>
          <t>IMB-0495708</t>
        </is>
      </c>
      <c r="C519" s="4" t="inlineStr">
        <is>
          <t>ALMOXARIFADO_INVERSOES_FIXAS</t>
        </is>
      </c>
      <c r="D519" s="5" t="n">
        <v>957.64</v>
      </c>
      <c r="E519" s="5" t="n">
        <v>957.64</v>
      </c>
      <c r="F519" s="4" t="inlineStr">
        <is>
          <t>Sem movimentacao desde antes de 01/01/2021 (avaliar obsolescencia / valor recuperavel)</t>
        </is>
      </c>
    </row>
    <row r="520">
      <c r="A520" s="4" t="inlineStr">
        <is>
          <t>T06_ALMOX_SEM_MOVIMENTO_5A</t>
        </is>
      </c>
      <c r="B520" s="4" t="inlineStr">
        <is>
          <t>IMB-0500789</t>
        </is>
      </c>
      <c r="C520" s="4" t="inlineStr">
        <is>
          <t>ALMOXARIFADO_INVERSOES_FIXAS</t>
        </is>
      </c>
      <c r="D520" s="5" t="n">
        <v>4941.5</v>
      </c>
      <c r="E520" s="5" t="n">
        <v>4941.5</v>
      </c>
      <c r="F520" s="4" t="inlineStr">
        <is>
          <t>Sem movimentacao desde antes de 01/01/2021 (avaliar obsolescencia / valor recuperavel)</t>
        </is>
      </c>
    </row>
    <row r="521">
      <c r="A521" s="4" t="inlineStr">
        <is>
          <t>T06_ALMOX_SEM_MOVIMENTO_5A</t>
        </is>
      </c>
      <c r="B521" s="4" t="inlineStr">
        <is>
          <t>IMB-0501906</t>
        </is>
      </c>
      <c r="C521" s="4" t="inlineStr">
        <is>
          <t>ALMOXARIFADO_INVERSOES_FIXAS</t>
        </is>
      </c>
      <c r="D521" s="5" t="n">
        <v>3948.81</v>
      </c>
      <c r="E521" s="5" t="n">
        <v>3948.81</v>
      </c>
      <c r="F521" s="4" t="inlineStr">
        <is>
          <t>Sem movimentacao desde antes de 01/01/2021 (avaliar obsolescencia / valor recuperavel)</t>
        </is>
      </c>
    </row>
    <row r="522">
      <c r="A522" s="4" t="inlineStr">
        <is>
          <t>T06_ALMOX_SEM_MOVIMENTO_5A</t>
        </is>
      </c>
      <c r="B522" s="4" t="inlineStr">
        <is>
          <t>IMB-0508338</t>
        </is>
      </c>
      <c r="C522" s="4" t="inlineStr">
        <is>
          <t>ALMOXARIFADO_INVERSOES_FIXAS</t>
        </is>
      </c>
      <c r="D522" s="5" t="n">
        <v>34690.52</v>
      </c>
      <c r="E522" s="5" t="n">
        <v>34690.52</v>
      </c>
      <c r="F522" s="4" t="inlineStr">
        <is>
          <t>Sem movimentacao desde antes de 01/01/2021 (avaliar obsolescencia / valor recuperavel)</t>
        </is>
      </c>
    </row>
    <row r="523">
      <c r="A523" s="4" t="inlineStr">
        <is>
          <t>T06_ALMOX_SEM_MOVIMENTO_5A</t>
        </is>
      </c>
      <c r="B523" s="4" t="inlineStr">
        <is>
          <t>IMB-0517353</t>
        </is>
      </c>
      <c r="C523" s="4" t="inlineStr">
        <is>
          <t>ALMOXARIFADO_INVERSOES_FIXAS</t>
        </is>
      </c>
      <c r="D523" s="5" t="n">
        <v>2196.86</v>
      </c>
      <c r="E523" s="5" t="n">
        <v>2196.86</v>
      </c>
      <c r="F523" s="4" t="inlineStr">
        <is>
          <t>Sem movimentacao desde antes de 01/01/2021 (avaliar obsolescencia / valor recuperavel)</t>
        </is>
      </c>
    </row>
    <row r="524">
      <c r="A524" s="4" t="inlineStr">
        <is>
          <t>T07_MAKER_CHECKER</t>
        </is>
      </c>
      <c r="B524" s="4" t="inlineStr">
        <is>
          <t>IMB-0000328</t>
        </is>
      </c>
      <c r="C524" s="4" t="inlineStr">
        <is>
          <t>DESENVOLVIMENTO_CAMPOS</t>
        </is>
      </c>
      <c r="D524" s="5" t="n">
        <v>5028.04</v>
      </c>
      <c r="E524" s="5" t="n">
        <v>0</v>
      </c>
      <c r="F524" s="4" t="inlineStr">
        <is>
          <t>Cadastro sem aprovacao ou aprovado pelo proprio cadastrador</t>
        </is>
      </c>
    </row>
    <row r="525">
      <c r="A525" s="4" t="inlineStr">
        <is>
          <t>T07_MAKER_CHECKER</t>
        </is>
      </c>
      <c r="B525" s="4" t="inlineStr">
        <is>
          <t>IMB-0000835</t>
        </is>
      </c>
      <c r="C525" s="4" t="inlineStr">
        <is>
          <t>ALMOXARIFADO_INVERSOES_FIXAS</t>
        </is>
      </c>
      <c r="D525" s="5" t="n">
        <v>211.41</v>
      </c>
      <c r="E525" s="5" t="n">
        <v>0</v>
      </c>
      <c r="F525" s="4" t="inlineStr">
        <is>
          <t>Cadastro sem aprovacao ou aprovado pelo proprio cadastrador</t>
        </is>
      </c>
    </row>
    <row r="526">
      <c r="A526" s="4" t="inlineStr">
        <is>
          <t>T07_MAKER_CHECKER</t>
        </is>
      </c>
      <c r="B526" s="4" t="inlineStr">
        <is>
          <t>IMB-0001209</t>
        </is>
      </c>
      <c r="C526" s="4" t="inlineStr">
        <is>
          <t>ALMOXARIFADO_INVERSOES_FIXAS</t>
        </is>
      </c>
      <c r="D526" s="5" t="n">
        <v>1272.38</v>
      </c>
      <c r="E526" s="5" t="n">
        <v>0</v>
      </c>
      <c r="F526" s="4" t="inlineStr">
        <is>
          <t>Cadastro sem aprovacao ou aprovado pelo proprio cadastrador</t>
        </is>
      </c>
    </row>
    <row r="527">
      <c r="A527" s="4" t="inlineStr">
        <is>
          <t>T07_MAKER_CHECKER</t>
        </is>
      </c>
      <c r="B527" s="4" t="inlineStr">
        <is>
          <t>IMB-0002003</t>
        </is>
      </c>
      <c r="C527" s="4" t="inlineStr">
        <is>
          <t>ALMOXARIFADO_INVERSOES_FIXAS</t>
        </is>
      </c>
      <c r="D527" s="5" t="n">
        <v>4247.44</v>
      </c>
      <c r="E527" s="5" t="n">
        <v>0</v>
      </c>
      <c r="F527" s="4" t="inlineStr">
        <is>
          <t>Cadastro sem aprovacao ou aprovado pelo proprio cadastrador</t>
        </is>
      </c>
    </row>
    <row r="528">
      <c r="A528" s="4" t="inlineStr">
        <is>
          <t>T07_MAKER_CHECKER</t>
        </is>
      </c>
      <c r="B528" s="4" t="inlineStr">
        <is>
          <t>IMB-0003328</t>
        </is>
      </c>
      <c r="C528" s="4" t="inlineStr">
        <is>
          <t>DESENVOLVIMENTO_CAMPOS</t>
        </is>
      </c>
      <c r="D528" s="5" t="n">
        <v>547.3099999999999</v>
      </c>
      <c r="E528" s="5" t="n">
        <v>0</v>
      </c>
      <c r="F528" s="4" t="inlineStr">
        <is>
          <t>Cadastro sem aprovacao ou aprovado pelo proprio cadastrador</t>
        </is>
      </c>
    </row>
    <row r="529">
      <c r="A529" s="4" t="inlineStr">
        <is>
          <t>T07_MAKER_CHECKER</t>
        </is>
      </c>
      <c r="B529" s="4" t="inlineStr">
        <is>
          <t>IMB-0004509</t>
        </is>
      </c>
      <c r="C529" s="4" t="inlineStr">
        <is>
          <t>DESENVOLVIMENTO_CAMPOS</t>
        </is>
      </c>
      <c r="D529" s="5" t="n">
        <v>197.54</v>
      </c>
      <c r="E529" s="5" t="n">
        <v>0</v>
      </c>
      <c r="F529" s="4" t="inlineStr">
        <is>
          <t>Cadastro sem aprovacao ou aprovado pelo proprio cadastrador</t>
        </is>
      </c>
    </row>
    <row r="530">
      <c r="A530" s="4" t="inlineStr">
        <is>
          <t>T07_MAKER_CHECKER</t>
        </is>
      </c>
      <c r="B530" s="4" t="inlineStr">
        <is>
          <t>IMB-0005076</t>
        </is>
      </c>
      <c r="C530" s="4" t="inlineStr">
        <is>
          <t>ABANDONO_POCO_ARO</t>
        </is>
      </c>
      <c r="D530" s="5" t="n">
        <v>358.08</v>
      </c>
      <c r="E530" s="5" t="n">
        <v>0</v>
      </c>
      <c r="F530" s="4" t="inlineStr">
        <is>
          <t>Cadastro sem aprovacao ou aprovado pelo proprio cadastrador</t>
        </is>
      </c>
    </row>
    <row r="531">
      <c r="A531" s="4" t="inlineStr">
        <is>
          <t>T07_MAKER_CHECKER</t>
        </is>
      </c>
      <c r="B531" s="4" t="inlineStr">
        <is>
          <t>IMB-0005715</t>
        </is>
      </c>
      <c r="C531" s="4" t="inlineStr">
        <is>
          <t>ALMOXARIFADO_INVERSOES_FIXAS</t>
        </is>
      </c>
      <c r="D531" s="5" t="n">
        <v>2177.73</v>
      </c>
      <c r="E531" s="5" t="n">
        <v>0</v>
      </c>
      <c r="F531" s="4" t="inlineStr">
        <is>
          <t>Cadastro sem aprovacao ou aprovado pelo proprio cadastrador</t>
        </is>
      </c>
    </row>
    <row r="532">
      <c r="A532" s="4" t="inlineStr">
        <is>
          <t>T07_MAKER_CHECKER</t>
        </is>
      </c>
      <c r="B532" s="4" t="inlineStr">
        <is>
          <t>IMB-0006873</t>
        </is>
      </c>
      <c r="C532" s="4" t="inlineStr">
        <is>
          <t>OUTROS</t>
        </is>
      </c>
      <c r="D532" s="5" t="n">
        <v>18141</v>
      </c>
      <c r="E532" s="5" t="n">
        <v>0</v>
      </c>
      <c r="F532" s="4" t="inlineStr">
        <is>
          <t>Cadastro sem aprovacao ou aprovado pelo proprio cadastrador</t>
        </is>
      </c>
    </row>
    <row r="533">
      <c r="A533" s="4" t="inlineStr">
        <is>
          <t>T07_MAKER_CHECKER</t>
        </is>
      </c>
      <c r="B533" s="4" t="inlineStr">
        <is>
          <t>IMB-0008022</t>
        </is>
      </c>
      <c r="C533" s="4" t="inlineStr">
        <is>
          <t>ALMOXARIFADO_INVERSOES_FIXAS</t>
        </is>
      </c>
      <c r="D533" s="5" t="n">
        <v>469.33</v>
      </c>
      <c r="E533" s="5" t="n">
        <v>0</v>
      </c>
      <c r="F533" s="4" t="inlineStr">
        <is>
          <t>Cadastro sem aprovacao ou aprovado pelo proprio cadastrador</t>
        </is>
      </c>
    </row>
    <row r="534">
      <c r="A534" s="4" t="inlineStr">
        <is>
          <t>T07_MAKER_CHECKER</t>
        </is>
      </c>
      <c r="B534" s="4" t="inlineStr">
        <is>
          <t>IMB-0008482</t>
        </is>
      </c>
      <c r="C534" s="4" t="inlineStr">
        <is>
          <t>ALMOXARIFADO_INVERSOES_FIXAS</t>
        </is>
      </c>
      <c r="D534" s="5" t="n">
        <v>60.33</v>
      </c>
      <c r="E534" s="5" t="n">
        <v>0</v>
      </c>
      <c r="F534" s="4" t="inlineStr">
        <is>
          <t>Cadastro sem aprovacao ou aprovado pelo proprio cadastrador</t>
        </is>
      </c>
    </row>
    <row r="535">
      <c r="A535" s="4" t="inlineStr">
        <is>
          <t>T07_MAKER_CHECKER</t>
        </is>
      </c>
      <c r="B535" s="4" t="inlineStr">
        <is>
          <t>IMB-0009524</t>
        </is>
      </c>
      <c r="C535" s="4" t="inlineStr">
        <is>
          <t>ALMOXARIFADO_INVERSOES_FIXAS</t>
        </is>
      </c>
      <c r="D535" s="5" t="n">
        <v>670.84</v>
      </c>
      <c r="E535" s="5" t="n">
        <v>0</v>
      </c>
      <c r="F535" s="4" t="inlineStr">
        <is>
          <t>Cadastro sem aprovacao ou aprovado pelo proprio cadastrador</t>
        </is>
      </c>
    </row>
    <row r="536">
      <c r="A536" s="4" t="inlineStr">
        <is>
          <t>T07_MAKER_CHECKER</t>
        </is>
      </c>
      <c r="B536" s="4" t="inlineStr">
        <is>
          <t>IMB-0011307</t>
        </is>
      </c>
      <c r="C536" s="4" t="inlineStr">
        <is>
          <t>ALMOXARIFADO_INVERSOES_FIXAS</t>
        </is>
      </c>
      <c r="D536" s="5" t="n">
        <v>431.04</v>
      </c>
      <c r="E536" s="5" t="n">
        <v>0</v>
      </c>
      <c r="F536" s="4" t="inlineStr">
        <is>
          <t>Cadastro sem aprovacao ou aprovado pelo proprio cadastrador</t>
        </is>
      </c>
    </row>
    <row r="537">
      <c r="A537" s="4" t="inlineStr">
        <is>
          <t>T07_MAKER_CHECKER</t>
        </is>
      </c>
      <c r="B537" s="4" t="inlineStr">
        <is>
          <t>IMB-0012662</t>
        </is>
      </c>
      <c r="C537" s="4" t="inlineStr">
        <is>
          <t>ALMOXARIFADO_INVERSOES_FIXAS</t>
        </is>
      </c>
      <c r="D537" s="5" t="n">
        <v>11518.31</v>
      </c>
      <c r="E537" s="5" t="n">
        <v>0</v>
      </c>
      <c r="F537" s="4" t="inlineStr">
        <is>
          <t>Cadastro sem aprovacao ou aprovado pelo proprio cadastrador</t>
        </is>
      </c>
    </row>
    <row r="538">
      <c r="A538" s="4" t="inlineStr">
        <is>
          <t>T07_MAKER_CHECKER</t>
        </is>
      </c>
      <c r="B538" s="4" t="inlineStr">
        <is>
          <t>IMB-0015005</t>
        </is>
      </c>
      <c r="C538" s="4" t="inlineStr">
        <is>
          <t>DESENVOLVIMENTO_CAMPOS</t>
        </is>
      </c>
      <c r="D538" s="5" t="n">
        <v>1655.95</v>
      </c>
      <c r="E538" s="5" t="n">
        <v>0</v>
      </c>
      <c r="F538" s="4" t="inlineStr">
        <is>
          <t>Cadastro sem aprovacao ou aprovado pelo proprio cadastrador</t>
        </is>
      </c>
    </row>
    <row r="539">
      <c r="A539" s="4" t="inlineStr">
        <is>
          <t>T07_MAKER_CHECKER</t>
        </is>
      </c>
      <c r="B539" s="4" t="inlineStr">
        <is>
          <t>IMB-0015549</t>
        </is>
      </c>
      <c r="C539" s="4" t="inlineStr">
        <is>
          <t>ALMOXARIFADO_INVERSOES_FIXAS</t>
        </is>
      </c>
      <c r="D539" s="5" t="n">
        <v>1479</v>
      </c>
      <c r="E539" s="5" t="n">
        <v>0</v>
      </c>
      <c r="F539" s="4" t="inlineStr">
        <is>
          <t>Cadastro sem aprovacao ou aprovado pelo proprio cadastrador</t>
        </is>
      </c>
    </row>
    <row r="540">
      <c r="A540" s="4" t="inlineStr">
        <is>
          <t>T07_MAKER_CHECKER</t>
        </is>
      </c>
      <c r="B540" s="4" t="inlineStr">
        <is>
          <t>IMB-0016544</t>
        </is>
      </c>
      <c r="C540" s="4" t="inlineStr">
        <is>
          <t>ALMOXARIFADO_INVERSOES_FIXAS</t>
        </is>
      </c>
      <c r="D540" s="5" t="n">
        <v>178.98</v>
      </c>
      <c r="E540" s="5" t="n">
        <v>0</v>
      </c>
      <c r="F540" s="4" t="inlineStr">
        <is>
          <t>Cadastro sem aprovacao ou aprovado pelo proprio cadastrador</t>
        </is>
      </c>
    </row>
    <row r="541">
      <c r="A541" s="4" t="inlineStr">
        <is>
          <t>T07_MAKER_CHECKER</t>
        </is>
      </c>
      <c r="B541" s="4" t="inlineStr">
        <is>
          <t>IMB-0016650</t>
        </is>
      </c>
      <c r="C541" s="4" t="inlineStr">
        <is>
          <t>DESENVOLVIMENTO_CAMPOS</t>
        </is>
      </c>
      <c r="D541" s="5" t="n">
        <v>1254.01</v>
      </c>
      <c r="E541" s="5" t="n">
        <v>0</v>
      </c>
      <c r="F541" s="4" t="inlineStr">
        <is>
          <t>Cadastro sem aprovacao ou aprovado pelo proprio cadastrador</t>
        </is>
      </c>
    </row>
    <row r="542">
      <c r="A542" s="4" t="inlineStr">
        <is>
          <t>T07_MAKER_CHECKER</t>
        </is>
      </c>
      <c r="B542" s="4" t="inlineStr">
        <is>
          <t>IMB-0017470</t>
        </is>
      </c>
      <c r="C542" s="4" t="inlineStr">
        <is>
          <t>DESENVOLVIMENTO_CAMPOS</t>
        </is>
      </c>
      <c r="D542" s="5" t="n">
        <v>8043.57</v>
      </c>
      <c r="E542" s="5" t="n">
        <v>0</v>
      </c>
      <c r="F542" s="4" t="inlineStr">
        <is>
          <t>Cadastro sem aprovacao ou aprovado pelo proprio cadastrador</t>
        </is>
      </c>
    </row>
    <row r="543">
      <c r="A543" s="4" t="inlineStr">
        <is>
          <t>T07_MAKER_CHECKER</t>
        </is>
      </c>
      <c r="B543" s="4" t="inlineStr">
        <is>
          <t>IMB-0019733</t>
        </is>
      </c>
      <c r="C543" s="4" t="inlineStr">
        <is>
          <t>DESENVOLVIMENTO_CAMPOS</t>
        </is>
      </c>
      <c r="D543" s="5" t="n">
        <v>32498.08</v>
      </c>
      <c r="E543" s="5" t="n">
        <v>0</v>
      </c>
      <c r="F543" s="4" t="inlineStr">
        <is>
          <t>Cadastro sem aprovacao ou aprovado pelo proprio cadastrador</t>
        </is>
      </c>
    </row>
    <row r="544">
      <c r="A544" s="4" t="inlineStr">
        <is>
          <t>T07_MAKER_CHECKER</t>
        </is>
      </c>
      <c r="B544" s="4" t="inlineStr">
        <is>
          <t>IMB-0019749</t>
        </is>
      </c>
      <c r="C544" s="4" t="inlineStr">
        <is>
          <t>DESENVOLVIMENTO_CAMPOS</t>
        </is>
      </c>
      <c r="D544" s="5" t="n">
        <v>857.2</v>
      </c>
      <c r="E544" s="5" t="n">
        <v>0</v>
      </c>
      <c r="F544" s="4" t="inlineStr">
        <is>
          <t>Cadastro sem aprovacao ou aprovado pelo proprio cadastrador</t>
        </is>
      </c>
    </row>
    <row r="545">
      <c r="A545" s="4" t="inlineStr">
        <is>
          <t>T07_MAKER_CHECKER</t>
        </is>
      </c>
      <c r="B545" s="4" t="inlineStr">
        <is>
          <t>IMB-0024050</t>
        </is>
      </c>
      <c r="C545" s="4" t="inlineStr">
        <is>
          <t>DESENVOLVIMENTO_CAMPOS</t>
        </is>
      </c>
      <c r="D545" s="5" t="n">
        <v>203197.02</v>
      </c>
      <c r="E545" s="5" t="n">
        <v>0</v>
      </c>
      <c r="F545" s="4" t="inlineStr">
        <is>
          <t>Cadastro sem aprovacao ou aprovado pelo proprio cadastrador</t>
        </is>
      </c>
    </row>
    <row r="546">
      <c r="A546" s="4" t="inlineStr">
        <is>
          <t>T07_MAKER_CHECKER</t>
        </is>
      </c>
      <c r="B546" s="4" t="inlineStr">
        <is>
          <t>IMB-0024139</t>
        </is>
      </c>
      <c r="C546" s="4" t="inlineStr">
        <is>
          <t>ALMOXARIFADO_INVERSOES_FIXAS</t>
        </is>
      </c>
      <c r="D546" s="5" t="n">
        <v>5279.79</v>
      </c>
      <c r="E546" s="5" t="n">
        <v>0</v>
      </c>
      <c r="F546" s="4" t="inlineStr">
        <is>
          <t>Cadastro sem aprovacao ou aprovado pelo proprio cadastrador</t>
        </is>
      </c>
    </row>
    <row r="547">
      <c r="A547" s="4" t="inlineStr">
        <is>
          <t>T07_MAKER_CHECKER</t>
        </is>
      </c>
      <c r="B547" s="4" t="inlineStr">
        <is>
          <t>IMB-0024238</t>
        </is>
      </c>
      <c r="C547" s="4" t="inlineStr">
        <is>
          <t>ALMOXARIFADO_INVERSOES_FIXAS</t>
        </is>
      </c>
      <c r="D547" s="5" t="n">
        <v>265.17</v>
      </c>
      <c r="E547" s="5" t="n">
        <v>0</v>
      </c>
      <c r="F547" s="4" t="inlineStr">
        <is>
          <t>Cadastro sem aprovacao ou aprovado pelo proprio cadastrador</t>
        </is>
      </c>
    </row>
    <row r="548">
      <c r="A548" s="4" t="inlineStr">
        <is>
          <t>T07_MAKER_CHECKER</t>
        </is>
      </c>
      <c r="B548" s="4" t="inlineStr">
        <is>
          <t>IMB-0026096</t>
        </is>
      </c>
      <c r="C548" s="4" t="inlineStr">
        <is>
          <t>ALMOXARIFADO_INVERSOES_FIXAS</t>
        </is>
      </c>
      <c r="D548" s="5" t="n">
        <v>943.1</v>
      </c>
      <c r="E548" s="5" t="n">
        <v>0</v>
      </c>
      <c r="F548" s="4" t="inlineStr">
        <is>
          <t>Cadastro sem aprovacao ou aprovado pelo proprio cadastrador</t>
        </is>
      </c>
    </row>
    <row r="549">
      <c r="A549" s="4" t="inlineStr">
        <is>
          <t>T07_MAKER_CHECKER</t>
        </is>
      </c>
      <c r="B549" s="4" t="inlineStr">
        <is>
          <t>IMB-0029591</t>
        </is>
      </c>
      <c r="C549" s="4" t="inlineStr">
        <is>
          <t>DESENVOLVIMENTO_CAMPOS</t>
        </is>
      </c>
      <c r="D549" s="5" t="n">
        <v>1144.77</v>
      </c>
      <c r="E549" s="5" t="n">
        <v>0</v>
      </c>
      <c r="F549" s="4" t="inlineStr">
        <is>
          <t>Cadastro sem aprovacao ou aprovado pelo proprio cadastrador</t>
        </is>
      </c>
    </row>
    <row r="550">
      <c r="A550" s="4" t="inlineStr">
        <is>
          <t>T07_MAKER_CHECKER</t>
        </is>
      </c>
      <c r="B550" s="4" t="inlineStr">
        <is>
          <t>IMB-0030632</t>
        </is>
      </c>
      <c r="C550" s="4" t="inlineStr">
        <is>
          <t>MAQUINAS_EQUIPAMENTOS</t>
        </is>
      </c>
      <c r="D550" s="5" t="n">
        <v>8190.97</v>
      </c>
      <c r="E550" s="5" t="n">
        <v>0</v>
      </c>
      <c r="F550" s="4" t="inlineStr">
        <is>
          <t>Cadastro sem aprovacao ou aprovado pelo proprio cadastrador</t>
        </is>
      </c>
    </row>
    <row r="551">
      <c r="A551" s="4" t="inlineStr">
        <is>
          <t>T07_MAKER_CHECKER</t>
        </is>
      </c>
      <c r="B551" s="4" t="inlineStr">
        <is>
          <t>IMB-0031923</t>
        </is>
      </c>
      <c r="C551" s="4" t="inlineStr">
        <is>
          <t>ALMOXARIFADO_INVERSOES_FIXAS</t>
        </is>
      </c>
      <c r="D551" s="5" t="n">
        <v>972.27</v>
      </c>
      <c r="E551" s="5" t="n">
        <v>0</v>
      </c>
      <c r="F551" s="4" t="inlineStr">
        <is>
          <t>Cadastro sem aprovacao ou aprovado pelo proprio cadastrador</t>
        </is>
      </c>
    </row>
    <row r="552">
      <c r="A552" s="4" t="inlineStr">
        <is>
          <t>T07_MAKER_CHECKER</t>
        </is>
      </c>
      <c r="B552" s="4" t="inlineStr">
        <is>
          <t>IMB-0032759</t>
        </is>
      </c>
      <c r="C552" s="4" t="inlineStr">
        <is>
          <t>ALMOXARIFADO_INVERSOES_FIXAS</t>
        </is>
      </c>
      <c r="D552" s="5" t="n">
        <v>400.55</v>
      </c>
      <c r="E552" s="5" t="n">
        <v>0</v>
      </c>
      <c r="F552" s="4" t="inlineStr">
        <is>
          <t>Cadastro sem aprovacao ou aprovado pelo proprio cadastrador</t>
        </is>
      </c>
    </row>
    <row r="553">
      <c r="A553" s="4" t="inlineStr">
        <is>
          <t>T07_MAKER_CHECKER</t>
        </is>
      </c>
      <c r="B553" s="4" t="inlineStr">
        <is>
          <t>IMB-0033031</t>
        </is>
      </c>
      <c r="C553" s="4" t="inlineStr">
        <is>
          <t>DESENVOLVIMENTO_CAMPOS</t>
        </is>
      </c>
      <c r="D553" s="5" t="n">
        <v>1334.1</v>
      </c>
      <c r="E553" s="5" t="n">
        <v>0</v>
      </c>
      <c r="F553" s="4" t="inlineStr">
        <is>
          <t>Cadastro sem aprovacao ou aprovado pelo proprio cadastrador</t>
        </is>
      </c>
    </row>
    <row r="554">
      <c r="A554" s="4" t="inlineStr">
        <is>
          <t>T07_MAKER_CHECKER</t>
        </is>
      </c>
      <c r="B554" s="4" t="inlineStr">
        <is>
          <t>IMB-0033551</t>
        </is>
      </c>
      <c r="C554" s="4" t="inlineStr">
        <is>
          <t>ALMOXARIFADO_INVERSOES_FIXAS</t>
        </is>
      </c>
      <c r="D554" s="5" t="n">
        <v>414.91</v>
      </c>
      <c r="E554" s="5" t="n">
        <v>0</v>
      </c>
      <c r="F554" s="4" t="inlineStr">
        <is>
          <t>Cadastro sem aprovacao ou aprovado pelo proprio cadastrador</t>
        </is>
      </c>
    </row>
    <row r="555">
      <c r="A555" s="4" t="inlineStr">
        <is>
          <t>T07_MAKER_CHECKER</t>
        </is>
      </c>
      <c r="B555" s="4" t="inlineStr">
        <is>
          <t>IMB-0034527</t>
        </is>
      </c>
      <c r="C555" s="4" t="inlineStr">
        <is>
          <t>OUTROS</t>
        </is>
      </c>
      <c r="D555" s="5" t="n">
        <v>54.3</v>
      </c>
      <c r="E555" s="5" t="n">
        <v>0</v>
      </c>
      <c r="F555" s="4" t="inlineStr">
        <is>
          <t>Cadastro sem aprovacao ou aprovado pelo proprio cadastrador</t>
        </is>
      </c>
    </row>
    <row r="556">
      <c r="A556" s="4" t="inlineStr">
        <is>
          <t>T07_MAKER_CHECKER</t>
        </is>
      </c>
      <c r="B556" s="4" t="inlineStr">
        <is>
          <t>IMB-0034566</t>
        </is>
      </c>
      <c r="C556" s="4" t="inlineStr">
        <is>
          <t>OUTROS</t>
        </is>
      </c>
      <c r="D556" s="5" t="n">
        <v>1037.67</v>
      </c>
      <c r="E556" s="5" t="n">
        <v>0</v>
      </c>
      <c r="F556" s="4" t="inlineStr">
        <is>
          <t>Cadastro sem aprovacao ou aprovado pelo proprio cadastrador</t>
        </is>
      </c>
    </row>
    <row r="557">
      <c r="A557" s="4" t="inlineStr">
        <is>
          <t>T07_MAKER_CHECKER</t>
        </is>
      </c>
      <c r="B557" s="4" t="inlineStr">
        <is>
          <t>IMB-0034668</t>
        </is>
      </c>
      <c r="C557" s="4" t="inlineStr">
        <is>
          <t>ALMOXARIFADO_INVERSOES_FIXAS</t>
        </is>
      </c>
      <c r="D557" s="5" t="n">
        <v>4294.92</v>
      </c>
      <c r="E557" s="5" t="n">
        <v>0</v>
      </c>
      <c r="F557" s="4" t="inlineStr">
        <is>
          <t>Cadastro sem aprovacao ou aprovado pelo proprio cadastrador</t>
        </is>
      </c>
    </row>
    <row r="558">
      <c r="A558" s="4" t="inlineStr">
        <is>
          <t>T07_MAKER_CHECKER</t>
        </is>
      </c>
      <c r="B558" s="4" t="inlineStr">
        <is>
          <t>IMB-0035444</t>
        </is>
      </c>
      <c r="C558" s="4" t="inlineStr">
        <is>
          <t>ALMOXARIFADO_INVERSOES_FIXAS</t>
        </is>
      </c>
      <c r="D558" s="5" t="n">
        <v>205.14</v>
      </c>
      <c r="E558" s="5" t="n">
        <v>0</v>
      </c>
      <c r="F558" s="4" t="inlineStr">
        <is>
          <t>Cadastro sem aprovacao ou aprovado pelo proprio cadastrador</t>
        </is>
      </c>
    </row>
    <row r="559">
      <c r="A559" s="4" t="inlineStr">
        <is>
          <t>T07_MAKER_CHECKER</t>
        </is>
      </c>
      <c r="B559" s="4" t="inlineStr">
        <is>
          <t>IMB-0035473</t>
        </is>
      </c>
      <c r="C559" s="4" t="inlineStr">
        <is>
          <t>DESENVOLVIMENTO_CAMPOS</t>
        </is>
      </c>
      <c r="D559" s="5" t="n">
        <v>1100.52</v>
      </c>
      <c r="E559" s="5" t="n">
        <v>0</v>
      </c>
      <c r="F559" s="4" t="inlineStr">
        <is>
          <t>Cadastro sem aprovacao ou aprovado pelo proprio cadastrador</t>
        </is>
      </c>
    </row>
    <row r="560">
      <c r="A560" s="4" t="inlineStr">
        <is>
          <t>T07_MAKER_CHECKER</t>
        </is>
      </c>
      <c r="B560" s="4" t="inlineStr">
        <is>
          <t>IMB-0036527</t>
        </is>
      </c>
      <c r="C560" s="4" t="inlineStr">
        <is>
          <t>DESENVOLVIMENTO_CAMPOS</t>
        </is>
      </c>
      <c r="D560" s="5" t="n">
        <v>619.08</v>
      </c>
      <c r="E560" s="5" t="n">
        <v>0</v>
      </c>
      <c r="F560" s="4" t="inlineStr">
        <is>
          <t>Cadastro sem aprovacao ou aprovado pelo proprio cadastrador</t>
        </is>
      </c>
    </row>
    <row r="561">
      <c r="A561" s="4" t="inlineStr">
        <is>
          <t>T07_MAKER_CHECKER</t>
        </is>
      </c>
      <c r="B561" s="4" t="inlineStr">
        <is>
          <t>IMB-0037446</t>
        </is>
      </c>
      <c r="C561" s="4" t="inlineStr">
        <is>
          <t>DESENVOLVIMENTO_CAMPOS</t>
        </is>
      </c>
      <c r="D561" s="5" t="n">
        <v>29.29</v>
      </c>
      <c r="E561" s="5" t="n">
        <v>0</v>
      </c>
      <c r="F561" s="4" t="inlineStr">
        <is>
          <t>Cadastro sem aprovacao ou aprovado pelo proprio cadastrador</t>
        </is>
      </c>
    </row>
    <row r="562">
      <c r="A562" s="4" t="inlineStr">
        <is>
          <t>T07_MAKER_CHECKER</t>
        </is>
      </c>
      <c r="B562" s="4" t="inlineStr">
        <is>
          <t>IMB-0038583</t>
        </is>
      </c>
      <c r="C562" s="4" t="inlineStr">
        <is>
          <t>DESENVOLVIMENTO_CAMPOS</t>
        </is>
      </c>
      <c r="D562" s="5" t="n">
        <v>5612.5</v>
      </c>
      <c r="E562" s="5" t="n">
        <v>0</v>
      </c>
      <c r="F562" s="4" t="inlineStr">
        <is>
          <t>Cadastro sem aprovacao ou aprovado pelo proprio cadastrador</t>
        </is>
      </c>
    </row>
    <row r="563">
      <c r="A563" s="4" t="inlineStr">
        <is>
          <t>T07_MAKER_CHECKER</t>
        </is>
      </c>
      <c r="B563" s="4" t="inlineStr">
        <is>
          <t>IMB-0038643</t>
        </is>
      </c>
      <c r="C563" s="4" t="inlineStr">
        <is>
          <t>ALMOXARIFADO_INVERSOES_FIXAS</t>
        </is>
      </c>
      <c r="D563" s="5" t="n">
        <v>2078.46</v>
      </c>
      <c r="E563" s="5" t="n">
        <v>0</v>
      </c>
      <c r="F563" s="4" t="inlineStr">
        <is>
          <t>Cadastro sem aprovacao ou aprovado pelo proprio cadastrador</t>
        </is>
      </c>
    </row>
    <row r="564">
      <c r="A564" s="4" t="inlineStr">
        <is>
          <t>T07_MAKER_CHECKER</t>
        </is>
      </c>
      <c r="B564" s="4" t="inlineStr">
        <is>
          <t>IMB-0038970</t>
        </is>
      </c>
      <c r="C564" s="4" t="inlineStr">
        <is>
          <t>DESENVOLVIMENTO_CAMPOS</t>
        </is>
      </c>
      <c r="D564" s="5" t="n">
        <v>342.19</v>
      </c>
      <c r="E564" s="5" t="n">
        <v>0</v>
      </c>
      <c r="F564" s="4" t="inlineStr">
        <is>
          <t>Cadastro sem aprovacao ou aprovado pelo proprio cadastrador</t>
        </is>
      </c>
    </row>
    <row r="565">
      <c r="A565" s="4" t="inlineStr">
        <is>
          <t>T07_MAKER_CHECKER</t>
        </is>
      </c>
      <c r="B565" s="4" t="inlineStr">
        <is>
          <t>IMB-0040579</t>
        </is>
      </c>
      <c r="C565" s="4" t="inlineStr">
        <is>
          <t>ALMOXARIFADO_INVERSOES_FIXAS</t>
        </is>
      </c>
      <c r="D565" s="5" t="n">
        <v>338.21</v>
      </c>
      <c r="E565" s="5" t="n">
        <v>0</v>
      </c>
      <c r="F565" s="4" t="inlineStr">
        <is>
          <t>Cadastro sem aprovacao ou aprovado pelo proprio cadastrador</t>
        </is>
      </c>
    </row>
    <row r="566">
      <c r="A566" s="4" t="inlineStr">
        <is>
          <t>T07_MAKER_CHECKER</t>
        </is>
      </c>
      <c r="B566" s="4" t="inlineStr">
        <is>
          <t>IMB-0042777</t>
        </is>
      </c>
      <c r="C566" s="4" t="inlineStr">
        <is>
          <t>ALMOXARIFADO_INVERSOES_FIXAS</t>
        </is>
      </c>
      <c r="D566" s="5" t="n">
        <v>3496.64</v>
      </c>
      <c r="E566" s="5" t="n">
        <v>0</v>
      </c>
      <c r="F566" s="4" t="inlineStr">
        <is>
          <t>Cadastro sem aprovacao ou aprovado pelo proprio cadastrador</t>
        </is>
      </c>
    </row>
    <row r="567">
      <c r="A567" s="4" t="inlineStr">
        <is>
          <t>T07_MAKER_CHECKER</t>
        </is>
      </c>
      <c r="B567" s="4" t="inlineStr">
        <is>
          <t>IMB-0043636</t>
        </is>
      </c>
      <c r="C567" s="4" t="inlineStr">
        <is>
          <t>ALMOXARIFADO_INVERSOES_FIXAS</t>
        </is>
      </c>
      <c r="D567" s="5" t="n">
        <v>152.42</v>
      </c>
      <c r="E567" s="5" t="n">
        <v>0</v>
      </c>
      <c r="F567" s="4" t="inlineStr">
        <is>
          <t>Cadastro sem aprovacao ou aprovado pelo proprio cadastrador</t>
        </is>
      </c>
    </row>
    <row r="568">
      <c r="A568" s="4" t="inlineStr">
        <is>
          <t>T07_MAKER_CHECKER</t>
        </is>
      </c>
      <c r="B568" s="4" t="inlineStr">
        <is>
          <t>IMB-0044103</t>
        </is>
      </c>
      <c r="C568" s="4" t="inlineStr">
        <is>
          <t>ALMOXARIFADO_INVERSOES_FIXAS</t>
        </is>
      </c>
      <c r="D568" s="5" t="n">
        <v>2566.03</v>
      </c>
      <c r="E568" s="5" t="n">
        <v>0</v>
      </c>
      <c r="F568" s="4" t="inlineStr">
        <is>
          <t>Cadastro sem aprovacao ou aprovado pelo proprio cadastrador</t>
        </is>
      </c>
    </row>
    <row r="569">
      <c r="A569" s="4" t="inlineStr">
        <is>
          <t>T07_MAKER_CHECKER</t>
        </is>
      </c>
      <c r="B569" s="4" t="inlineStr">
        <is>
          <t>IMB-0046847</t>
        </is>
      </c>
      <c r="C569" s="4" t="inlineStr">
        <is>
          <t>DESENVOLVIMENTO_CAMPOS</t>
        </is>
      </c>
      <c r="D569" s="5" t="n">
        <v>3757.67</v>
      </c>
      <c r="E569" s="5" t="n">
        <v>0</v>
      </c>
      <c r="F569" s="4" t="inlineStr">
        <is>
          <t>Cadastro sem aprovacao ou aprovado pelo proprio cadastrador</t>
        </is>
      </c>
    </row>
    <row r="570">
      <c r="A570" s="4" t="inlineStr">
        <is>
          <t>T07_MAKER_CHECKER</t>
        </is>
      </c>
      <c r="B570" s="4" t="inlineStr">
        <is>
          <t>IMB-0049177</t>
        </is>
      </c>
      <c r="C570" s="4" t="inlineStr">
        <is>
          <t>DESENVOLVIMENTO_CAMPOS</t>
        </is>
      </c>
      <c r="D570" s="5" t="n">
        <v>2007.05</v>
      </c>
      <c r="E570" s="5" t="n">
        <v>0</v>
      </c>
      <c r="F570" s="4" t="inlineStr">
        <is>
          <t>Cadastro sem aprovacao ou aprovado pelo proprio cadastrador</t>
        </is>
      </c>
    </row>
    <row r="571">
      <c r="A571" s="4" t="inlineStr">
        <is>
          <t>T07_MAKER_CHECKER</t>
        </is>
      </c>
      <c r="B571" s="4" t="inlineStr">
        <is>
          <t>IMB-0049655</t>
        </is>
      </c>
      <c r="C571" s="4" t="inlineStr">
        <is>
          <t>ALMOXARIFADO_INVERSOES_FIXAS</t>
        </is>
      </c>
      <c r="D571" s="5" t="n">
        <v>800.37</v>
      </c>
      <c r="E571" s="5" t="n">
        <v>0</v>
      </c>
      <c r="F571" s="4" t="inlineStr">
        <is>
          <t>Cadastro sem aprovacao ou aprovado pelo proprio cadastrador</t>
        </is>
      </c>
    </row>
    <row r="572">
      <c r="A572" s="4" t="inlineStr">
        <is>
          <t>T07_MAKER_CHECKER</t>
        </is>
      </c>
      <c r="B572" s="4" t="inlineStr">
        <is>
          <t>IMB-0050247</t>
        </is>
      </c>
      <c r="C572" s="4" t="inlineStr">
        <is>
          <t>DESENVOLVIMENTO_CAMPOS</t>
        </is>
      </c>
      <c r="D572" s="5" t="n">
        <v>1595.63</v>
      </c>
      <c r="E572" s="5" t="n">
        <v>0</v>
      </c>
      <c r="F572" s="4" t="inlineStr">
        <is>
          <t>Cadastro sem aprovacao ou aprovado pelo proprio cadastrador</t>
        </is>
      </c>
    </row>
    <row r="573">
      <c r="A573" s="4" t="inlineStr">
        <is>
          <t>T07_MAKER_CHECKER</t>
        </is>
      </c>
      <c r="B573" s="4" t="inlineStr">
        <is>
          <t>IMB-0051543</t>
        </is>
      </c>
      <c r="C573" s="4" t="inlineStr">
        <is>
          <t>DESENVOLVIMENTO_CAMPOS</t>
        </is>
      </c>
      <c r="D573" s="5" t="n">
        <v>3360.02</v>
      </c>
      <c r="E573" s="5" t="n">
        <v>0</v>
      </c>
      <c r="F573" s="4" t="inlineStr">
        <is>
          <t>Cadastro sem aprovacao ou aprovado pelo proprio cadastrador</t>
        </is>
      </c>
    </row>
    <row r="574">
      <c r="A574" s="4" t="inlineStr">
        <is>
          <t>T07_MAKER_CHECKER</t>
        </is>
      </c>
      <c r="B574" s="4" t="inlineStr">
        <is>
          <t>IMB-0051705</t>
        </is>
      </c>
      <c r="C574" s="4" t="inlineStr">
        <is>
          <t>OUTROS</t>
        </is>
      </c>
      <c r="D574" s="5" t="n">
        <v>1260.38</v>
      </c>
      <c r="E574" s="5" t="n">
        <v>0</v>
      </c>
      <c r="F574" s="4" t="inlineStr">
        <is>
          <t>Cadastro sem aprovacao ou aprovado pelo proprio cadastrador</t>
        </is>
      </c>
    </row>
    <row r="575">
      <c r="A575" s="4" t="inlineStr">
        <is>
          <t>T07_MAKER_CHECKER</t>
        </is>
      </c>
      <c r="B575" s="4" t="inlineStr">
        <is>
          <t>IMB-0052320</t>
        </is>
      </c>
      <c r="C575" s="4" t="inlineStr">
        <is>
          <t>DESENVOLVIMENTO_CAMPOS</t>
        </is>
      </c>
      <c r="D575" s="5" t="n">
        <v>794.36</v>
      </c>
      <c r="E575" s="5" t="n">
        <v>0</v>
      </c>
      <c r="F575" s="4" t="inlineStr">
        <is>
          <t>Cadastro sem aprovacao ou aprovado pelo proprio cadastrador</t>
        </is>
      </c>
    </row>
    <row r="576">
      <c r="A576" s="4" t="inlineStr">
        <is>
          <t>T07_MAKER_CHECKER</t>
        </is>
      </c>
      <c r="B576" s="4" t="inlineStr">
        <is>
          <t>IMB-0052793</t>
        </is>
      </c>
      <c r="C576" s="4" t="inlineStr">
        <is>
          <t>DESENVOLVIMENTO_CAMPOS</t>
        </is>
      </c>
      <c r="D576" s="5" t="n">
        <v>375.33</v>
      </c>
      <c r="E576" s="5" t="n">
        <v>0</v>
      </c>
      <c r="F576" s="4" t="inlineStr">
        <is>
          <t>Cadastro sem aprovacao ou aprovado pelo proprio cadastrador</t>
        </is>
      </c>
    </row>
    <row r="577">
      <c r="A577" s="4" t="inlineStr">
        <is>
          <t>T07_MAKER_CHECKER</t>
        </is>
      </c>
      <c r="B577" s="4" t="inlineStr">
        <is>
          <t>IMB-0053471</t>
        </is>
      </c>
      <c r="C577" s="4" t="inlineStr">
        <is>
          <t>ALMOXARIFADO_INVERSOES_FIXAS</t>
        </is>
      </c>
      <c r="D577" s="5" t="n">
        <v>4540.97</v>
      </c>
      <c r="E577" s="5" t="n">
        <v>0</v>
      </c>
      <c r="F577" s="4" t="inlineStr">
        <is>
          <t>Cadastro sem aprovacao ou aprovado pelo proprio cadastrador</t>
        </is>
      </c>
    </row>
    <row r="578">
      <c r="A578" s="4" t="inlineStr">
        <is>
          <t>T07_MAKER_CHECKER</t>
        </is>
      </c>
      <c r="B578" s="4" t="inlineStr">
        <is>
          <t>IMB-0054251</t>
        </is>
      </c>
      <c r="C578" s="4" t="inlineStr">
        <is>
          <t>MAQUINAS_EQUIPAMENTOS</t>
        </is>
      </c>
      <c r="D578" s="5" t="n">
        <v>3421.65</v>
      </c>
      <c r="E578" s="5" t="n">
        <v>0</v>
      </c>
      <c r="F578" s="4" t="inlineStr">
        <is>
          <t>Cadastro sem aprovacao ou aprovado pelo proprio cadastrador</t>
        </is>
      </c>
    </row>
    <row r="579">
      <c r="A579" s="4" t="inlineStr">
        <is>
          <t>T07_MAKER_CHECKER</t>
        </is>
      </c>
      <c r="B579" s="4" t="inlineStr">
        <is>
          <t>IMB-0054826</t>
        </is>
      </c>
      <c r="C579" s="4" t="inlineStr">
        <is>
          <t>MAQUINAS_EQUIPAMENTOS</t>
        </is>
      </c>
      <c r="D579" s="5" t="n">
        <v>137.56</v>
      </c>
      <c r="E579" s="5" t="n">
        <v>0</v>
      </c>
      <c r="F579" s="4" t="inlineStr">
        <is>
          <t>Cadastro sem aprovacao ou aprovado pelo proprio cadastrador</t>
        </is>
      </c>
    </row>
    <row r="580">
      <c r="A580" s="4" t="inlineStr">
        <is>
          <t>T07_MAKER_CHECKER</t>
        </is>
      </c>
      <c r="B580" s="4" t="inlineStr">
        <is>
          <t>IMB-0054843</t>
        </is>
      </c>
      <c r="C580" s="4" t="inlineStr">
        <is>
          <t>ALMOXARIFADO_INVERSOES_FIXAS</t>
        </is>
      </c>
      <c r="D580" s="5" t="n">
        <v>14036.78</v>
      </c>
      <c r="E580" s="5" t="n">
        <v>0</v>
      </c>
      <c r="F580" s="4" t="inlineStr">
        <is>
          <t>Cadastro sem aprovacao ou aprovado pelo proprio cadastrador</t>
        </is>
      </c>
    </row>
    <row r="581">
      <c r="A581" s="4" t="inlineStr">
        <is>
          <t>T07_MAKER_CHECKER</t>
        </is>
      </c>
      <c r="B581" s="4" t="inlineStr">
        <is>
          <t>IMB-0055284</t>
        </is>
      </c>
      <c r="C581" s="4" t="inlineStr">
        <is>
          <t>ALMOXARIFADO_INVERSOES_FIXAS</t>
        </is>
      </c>
      <c r="D581" s="5" t="n">
        <v>2318.71</v>
      </c>
      <c r="E581" s="5" t="n">
        <v>0</v>
      </c>
      <c r="F581" s="4" t="inlineStr">
        <is>
          <t>Cadastro sem aprovacao ou aprovado pelo proprio cadastrador</t>
        </is>
      </c>
    </row>
    <row r="582">
      <c r="A582" s="4" t="inlineStr">
        <is>
          <t>T07_MAKER_CHECKER</t>
        </is>
      </c>
      <c r="B582" s="4" t="inlineStr">
        <is>
          <t>IMB-0056636</t>
        </is>
      </c>
      <c r="C582" s="4" t="inlineStr">
        <is>
          <t>ALMOXARIFADO_INVERSOES_FIXAS</t>
        </is>
      </c>
      <c r="D582" s="5" t="n">
        <v>585.33</v>
      </c>
      <c r="E582" s="5" t="n">
        <v>0</v>
      </c>
      <c r="F582" s="4" t="inlineStr">
        <is>
          <t>Cadastro sem aprovacao ou aprovado pelo proprio cadastrador</t>
        </is>
      </c>
    </row>
    <row r="583">
      <c r="A583" s="4" t="inlineStr">
        <is>
          <t>T07_MAKER_CHECKER</t>
        </is>
      </c>
      <c r="B583" s="4" t="inlineStr">
        <is>
          <t>IMB-0057949</t>
        </is>
      </c>
      <c r="C583" s="4" t="inlineStr">
        <is>
          <t>ALMOXARIFADO_INVERSOES_FIXAS</t>
        </is>
      </c>
      <c r="D583" s="5" t="n">
        <v>3301.96</v>
      </c>
      <c r="E583" s="5" t="n">
        <v>0</v>
      </c>
      <c r="F583" s="4" t="inlineStr">
        <is>
          <t>Cadastro sem aprovacao ou aprovado pelo proprio cadastrador</t>
        </is>
      </c>
    </row>
    <row r="584">
      <c r="A584" s="4" t="inlineStr">
        <is>
          <t>T07_MAKER_CHECKER</t>
        </is>
      </c>
      <c r="B584" s="4" t="inlineStr">
        <is>
          <t>IMB-0058348</t>
        </is>
      </c>
      <c r="C584" s="4" t="inlineStr">
        <is>
          <t>DESENVOLVIMENTO_CAMPOS</t>
        </is>
      </c>
      <c r="D584" s="5" t="n">
        <v>602.1900000000001</v>
      </c>
      <c r="E584" s="5" t="n">
        <v>0</v>
      </c>
      <c r="F584" s="4" t="inlineStr">
        <is>
          <t>Cadastro sem aprovacao ou aprovado pelo proprio cadastrador</t>
        </is>
      </c>
    </row>
    <row r="585">
      <c r="A585" s="4" t="inlineStr">
        <is>
          <t>T07_MAKER_CHECKER</t>
        </is>
      </c>
      <c r="B585" s="4" t="inlineStr">
        <is>
          <t>IMB-0059114</t>
        </is>
      </c>
      <c r="C585" s="4" t="inlineStr">
        <is>
          <t>OUTROS</t>
        </is>
      </c>
      <c r="D585" s="5" t="n">
        <v>0</v>
      </c>
      <c r="E585" s="5" t="n">
        <v>0</v>
      </c>
      <c r="F585" s="4" t="inlineStr">
        <is>
          <t>Cadastro sem aprovacao ou aprovado pelo proprio cadastrador</t>
        </is>
      </c>
    </row>
    <row r="586">
      <c r="A586" s="4" t="inlineStr">
        <is>
          <t>T07_MAKER_CHECKER</t>
        </is>
      </c>
      <c r="B586" s="4" t="inlineStr">
        <is>
          <t>IMB-0059435</t>
        </is>
      </c>
      <c r="C586" s="4" t="inlineStr">
        <is>
          <t>OUTROS</t>
        </is>
      </c>
      <c r="D586" s="5" t="n">
        <v>149.73</v>
      </c>
      <c r="E586" s="5" t="n">
        <v>0</v>
      </c>
      <c r="F586" s="4" t="inlineStr">
        <is>
          <t>Cadastro sem aprovacao ou aprovado pelo proprio cadastrador</t>
        </is>
      </c>
    </row>
    <row r="587">
      <c r="A587" s="4" t="inlineStr">
        <is>
          <t>T07_MAKER_CHECKER</t>
        </is>
      </c>
      <c r="B587" s="4" t="inlineStr">
        <is>
          <t>IMB-0063892</t>
        </is>
      </c>
      <c r="C587" s="4" t="inlineStr">
        <is>
          <t>ALMOXARIFADO_INVERSOES_FIXAS</t>
        </is>
      </c>
      <c r="D587" s="5" t="n">
        <v>989.76</v>
      </c>
      <c r="E587" s="5" t="n">
        <v>0</v>
      </c>
      <c r="F587" s="4" t="inlineStr">
        <is>
          <t>Cadastro sem aprovacao ou aprovado pelo proprio cadastrador</t>
        </is>
      </c>
    </row>
    <row r="588">
      <c r="A588" s="4" t="inlineStr">
        <is>
          <t>T07_MAKER_CHECKER</t>
        </is>
      </c>
      <c r="B588" s="4" t="inlineStr">
        <is>
          <t>IMB-0065858</t>
        </is>
      </c>
      <c r="C588" s="4" t="inlineStr">
        <is>
          <t>MAQUINAS_EQUIPAMENTOS</t>
        </is>
      </c>
      <c r="D588" s="5" t="n">
        <v>6235.59</v>
      </c>
      <c r="E588" s="5" t="n">
        <v>0</v>
      </c>
      <c r="F588" s="4" t="inlineStr">
        <is>
          <t>Cadastro sem aprovacao ou aprovado pelo proprio cadastrador</t>
        </is>
      </c>
    </row>
    <row r="589">
      <c r="A589" s="4" t="inlineStr">
        <is>
          <t>T07_MAKER_CHECKER</t>
        </is>
      </c>
      <c r="B589" s="4" t="inlineStr">
        <is>
          <t>IMB-0066535</t>
        </is>
      </c>
      <c r="C589" s="4" t="inlineStr">
        <is>
          <t>MAQUINAS_EQUIPAMENTOS</t>
        </is>
      </c>
      <c r="D589" s="5" t="n">
        <v>822.7</v>
      </c>
      <c r="E589" s="5" t="n">
        <v>0</v>
      </c>
      <c r="F589" s="4" t="inlineStr">
        <is>
          <t>Cadastro sem aprovacao ou aprovado pelo proprio cadastrador</t>
        </is>
      </c>
    </row>
    <row r="590">
      <c r="A590" s="4" t="inlineStr">
        <is>
          <t>T07_MAKER_CHECKER</t>
        </is>
      </c>
      <c r="B590" s="4" t="inlineStr">
        <is>
          <t>IMB-0066578</t>
        </is>
      </c>
      <c r="C590" s="4" t="inlineStr">
        <is>
          <t>ALMOXARIFADO_INVERSOES_FIXAS</t>
        </is>
      </c>
      <c r="D590" s="5" t="n">
        <v>2153.75</v>
      </c>
      <c r="E590" s="5" t="n">
        <v>0</v>
      </c>
      <c r="F590" s="4" t="inlineStr">
        <is>
          <t>Cadastro sem aprovacao ou aprovado pelo proprio cadastrador</t>
        </is>
      </c>
    </row>
    <row r="591">
      <c r="A591" s="4" t="inlineStr">
        <is>
          <t>T07_MAKER_CHECKER</t>
        </is>
      </c>
      <c r="B591" s="4" t="inlineStr">
        <is>
          <t>IMB-0067702</t>
        </is>
      </c>
      <c r="C591" s="4" t="inlineStr">
        <is>
          <t>DESENVOLVIMENTO_CAMPOS</t>
        </is>
      </c>
      <c r="D591" s="5" t="n">
        <v>255.6</v>
      </c>
      <c r="E591" s="5" t="n">
        <v>0</v>
      </c>
      <c r="F591" s="4" t="inlineStr">
        <is>
          <t>Cadastro sem aprovacao ou aprovado pelo proprio cadastrador</t>
        </is>
      </c>
    </row>
    <row r="592">
      <c r="A592" s="4" t="inlineStr">
        <is>
          <t>T07_MAKER_CHECKER</t>
        </is>
      </c>
      <c r="B592" s="4" t="inlineStr">
        <is>
          <t>IMB-0069311</t>
        </is>
      </c>
      <c r="C592" s="4" t="inlineStr">
        <is>
          <t>DESENVOLVIMENTO_CAMPOS</t>
        </is>
      </c>
      <c r="D592" s="5" t="n">
        <v>25591.38</v>
      </c>
      <c r="E592" s="5" t="n">
        <v>0</v>
      </c>
      <c r="F592" s="4" t="inlineStr">
        <is>
          <t>Cadastro sem aprovacao ou aprovado pelo proprio cadastrador</t>
        </is>
      </c>
    </row>
    <row r="593">
      <c r="A593" s="4" t="inlineStr">
        <is>
          <t>T07_MAKER_CHECKER</t>
        </is>
      </c>
      <c r="B593" s="4" t="inlineStr">
        <is>
          <t>IMB-0069340</t>
        </is>
      </c>
      <c r="C593" s="4" t="inlineStr">
        <is>
          <t>IMOBILIZADO_EM_ANDAMENTO</t>
        </is>
      </c>
      <c r="D593" s="5" t="n">
        <v>1735.24</v>
      </c>
      <c r="E593" s="5" t="n">
        <v>0</v>
      </c>
      <c r="F593" s="4" t="inlineStr">
        <is>
          <t>Cadastro sem aprovacao ou aprovado pelo proprio cadastrador</t>
        </is>
      </c>
    </row>
    <row r="594">
      <c r="A594" s="4" t="inlineStr">
        <is>
          <t>T07_MAKER_CHECKER</t>
        </is>
      </c>
      <c r="B594" s="4" t="inlineStr">
        <is>
          <t>IMB-0071561</t>
        </is>
      </c>
      <c r="C594" s="4" t="inlineStr">
        <is>
          <t>ALMOXARIFADO_INVERSOES_FIXAS</t>
        </is>
      </c>
      <c r="D594" s="5" t="n">
        <v>2811.64</v>
      </c>
      <c r="E594" s="5" t="n">
        <v>0</v>
      </c>
      <c r="F594" s="4" t="inlineStr">
        <is>
          <t>Cadastro sem aprovacao ou aprovado pelo proprio cadastrador</t>
        </is>
      </c>
    </row>
    <row r="595">
      <c r="A595" s="4" t="inlineStr">
        <is>
          <t>T07_MAKER_CHECKER</t>
        </is>
      </c>
      <c r="B595" s="4" t="inlineStr">
        <is>
          <t>IMB-0072249</t>
        </is>
      </c>
      <c r="C595" s="4" t="inlineStr">
        <is>
          <t>OUTROS</t>
        </is>
      </c>
      <c r="D595" s="5" t="n">
        <v>0</v>
      </c>
      <c r="E595" s="5" t="n">
        <v>0</v>
      </c>
      <c r="F595" s="4" t="inlineStr">
        <is>
          <t>Cadastro sem aprovacao ou aprovado pelo proprio cadastrador</t>
        </is>
      </c>
    </row>
    <row r="596">
      <c r="A596" s="4" t="inlineStr">
        <is>
          <t>T07_MAKER_CHECKER</t>
        </is>
      </c>
      <c r="B596" s="4" t="inlineStr">
        <is>
          <t>IMB-0072802</t>
        </is>
      </c>
      <c r="C596" s="4" t="inlineStr">
        <is>
          <t>MAQUINAS_EQUIPAMENTOS</t>
        </is>
      </c>
      <c r="D596" s="5" t="n">
        <v>6538.97</v>
      </c>
      <c r="E596" s="5" t="n">
        <v>0</v>
      </c>
      <c r="F596" s="4" t="inlineStr">
        <is>
          <t>Cadastro sem aprovacao ou aprovado pelo proprio cadastrador</t>
        </is>
      </c>
    </row>
    <row r="597">
      <c r="A597" s="4" t="inlineStr">
        <is>
          <t>T07_MAKER_CHECKER</t>
        </is>
      </c>
      <c r="B597" s="4" t="inlineStr">
        <is>
          <t>IMB-0074106</t>
        </is>
      </c>
      <c r="C597" s="4" t="inlineStr">
        <is>
          <t>DESENVOLVIMENTO_CAMPOS</t>
        </is>
      </c>
      <c r="D597" s="5" t="n">
        <v>110.12</v>
      </c>
      <c r="E597" s="5" t="n">
        <v>0</v>
      </c>
      <c r="F597" s="4" t="inlineStr">
        <is>
          <t>Cadastro sem aprovacao ou aprovado pelo proprio cadastrador</t>
        </is>
      </c>
    </row>
    <row r="598">
      <c r="A598" s="4" t="inlineStr">
        <is>
          <t>T07_MAKER_CHECKER</t>
        </is>
      </c>
      <c r="B598" s="4" t="inlineStr">
        <is>
          <t>IMB-0075131</t>
        </is>
      </c>
      <c r="C598" s="4" t="inlineStr">
        <is>
          <t>OUTROS</t>
        </is>
      </c>
      <c r="D598" s="5" t="n">
        <v>674.17</v>
      </c>
      <c r="E598" s="5" t="n">
        <v>0</v>
      </c>
      <c r="F598" s="4" t="inlineStr">
        <is>
          <t>Cadastro sem aprovacao ou aprovado pelo proprio cadastrador</t>
        </is>
      </c>
    </row>
    <row r="599">
      <c r="A599" s="4" t="inlineStr">
        <is>
          <t>T07_MAKER_CHECKER</t>
        </is>
      </c>
      <c r="B599" s="4" t="inlineStr">
        <is>
          <t>IMB-0075367</t>
        </is>
      </c>
      <c r="C599" s="4" t="inlineStr">
        <is>
          <t>ALMOXARIFADO_INVERSOES_FIXAS</t>
        </is>
      </c>
      <c r="D599" s="5" t="n">
        <v>100.7</v>
      </c>
      <c r="E599" s="5" t="n">
        <v>0</v>
      </c>
      <c r="F599" s="4" t="inlineStr">
        <is>
          <t>Cadastro sem aprovacao ou aprovado pelo proprio cadastrador</t>
        </is>
      </c>
    </row>
    <row r="600">
      <c r="A600" s="4" t="inlineStr">
        <is>
          <t>T07_MAKER_CHECKER</t>
        </is>
      </c>
      <c r="B600" s="4" t="inlineStr">
        <is>
          <t>IMB-0076017</t>
        </is>
      </c>
      <c r="C600" s="4" t="inlineStr">
        <is>
          <t>DESENVOLVIMENTO_CAMPOS</t>
        </is>
      </c>
      <c r="D600" s="5" t="n">
        <v>927.46</v>
      </c>
      <c r="E600" s="5" t="n">
        <v>0</v>
      </c>
      <c r="F600" s="4" t="inlineStr">
        <is>
          <t>Cadastro sem aprovacao ou aprovado pelo proprio cadastrador</t>
        </is>
      </c>
    </row>
    <row r="601">
      <c r="A601" s="4" t="inlineStr">
        <is>
          <t>T07_MAKER_CHECKER</t>
        </is>
      </c>
      <c r="B601" s="4" t="inlineStr">
        <is>
          <t>IMB-0076998</t>
        </is>
      </c>
      <c r="C601" s="4" t="inlineStr">
        <is>
          <t>ALMOXARIFADO_INVERSOES_FIXAS</t>
        </is>
      </c>
      <c r="D601" s="5" t="n">
        <v>972.54</v>
      </c>
      <c r="E601" s="5" t="n">
        <v>0</v>
      </c>
      <c r="F601" s="4" t="inlineStr">
        <is>
          <t>Cadastro sem aprovacao ou aprovado pelo proprio cadastrador</t>
        </is>
      </c>
    </row>
    <row r="602">
      <c r="A602" s="4" t="inlineStr">
        <is>
          <t>T07_MAKER_CHECKER</t>
        </is>
      </c>
      <c r="B602" s="4" t="inlineStr">
        <is>
          <t>IMB-0077144</t>
        </is>
      </c>
      <c r="C602" s="4" t="inlineStr">
        <is>
          <t>ABANDONO_POCO_ARO</t>
        </is>
      </c>
      <c r="D602" s="5" t="n">
        <v>4842.06</v>
      </c>
      <c r="E602" s="5" t="n">
        <v>0</v>
      </c>
      <c r="F602" s="4" t="inlineStr">
        <is>
          <t>Cadastro sem aprovacao ou aprovado pelo proprio cadastrador</t>
        </is>
      </c>
    </row>
    <row r="603">
      <c r="A603" s="4" t="inlineStr">
        <is>
          <t>T07_MAKER_CHECKER</t>
        </is>
      </c>
      <c r="B603" s="4" t="inlineStr">
        <is>
          <t>IMB-0077211</t>
        </is>
      </c>
      <c r="C603" s="4" t="inlineStr">
        <is>
          <t>ALMOXARIFADO_INVERSOES_FIXAS</t>
        </is>
      </c>
      <c r="D603" s="5" t="n">
        <v>666.2</v>
      </c>
      <c r="E603" s="5" t="n">
        <v>0</v>
      </c>
      <c r="F603" s="4" t="inlineStr">
        <is>
          <t>Cadastro sem aprovacao ou aprovado pelo proprio cadastrador</t>
        </is>
      </c>
    </row>
    <row r="604">
      <c r="A604" s="4" t="inlineStr">
        <is>
          <t>T07_MAKER_CHECKER</t>
        </is>
      </c>
      <c r="B604" s="4" t="inlineStr">
        <is>
          <t>IMB-0077347</t>
        </is>
      </c>
      <c r="C604" s="4" t="inlineStr">
        <is>
          <t>DESENVOLVIMENTO_CAMPOS</t>
        </is>
      </c>
      <c r="D604" s="5" t="n">
        <v>179.1</v>
      </c>
      <c r="E604" s="5" t="n">
        <v>0</v>
      </c>
      <c r="F604" s="4" t="inlineStr">
        <is>
          <t>Cadastro sem aprovacao ou aprovado pelo proprio cadastrador</t>
        </is>
      </c>
    </row>
    <row r="605">
      <c r="A605" s="4" t="inlineStr">
        <is>
          <t>T07_MAKER_CHECKER</t>
        </is>
      </c>
      <c r="B605" s="4" t="inlineStr">
        <is>
          <t>IMB-0078207</t>
        </is>
      </c>
      <c r="C605" s="4" t="inlineStr">
        <is>
          <t>MAQUINAS_EQUIPAMENTOS</t>
        </is>
      </c>
      <c r="D605" s="5" t="n">
        <v>5026.5</v>
      </c>
      <c r="E605" s="5" t="n">
        <v>0</v>
      </c>
      <c r="F605" s="4" t="inlineStr">
        <is>
          <t>Cadastro sem aprovacao ou aprovado pelo proprio cadastrador</t>
        </is>
      </c>
    </row>
    <row r="606">
      <c r="A606" s="4" t="inlineStr">
        <is>
          <t>T07_MAKER_CHECKER</t>
        </is>
      </c>
      <c r="B606" s="4" t="inlineStr">
        <is>
          <t>IMB-0078776</t>
        </is>
      </c>
      <c r="C606" s="4" t="inlineStr">
        <is>
          <t>DESENVOLVIMENTO_CAMPOS</t>
        </is>
      </c>
      <c r="D606" s="5" t="n">
        <v>2872.28</v>
      </c>
      <c r="E606" s="5" t="n">
        <v>0</v>
      </c>
      <c r="F606" s="4" t="inlineStr">
        <is>
          <t>Cadastro sem aprovacao ou aprovado pelo proprio cadastrador</t>
        </is>
      </c>
    </row>
    <row r="607">
      <c r="A607" s="4" t="inlineStr">
        <is>
          <t>T07_MAKER_CHECKER</t>
        </is>
      </c>
      <c r="B607" s="4" t="inlineStr">
        <is>
          <t>IMB-0080054</t>
        </is>
      </c>
      <c r="C607" s="4" t="inlineStr">
        <is>
          <t>OUTROS</t>
        </is>
      </c>
      <c r="D607" s="5" t="n">
        <v>12734.16</v>
      </c>
      <c r="E607" s="5" t="n">
        <v>0</v>
      </c>
      <c r="F607" s="4" t="inlineStr">
        <is>
          <t>Cadastro sem aprovacao ou aprovado pelo proprio cadastrador</t>
        </is>
      </c>
    </row>
    <row r="608">
      <c r="A608" s="4" t="inlineStr">
        <is>
          <t>T07_MAKER_CHECKER</t>
        </is>
      </c>
      <c r="B608" s="4" t="inlineStr">
        <is>
          <t>IMB-0080528</t>
        </is>
      </c>
      <c r="C608" s="4" t="inlineStr">
        <is>
          <t>DESENVOLVIMENTO_CAMPOS</t>
        </is>
      </c>
      <c r="D608" s="5" t="n">
        <v>1252.48</v>
      </c>
      <c r="E608" s="5" t="n">
        <v>0</v>
      </c>
      <c r="F608" s="4" t="inlineStr">
        <is>
          <t>Cadastro sem aprovacao ou aprovado pelo proprio cadastrador</t>
        </is>
      </c>
    </row>
    <row r="609">
      <c r="A609" s="4" t="inlineStr">
        <is>
          <t>T07_MAKER_CHECKER</t>
        </is>
      </c>
      <c r="B609" s="4" t="inlineStr">
        <is>
          <t>IMB-0082373</t>
        </is>
      </c>
      <c r="C609" s="4" t="inlineStr">
        <is>
          <t>ALMOXARIFADO_INVERSOES_FIXAS</t>
        </is>
      </c>
      <c r="D609" s="5" t="n">
        <v>397.71</v>
      </c>
      <c r="E609" s="5" t="n">
        <v>0</v>
      </c>
      <c r="F609" s="4" t="inlineStr">
        <is>
          <t>Cadastro sem aprovacao ou aprovado pelo proprio cadastrador</t>
        </is>
      </c>
    </row>
    <row r="610">
      <c r="A610" s="4" t="inlineStr">
        <is>
          <t>T07_MAKER_CHECKER</t>
        </is>
      </c>
      <c r="B610" s="4" t="inlineStr">
        <is>
          <t>IMB-0082468</t>
        </is>
      </c>
      <c r="C610" s="4" t="inlineStr">
        <is>
          <t>ALMOXARIFADO_INVERSOES_FIXAS</t>
        </is>
      </c>
      <c r="D610" s="5" t="n">
        <v>9958.07</v>
      </c>
      <c r="E610" s="5" t="n">
        <v>0</v>
      </c>
      <c r="F610" s="4" t="inlineStr">
        <is>
          <t>Cadastro sem aprovacao ou aprovado pelo proprio cadastrador</t>
        </is>
      </c>
    </row>
    <row r="611">
      <c r="A611" s="4" t="inlineStr">
        <is>
          <t>T07_MAKER_CHECKER</t>
        </is>
      </c>
      <c r="B611" s="4" t="inlineStr">
        <is>
          <t>IMB-0082508</t>
        </is>
      </c>
      <c r="C611" s="4" t="inlineStr">
        <is>
          <t>MAQUINAS_EQUIPAMENTOS</t>
        </is>
      </c>
      <c r="D611" s="5" t="n">
        <v>881.66</v>
      </c>
      <c r="E611" s="5" t="n">
        <v>0</v>
      </c>
      <c r="F611" s="4" t="inlineStr">
        <is>
          <t>Cadastro sem aprovacao ou aprovado pelo proprio cadastrador</t>
        </is>
      </c>
    </row>
    <row r="612">
      <c r="A612" s="4" t="inlineStr">
        <is>
          <t>T07_MAKER_CHECKER</t>
        </is>
      </c>
      <c r="B612" s="4" t="inlineStr">
        <is>
          <t>IMB-0083053</t>
        </is>
      </c>
      <c r="C612" s="4" t="inlineStr">
        <is>
          <t>DESENVOLVIMENTO_CAMPOS</t>
        </is>
      </c>
      <c r="D612" s="5" t="n">
        <v>33.08</v>
      </c>
      <c r="E612" s="5" t="n">
        <v>0</v>
      </c>
      <c r="F612" s="4" t="inlineStr">
        <is>
          <t>Cadastro sem aprovacao ou aprovado pelo proprio cadastrador</t>
        </is>
      </c>
    </row>
    <row r="613">
      <c r="A613" s="4" t="inlineStr">
        <is>
          <t>T07_MAKER_CHECKER</t>
        </is>
      </c>
      <c r="B613" s="4" t="inlineStr">
        <is>
          <t>IMB-0085176</t>
        </is>
      </c>
      <c r="C613" s="4" t="inlineStr">
        <is>
          <t>ALMOXARIFADO_INVERSOES_FIXAS</t>
        </is>
      </c>
      <c r="D613" s="5" t="n">
        <v>188.68</v>
      </c>
      <c r="E613" s="5" t="n">
        <v>0</v>
      </c>
      <c r="F613" s="4" t="inlineStr">
        <is>
          <t>Cadastro sem aprovacao ou aprovado pelo proprio cadastrador</t>
        </is>
      </c>
    </row>
    <row r="614">
      <c r="A614" s="4" t="inlineStr">
        <is>
          <t>T07_MAKER_CHECKER</t>
        </is>
      </c>
      <c r="B614" s="4" t="inlineStr">
        <is>
          <t>IMB-0085297</t>
        </is>
      </c>
      <c r="C614" s="4" t="inlineStr">
        <is>
          <t>ABANDONO_POCO_ARO</t>
        </is>
      </c>
      <c r="D614" s="5" t="n">
        <v>5889.33</v>
      </c>
      <c r="E614" s="5" t="n">
        <v>0</v>
      </c>
      <c r="F614" s="4" t="inlineStr">
        <is>
          <t>Cadastro sem aprovacao ou aprovado pelo proprio cadastrador</t>
        </is>
      </c>
    </row>
    <row r="615">
      <c r="A615" s="4" t="inlineStr">
        <is>
          <t>T07_MAKER_CHECKER</t>
        </is>
      </c>
      <c r="B615" s="4" t="inlineStr">
        <is>
          <t>IMB-0087148</t>
        </is>
      </c>
      <c r="C615" s="4" t="inlineStr">
        <is>
          <t>ALMOXARIFADO_INVERSOES_FIXAS</t>
        </is>
      </c>
      <c r="D615" s="5" t="n">
        <v>3280.58</v>
      </c>
      <c r="E615" s="5" t="n">
        <v>0</v>
      </c>
      <c r="F615" s="4" t="inlineStr">
        <is>
          <t>Cadastro sem aprovacao ou aprovado pelo proprio cadastrador</t>
        </is>
      </c>
    </row>
    <row r="616">
      <c r="A616" s="4" t="inlineStr">
        <is>
          <t>T07_MAKER_CHECKER</t>
        </is>
      </c>
      <c r="B616" s="4" t="inlineStr">
        <is>
          <t>IMB-0087417</t>
        </is>
      </c>
      <c r="C616" s="4" t="inlineStr">
        <is>
          <t>DESENVOLVIMENTO_CAMPOS</t>
        </is>
      </c>
      <c r="D616" s="5" t="n">
        <v>16009.91</v>
      </c>
      <c r="E616" s="5" t="n">
        <v>0</v>
      </c>
      <c r="F616" s="4" t="inlineStr">
        <is>
          <t>Cadastro sem aprovacao ou aprovado pelo proprio cadastrador</t>
        </is>
      </c>
    </row>
    <row r="617">
      <c r="A617" s="4" t="inlineStr">
        <is>
          <t>T07_MAKER_CHECKER</t>
        </is>
      </c>
      <c r="B617" s="4" t="inlineStr">
        <is>
          <t>IMB-0088846</t>
        </is>
      </c>
      <c r="C617" s="4" t="inlineStr">
        <is>
          <t>ABANDONO_POCO_ARO</t>
        </is>
      </c>
      <c r="D617" s="5" t="n">
        <v>3458.14</v>
      </c>
      <c r="E617" s="5" t="n">
        <v>0</v>
      </c>
      <c r="F617" s="4" t="inlineStr">
        <is>
          <t>Cadastro sem aprovacao ou aprovado pelo proprio cadastrador</t>
        </is>
      </c>
    </row>
    <row r="618">
      <c r="A618" s="4" t="inlineStr">
        <is>
          <t>T07_MAKER_CHECKER</t>
        </is>
      </c>
      <c r="B618" s="4" t="inlineStr">
        <is>
          <t>IMB-0088883</t>
        </is>
      </c>
      <c r="C618" s="4" t="inlineStr">
        <is>
          <t>ALMOXARIFADO_INVERSOES_FIXAS</t>
        </is>
      </c>
      <c r="D618" s="5" t="n">
        <v>1330.55</v>
      </c>
      <c r="E618" s="5" t="n">
        <v>0</v>
      </c>
      <c r="F618" s="4" t="inlineStr">
        <is>
          <t>Cadastro sem aprovacao ou aprovado pelo proprio cadastrador</t>
        </is>
      </c>
    </row>
    <row r="619">
      <c r="A619" s="4" t="inlineStr">
        <is>
          <t>T07_MAKER_CHECKER</t>
        </is>
      </c>
      <c r="B619" s="4" t="inlineStr">
        <is>
          <t>IMB-0088911</t>
        </is>
      </c>
      <c r="C619" s="4" t="inlineStr">
        <is>
          <t>ALMOXARIFADO_INVERSOES_FIXAS</t>
        </is>
      </c>
      <c r="D619" s="5" t="n">
        <v>2167.41</v>
      </c>
      <c r="E619" s="5" t="n">
        <v>0</v>
      </c>
      <c r="F619" s="4" t="inlineStr">
        <is>
          <t>Cadastro sem aprovacao ou aprovado pelo proprio cadastrador</t>
        </is>
      </c>
    </row>
    <row r="620">
      <c r="A620" s="4" t="inlineStr">
        <is>
          <t>T07_MAKER_CHECKER</t>
        </is>
      </c>
      <c r="B620" s="4" t="inlineStr">
        <is>
          <t>IMB-0089589</t>
        </is>
      </c>
      <c r="C620" s="4" t="inlineStr">
        <is>
          <t>DESENVOLVIMENTO_CAMPOS</t>
        </is>
      </c>
      <c r="D620" s="5" t="n">
        <v>238.33</v>
      </c>
      <c r="E620" s="5" t="n">
        <v>0</v>
      </c>
      <c r="F620" s="4" t="inlineStr">
        <is>
          <t>Cadastro sem aprovacao ou aprovado pelo proprio cadastrador</t>
        </is>
      </c>
    </row>
    <row r="621">
      <c r="A621" s="4" t="inlineStr">
        <is>
          <t>T07_MAKER_CHECKER</t>
        </is>
      </c>
      <c r="B621" s="4" t="inlineStr">
        <is>
          <t>IMB-0090520</t>
        </is>
      </c>
      <c r="C621" s="4" t="inlineStr">
        <is>
          <t>DESENVOLVIMENTO_CAMPOS</t>
        </is>
      </c>
      <c r="D621" s="5" t="n">
        <v>238.03</v>
      </c>
      <c r="E621" s="5" t="n">
        <v>0</v>
      </c>
      <c r="F621" s="4" t="inlineStr">
        <is>
          <t>Cadastro sem aprovacao ou aprovado pelo proprio cadastrador</t>
        </is>
      </c>
    </row>
    <row r="622">
      <c r="A622" s="4" t="inlineStr">
        <is>
          <t>T07_MAKER_CHECKER</t>
        </is>
      </c>
      <c r="B622" s="4" t="inlineStr">
        <is>
          <t>IMB-0092066</t>
        </is>
      </c>
      <c r="C622" s="4" t="inlineStr">
        <is>
          <t>DESENVOLVIMENTO_CAMPOS</t>
        </is>
      </c>
      <c r="D622" s="5" t="n">
        <v>63772.54</v>
      </c>
      <c r="E622" s="5" t="n">
        <v>0</v>
      </c>
      <c r="F622" s="4" t="inlineStr">
        <is>
          <t>Cadastro sem aprovacao ou aprovado pelo proprio cadastrador</t>
        </is>
      </c>
    </row>
    <row r="623">
      <c r="A623" s="4" t="inlineStr">
        <is>
          <t>T07_MAKER_CHECKER</t>
        </is>
      </c>
      <c r="B623" s="4" t="inlineStr">
        <is>
          <t>IMB-0094418</t>
        </is>
      </c>
      <c r="C623" s="4" t="inlineStr">
        <is>
          <t>OUTROS</t>
        </is>
      </c>
      <c r="D623" s="5" t="n">
        <v>900.67</v>
      </c>
      <c r="E623" s="5" t="n">
        <v>0</v>
      </c>
      <c r="F623" s="4" t="inlineStr">
        <is>
          <t>Cadastro sem aprovacao ou aprovado pelo proprio cadastrador</t>
        </is>
      </c>
    </row>
    <row r="624">
      <c r="A624" s="4" t="inlineStr">
        <is>
          <t>T07_MAKER_CHECKER</t>
        </is>
      </c>
      <c r="B624" s="4" t="inlineStr">
        <is>
          <t>IMB-0095443</t>
        </is>
      </c>
      <c r="C624" s="4" t="inlineStr">
        <is>
          <t>DESENVOLVIMENTO_CAMPOS</t>
        </is>
      </c>
      <c r="D624" s="5" t="n">
        <v>52.49</v>
      </c>
      <c r="E624" s="5" t="n">
        <v>0</v>
      </c>
      <c r="F624" s="4" t="inlineStr">
        <is>
          <t>Cadastro sem aprovacao ou aprovado pelo proprio cadastrador</t>
        </is>
      </c>
    </row>
    <row r="625">
      <c r="A625" s="4" t="inlineStr">
        <is>
          <t>T07_MAKER_CHECKER</t>
        </is>
      </c>
      <c r="B625" s="4" t="inlineStr">
        <is>
          <t>IMB-0097358</t>
        </is>
      </c>
      <c r="C625" s="4" t="inlineStr">
        <is>
          <t>ALMOXARIFADO_INVERSOES_FIXAS</t>
        </is>
      </c>
      <c r="D625" s="5" t="n">
        <v>428.97</v>
      </c>
      <c r="E625" s="5" t="n">
        <v>0</v>
      </c>
      <c r="F625" s="4" t="inlineStr">
        <is>
          <t>Cadastro sem aprovacao ou aprovado pelo proprio cadastrador</t>
        </is>
      </c>
    </row>
    <row r="626">
      <c r="A626" s="4" t="inlineStr">
        <is>
          <t>T07_MAKER_CHECKER</t>
        </is>
      </c>
      <c r="B626" s="4" t="inlineStr">
        <is>
          <t>IMB-0097554</t>
        </is>
      </c>
      <c r="C626" s="4" t="inlineStr">
        <is>
          <t>ALMOXARIFADO_INVERSOES_FIXAS</t>
        </is>
      </c>
      <c r="D626" s="5" t="n">
        <v>3730.19</v>
      </c>
      <c r="E626" s="5" t="n">
        <v>0</v>
      </c>
      <c r="F626" s="4" t="inlineStr">
        <is>
          <t>Cadastro sem aprovacao ou aprovado pelo proprio cadastrador</t>
        </is>
      </c>
    </row>
    <row r="627">
      <c r="A627" s="4" t="inlineStr">
        <is>
          <t>T07_MAKER_CHECKER</t>
        </is>
      </c>
      <c r="B627" s="4" t="inlineStr">
        <is>
          <t>IMB-0099520</t>
        </is>
      </c>
      <c r="C627" s="4" t="inlineStr">
        <is>
          <t>OUTROS</t>
        </is>
      </c>
      <c r="D627" s="5" t="n">
        <v>461.83</v>
      </c>
      <c r="E627" s="5" t="n">
        <v>0</v>
      </c>
      <c r="F627" s="4" t="inlineStr">
        <is>
          <t>Cadastro sem aprovacao ou aprovado pelo proprio cadastrador</t>
        </is>
      </c>
    </row>
    <row r="628">
      <c r="A628" s="4" t="inlineStr">
        <is>
          <t>T07_MAKER_CHECKER</t>
        </is>
      </c>
      <c r="B628" s="4" t="inlineStr">
        <is>
          <t>IMB-0101041</t>
        </is>
      </c>
      <c r="C628" s="4" t="inlineStr">
        <is>
          <t>DESENVOLVIMENTO_CAMPOS</t>
        </is>
      </c>
      <c r="D628" s="5" t="n">
        <v>131.03</v>
      </c>
      <c r="E628" s="5" t="n">
        <v>0</v>
      </c>
      <c r="F628" s="4" t="inlineStr">
        <is>
          <t>Cadastro sem aprovacao ou aprovado pelo proprio cadastrador</t>
        </is>
      </c>
    </row>
    <row r="629">
      <c r="A629" s="4" t="inlineStr">
        <is>
          <t>T07_MAKER_CHECKER</t>
        </is>
      </c>
      <c r="B629" s="4" t="inlineStr">
        <is>
          <t>IMB-0103516</t>
        </is>
      </c>
      <c r="C629" s="4" t="inlineStr">
        <is>
          <t>ALMOXARIFADO_INVERSOES_FIXAS</t>
        </is>
      </c>
      <c r="D629" s="5" t="n">
        <v>1935.41</v>
      </c>
      <c r="E629" s="5" t="n">
        <v>0</v>
      </c>
      <c r="F629" s="4" t="inlineStr">
        <is>
          <t>Cadastro sem aprovacao ou aprovado pelo proprio cadastrador</t>
        </is>
      </c>
    </row>
    <row r="630">
      <c r="A630" s="4" t="inlineStr">
        <is>
          <t>T07_MAKER_CHECKER</t>
        </is>
      </c>
      <c r="B630" s="4" t="inlineStr">
        <is>
          <t>IMB-0105963</t>
        </is>
      </c>
      <c r="C630" s="4" t="inlineStr">
        <is>
          <t>DESENVOLVIMENTO_CAMPOS</t>
        </is>
      </c>
      <c r="D630" s="5" t="n">
        <v>136621.15</v>
      </c>
      <c r="E630" s="5" t="n">
        <v>0</v>
      </c>
      <c r="F630" s="4" t="inlineStr">
        <is>
          <t>Cadastro sem aprovacao ou aprovado pelo proprio cadastrador</t>
        </is>
      </c>
    </row>
    <row r="631">
      <c r="A631" s="4" t="inlineStr">
        <is>
          <t>T07_MAKER_CHECKER</t>
        </is>
      </c>
      <c r="B631" s="4" t="inlineStr">
        <is>
          <t>IMB-0106210</t>
        </is>
      </c>
      <c r="C631" s="4" t="inlineStr">
        <is>
          <t>DESENVOLVIMENTO_CAMPOS</t>
        </is>
      </c>
      <c r="D631" s="5" t="n">
        <v>35918.98</v>
      </c>
      <c r="E631" s="5" t="n">
        <v>0</v>
      </c>
      <c r="F631" s="4" t="inlineStr">
        <is>
          <t>Cadastro sem aprovacao ou aprovado pelo proprio cadastrador</t>
        </is>
      </c>
    </row>
    <row r="632">
      <c r="A632" s="4" t="inlineStr">
        <is>
          <t>T07_MAKER_CHECKER</t>
        </is>
      </c>
      <c r="B632" s="4" t="inlineStr">
        <is>
          <t>IMB-0107794</t>
        </is>
      </c>
      <c r="C632" s="4" t="inlineStr">
        <is>
          <t>DESENVOLVIMENTO_CAMPOS</t>
        </is>
      </c>
      <c r="D632" s="5" t="n">
        <v>22493.06</v>
      </c>
      <c r="E632" s="5" t="n">
        <v>0</v>
      </c>
      <c r="F632" s="4" t="inlineStr">
        <is>
          <t>Cadastro sem aprovacao ou aprovado pelo proprio cadastrador</t>
        </is>
      </c>
    </row>
    <row r="633">
      <c r="A633" s="4" t="inlineStr">
        <is>
          <t>T07_MAKER_CHECKER</t>
        </is>
      </c>
      <c r="B633" s="4" t="inlineStr">
        <is>
          <t>IMB-0108997</t>
        </is>
      </c>
      <c r="C633" s="4" t="inlineStr">
        <is>
          <t>MAQUINAS_EQUIPAMENTOS</t>
        </is>
      </c>
      <c r="D633" s="5" t="n">
        <v>1133.71</v>
      </c>
      <c r="E633" s="5" t="n">
        <v>0</v>
      </c>
      <c r="F633" s="4" t="inlineStr">
        <is>
          <t>Cadastro sem aprovacao ou aprovado pelo proprio cadastrador</t>
        </is>
      </c>
    </row>
    <row r="634">
      <c r="A634" s="4" t="inlineStr">
        <is>
          <t>T07_MAKER_CHECKER</t>
        </is>
      </c>
      <c r="B634" s="4" t="inlineStr">
        <is>
          <t>IMB-0109213</t>
        </is>
      </c>
      <c r="C634" s="4" t="inlineStr">
        <is>
          <t>DESENVOLVIMENTO_CAMPOS</t>
        </is>
      </c>
      <c r="D634" s="5" t="n">
        <v>135531.43</v>
      </c>
      <c r="E634" s="5" t="n">
        <v>0</v>
      </c>
      <c r="F634" s="4" t="inlineStr">
        <is>
          <t>Cadastro sem aprovacao ou aprovado pelo proprio cadastrador</t>
        </is>
      </c>
    </row>
    <row r="635">
      <c r="A635" s="4" t="inlineStr">
        <is>
          <t>T07_MAKER_CHECKER</t>
        </is>
      </c>
      <c r="B635" s="4" t="inlineStr">
        <is>
          <t>IMB-0109542</t>
        </is>
      </c>
      <c r="C635" s="4" t="inlineStr">
        <is>
          <t>DESENVOLVIMENTO_CAMPOS</t>
        </is>
      </c>
      <c r="D635" s="5" t="n">
        <v>1529.81</v>
      </c>
      <c r="E635" s="5" t="n">
        <v>0</v>
      </c>
      <c r="F635" s="4" t="inlineStr">
        <is>
          <t>Cadastro sem aprovacao ou aprovado pelo proprio cadastrador</t>
        </is>
      </c>
    </row>
    <row r="636">
      <c r="A636" s="4" t="inlineStr">
        <is>
          <t>T07_MAKER_CHECKER</t>
        </is>
      </c>
      <c r="B636" s="4" t="inlineStr">
        <is>
          <t>IMB-0110119</t>
        </is>
      </c>
      <c r="C636" s="4" t="inlineStr">
        <is>
          <t>ALMOXARIFADO_INVERSOES_FIXAS</t>
        </is>
      </c>
      <c r="D636" s="5" t="n">
        <v>1046.48</v>
      </c>
      <c r="E636" s="5" t="n">
        <v>0</v>
      </c>
      <c r="F636" s="4" t="inlineStr">
        <is>
          <t>Cadastro sem aprovacao ou aprovado pelo proprio cadastrador</t>
        </is>
      </c>
    </row>
    <row r="637">
      <c r="A637" s="4" t="inlineStr">
        <is>
          <t>T07_MAKER_CHECKER</t>
        </is>
      </c>
      <c r="B637" s="4" t="inlineStr">
        <is>
          <t>IMB-0110500</t>
        </is>
      </c>
      <c r="C637" s="4" t="inlineStr">
        <is>
          <t>ALMOXARIFADO_INVERSOES_FIXAS</t>
        </is>
      </c>
      <c r="D637" s="5" t="n">
        <v>412.89</v>
      </c>
      <c r="E637" s="5" t="n">
        <v>0</v>
      </c>
      <c r="F637" s="4" t="inlineStr">
        <is>
          <t>Cadastro sem aprovacao ou aprovado pelo proprio cadastrador</t>
        </is>
      </c>
    </row>
    <row r="638">
      <c r="A638" s="4" t="inlineStr">
        <is>
          <t>T07_MAKER_CHECKER</t>
        </is>
      </c>
      <c r="B638" s="4" t="inlineStr">
        <is>
          <t>IMB-0110562</t>
        </is>
      </c>
      <c r="C638" s="4" t="inlineStr">
        <is>
          <t>ALMOXARIFADO_INVERSOES_FIXAS</t>
        </is>
      </c>
      <c r="D638" s="5" t="n">
        <v>512</v>
      </c>
      <c r="E638" s="5" t="n">
        <v>0</v>
      </c>
      <c r="F638" s="4" t="inlineStr">
        <is>
          <t>Cadastro sem aprovacao ou aprovado pelo proprio cadastrador</t>
        </is>
      </c>
    </row>
    <row r="639">
      <c r="A639" s="4" t="inlineStr">
        <is>
          <t>T07_MAKER_CHECKER</t>
        </is>
      </c>
      <c r="B639" s="4" t="inlineStr">
        <is>
          <t>IMB-0110635</t>
        </is>
      </c>
      <c r="C639" s="4" t="inlineStr">
        <is>
          <t>DESENVOLVIMENTO_CAMPOS</t>
        </is>
      </c>
      <c r="D639" s="5" t="n">
        <v>268.28</v>
      </c>
      <c r="E639" s="5" t="n">
        <v>0</v>
      </c>
      <c r="F639" s="4" t="inlineStr">
        <is>
          <t>Cadastro sem aprovacao ou aprovado pelo proprio cadastrador</t>
        </is>
      </c>
    </row>
    <row r="640">
      <c r="A640" s="4" t="inlineStr">
        <is>
          <t>T07_MAKER_CHECKER</t>
        </is>
      </c>
      <c r="B640" s="4" t="inlineStr">
        <is>
          <t>IMB-0111612</t>
        </is>
      </c>
      <c r="C640" s="4" t="inlineStr">
        <is>
          <t>ALMOXARIFADO_INVERSOES_FIXAS</t>
        </is>
      </c>
      <c r="D640" s="5" t="n">
        <v>1134.19</v>
      </c>
      <c r="E640" s="5" t="n">
        <v>0</v>
      </c>
      <c r="F640" s="4" t="inlineStr">
        <is>
          <t>Cadastro sem aprovacao ou aprovado pelo proprio cadastrador</t>
        </is>
      </c>
    </row>
    <row r="641">
      <c r="A641" s="4" t="inlineStr">
        <is>
          <t>T07_MAKER_CHECKER</t>
        </is>
      </c>
      <c r="B641" s="4" t="inlineStr">
        <is>
          <t>IMB-0112253</t>
        </is>
      </c>
      <c r="C641" s="4" t="inlineStr">
        <is>
          <t>DESENVOLVIMENTO_CAMPOS</t>
        </is>
      </c>
      <c r="D641" s="5" t="n">
        <v>11860.27</v>
      </c>
      <c r="E641" s="5" t="n">
        <v>0</v>
      </c>
      <c r="F641" s="4" t="inlineStr">
        <is>
          <t>Cadastro sem aprovacao ou aprovado pelo proprio cadastrador</t>
        </is>
      </c>
    </row>
    <row r="642">
      <c r="A642" s="4" t="inlineStr">
        <is>
          <t>T07_MAKER_CHECKER</t>
        </is>
      </c>
      <c r="B642" s="4" t="inlineStr">
        <is>
          <t>IMB-0112655</t>
        </is>
      </c>
      <c r="C642" s="4" t="inlineStr">
        <is>
          <t>DESENVOLVIMENTO_CAMPOS</t>
        </is>
      </c>
      <c r="D642" s="5" t="n">
        <v>3234.42</v>
      </c>
      <c r="E642" s="5" t="n">
        <v>0</v>
      </c>
      <c r="F642" s="4" t="inlineStr">
        <is>
          <t>Cadastro sem aprovacao ou aprovado pelo proprio cadastrador</t>
        </is>
      </c>
    </row>
    <row r="643">
      <c r="A643" s="4" t="inlineStr">
        <is>
          <t>T07_MAKER_CHECKER</t>
        </is>
      </c>
      <c r="B643" s="4" t="inlineStr">
        <is>
          <t>IMB-0112832</t>
        </is>
      </c>
      <c r="C643" s="4" t="inlineStr">
        <is>
          <t>DESENVOLVIMENTO_CAMPOS</t>
        </is>
      </c>
      <c r="D643" s="5" t="n">
        <v>9116.57</v>
      </c>
      <c r="E643" s="5" t="n">
        <v>0</v>
      </c>
      <c r="F643" s="4" t="inlineStr">
        <is>
          <t>Cadastro sem aprovacao ou aprovado pelo proprio cadastrador</t>
        </is>
      </c>
    </row>
    <row r="644">
      <c r="A644" s="4" t="inlineStr">
        <is>
          <t>T07_MAKER_CHECKER</t>
        </is>
      </c>
      <c r="B644" s="4" t="inlineStr">
        <is>
          <t>IMB-0114225</t>
        </is>
      </c>
      <c r="C644" s="4" t="inlineStr">
        <is>
          <t>DESENVOLVIMENTO_CAMPOS</t>
        </is>
      </c>
      <c r="D644" s="5" t="n">
        <v>376.4</v>
      </c>
      <c r="E644" s="5" t="n">
        <v>0</v>
      </c>
      <c r="F644" s="4" t="inlineStr">
        <is>
          <t>Cadastro sem aprovacao ou aprovado pelo proprio cadastrador</t>
        </is>
      </c>
    </row>
    <row r="645">
      <c r="A645" s="4" t="inlineStr">
        <is>
          <t>T07_MAKER_CHECKER</t>
        </is>
      </c>
      <c r="B645" s="4" t="inlineStr">
        <is>
          <t>IMB-0115916</t>
        </is>
      </c>
      <c r="C645" s="4" t="inlineStr">
        <is>
          <t>DESENVOLVIMENTO_CAMPOS</t>
        </is>
      </c>
      <c r="D645" s="5" t="n">
        <v>47500.86</v>
      </c>
      <c r="E645" s="5" t="n">
        <v>0</v>
      </c>
      <c r="F645" s="4" t="inlineStr">
        <is>
          <t>Cadastro sem aprovacao ou aprovado pelo proprio cadastrador</t>
        </is>
      </c>
    </row>
    <row r="646">
      <c r="A646" s="4" t="inlineStr">
        <is>
          <t>T07_MAKER_CHECKER</t>
        </is>
      </c>
      <c r="B646" s="4" t="inlineStr">
        <is>
          <t>IMB-0116541</t>
        </is>
      </c>
      <c r="C646" s="4" t="inlineStr">
        <is>
          <t>ALMOXARIFADO_INVERSOES_FIXAS</t>
        </is>
      </c>
      <c r="D646" s="5" t="n">
        <v>427.21</v>
      </c>
      <c r="E646" s="5" t="n">
        <v>0</v>
      </c>
      <c r="F646" s="4" t="inlineStr">
        <is>
          <t>Cadastro sem aprovacao ou aprovado pelo proprio cadastrador</t>
        </is>
      </c>
    </row>
    <row r="647">
      <c r="A647" s="4" t="inlineStr">
        <is>
          <t>T07_MAKER_CHECKER</t>
        </is>
      </c>
      <c r="B647" s="4" t="inlineStr">
        <is>
          <t>IMB-0116931</t>
        </is>
      </c>
      <c r="C647" s="4" t="inlineStr">
        <is>
          <t>MAQUINAS_EQUIPAMENTOS</t>
        </is>
      </c>
      <c r="D647" s="5" t="n">
        <v>101.3</v>
      </c>
      <c r="E647" s="5" t="n">
        <v>0</v>
      </c>
      <c r="F647" s="4" t="inlineStr">
        <is>
          <t>Cadastro sem aprovacao ou aprovado pelo proprio cadastrador</t>
        </is>
      </c>
    </row>
    <row r="648">
      <c r="A648" s="4" t="inlineStr">
        <is>
          <t>T07_MAKER_CHECKER</t>
        </is>
      </c>
      <c r="B648" s="4" t="inlineStr">
        <is>
          <t>IMB-0118347</t>
        </is>
      </c>
      <c r="C648" s="4" t="inlineStr">
        <is>
          <t>DESENVOLVIMENTO_CAMPOS</t>
        </is>
      </c>
      <c r="D648" s="5" t="n">
        <v>114.57</v>
      </c>
      <c r="E648" s="5" t="n">
        <v>0</v>
      </c>
      <c r="F648" s="4" t="inlineStr">
        <is>
          <t>Cadastro sem aprovacao ou aprovado pelo proprio cadastrador</t>
        </is>
      </c>
    </row>
    <row r="649">
      <c r="A649" s="4" t="inlineStr">
        <is>
          <t>T07_MAKER_CHECKER</t>
        </is>
      </c>
      <c r="B649" s="4" t="inlineStr">
        <is>
          <t>IMB-0120166</t>
        </is>
      </c>
      <c r="C649" s="4" t="inlineStr">
        <is>
          <t>DESENVOLVIMENTO_CAMPOS</t>
        </is>
      </c>
      <c r="D649" s="5" t="n">
        <v>562.84</v>
      </c>
      <c r="E649" s="5" t="n">
        <v>0</v>
      </c>
      <c r="F649" s="4" t="inlineStr">
        <is>
          <t>Cadastro sem aprovacao ou aprovado pelo proprio cadastrador</t>
        </is>
      </c>
    </row>
    <row r="650">
      <c r="A650" s="4" t="inlineStr">
        <is>
          <t>T07_MAKER_CHECKER</t>
        </is>
      </c>
      <c r="B650" s="4" t="inlineStr">
        <is>
          <t>IMB-0120517</t>
        </is>
      </c>
      <c r="C650" s="4" t="inlineStr">
        <is>
          <t>ALMOXARIFADO_INVERSOES_FIXAS</t>
        </is>
      </c>
      <c r="D650" s="5" t="n">
        <v>101.73</v>
      </c>
      <c r="E650" s="5" t="n">
        <v>0</v>
      </c>
      <c r="F650" s="4" t="inlineStr">
        <is>
          <t>Cadastro sem aprovacao ou aprovado pelo proprio cadastrador</t>
        </is>
      </c>
    </row>
    <row r="651">
      <c r="A651" s="4" t="inlineStr">
        <is>
          <t>T07_MAKER_CHECKER</t>
        </is>
      </c>
      <c r="B651" s="4" t="inlineStr">
        <is>
          <t>IMB-0121484</t>
        </is>
      </c>
      <c r="C651" s="4" t="inlineStr">
        <is>
          <t>DESENVOLVIMENTO_CAMPOS</t>
        </is>
      </c>
      <c r="D651" s="5" t="n">
        <v>803.25</v>
      </c>
      <c r="E651" s="5" t="n">
        <v>0</v>
      </c>
      <c r="F651" s="4" t="inlineStr">
        <is>
          <t>Cadastro sem aprovacao ou aprovado pelo proprio cadastrador</t>
        </is>
      </c>
    </row>
    <row r="652">
      <c r="A652" s="4" t="inlineStr">
        <is>
          <t>T07_MAKER_CHECKER</t>
        </is>
      </c>
      <c r="B652" s="4" t="inlineStr">
        <is>
          <t>IMB-0121707</t>
        </is>
      </c>
      <c r="C652" s="4" t="inlineStr">
        <is>
          <t>MAQUINAS_EQUIPAMENTOS</t>
        </is>
      </c>
      <c r="D652" s="5" t="n">
        <v>12808.45</v>
      </c>
      <c r="E652" s="5" t="n">
        <v>0</v>
      </c>
      <c r="F652" s="4" t="inlineStr">
        <is>
          <t>Cadastro sem aprovacao ou aprovado pelo proprio cadastrador</t>
        </is>
      </c>
    </row>
    <row r="653">
      <c r="A653" s="4" t="inlineStr">
        <is>
          <t>T07_MAKER_CHECKER</t>
        </is>
      </c>
      <c r="B653" s="4" t="inlineStr">
        <is>
          <t>IMB-0122294</t>
        </is>
      </c>
      <c r="C653" s="4" t="inlineStr">
        <is>
          <t>DESENVOLVIMENTO_CAMPOS</t>
        </is>
      </c>
      <c r="D653" s="5" t="n">
        <v>11.06</v>
      </c>
      <c r="E653" s="5" t="n">
        <v>0</v>
      </c>
      <c r="F653" s="4" t="inlineStr">
        <is>
          <t>Cadastro sem aprovacao ou aprovado pelo proprio cadastrador</t>
        </is>
      </c>
    </row>
    <row r="654">
      <c r="A654" s="4" t="inlineStr">
        <is>
          <t>T07_MAKER_CHECKER</t>
        </is>
      </c>
      <c r="B654" s="4" t="inlineStr">
        <is>
          <t>IMB-0123022</t>
        </is>
      </c>
      <c r="C654" s="4" t="inlineStr">
        <is>
          <t>MAQUINAS_EQUIPAMENTOS</t>
        </is>
      </c>
      <c r="D654" s="5" t="n">
        <v>7371.79</v>
      </c>
      <c r="E654" s="5" t="n">
        <v>0</v>
      </c>
      <c r="F654" s="4" t="inlineStr">
        <is>
          <t>Cadastro sem aprovacao ou aprovado pelo proprio cadastrador</t>
        </is>
      </c>
    </row>
    <row r="655">
      <c r="A655" s="4" t="inlineStr">
        <is>
          <t>T07_MAKER_CHECKER</t>
        </is>
      </c>
      <c r="B655" s="4" t="inlineStr">
        <is>
          <t>IMB-0124577</t>
        </is>
      </c>
      <c r="C655" s="4" t="inlineStr">
        <is>
          <t>DESENVOLVIMENTO_CAMPOS</t>
        </is>
      </c>
      <c r="D655" s="5" t="n">
        <v>267.87</v>
      </c>
      <c r="E655" s="5" t="n">
        <v>0</v>
      </c>
      <c r="F655" s="4" t="inlineStr">
        <is>
          <t>Cadastro sem aprovacao ou aprovado pelo proprio cadastrador</t>
        </is>
      </c>
    </row>
    <row r="656">
      <c r="A656" s="4" t="inlineStr">
        <is>
          <t>T07_MAKER_CHECKER</t>
        </is>
      </c>
      <c r="B656" s="4" t="inlineStr">
        <is>
          <t>IMB-0124714</t>
        </is>
      </c>
      <c r="C656" s="4" t="inlineStr">
        <is>
          <t>DESENVOLVIMENTO_CAMPOS</t>
        </is>
      </c>
      <c r="D656" s="5" t="n">
        <v>32.88</v>
      </c>
      <c r="E656" s="5" t="n">
        <v>0</v>
      </c>
      <c r="F656" s="4" t="inlineStr">
        <is>
          <t>Cadastro sem aprovacao ou aprovado pelo proprio cadastrador</t>
        </is>
      </c>
    </row>
    <row r="657">
      <c r="A657" s="4" t="inlineStr">
        <is>
          <t>T07_MAKER_CHECKER</t>
        </is>
      </c>
      <c r="B657" s="4" t="inlineStr">
        <is>
          <t>IMB-0125625</t>
        </is>
      </c>
      <c r="C657" s="4" t="inlineStr">
        <is>
          <t>OUTROS</t>
        </is>
      </c>
      <c r="D657" s="5" t="n">
        <v>0</v>
      </c>
      <c r="E657" s="5" t="n">
        <v>0</v>
      </c>
      <c r="F657" s="4" t="inlineStr">
        <is>
          <t>Cadastro sem aprovacao ou aprovado pelo proprio cadastrador</t>
        </is>
      </c>
    </row>
    <row r="658">
      <c r="A658" s="4" t="inlineStr">
        <is>
          <t>T07_MAKER_CHECKER</t>
        </is>
      </c>
      <c r="B658" s="4" t="inlineStr">
        <is>
          <t>IMB-0125747</t>
        </is>
      </c>
      <c r="C658" s="4" t="inlineStr">
        <is>
          <t>ALMOXARIFADO_INVERSOES_FIXAS</t>
        </is>
      </c>
      <c r="D658" s="5" t="n">
        <v>3906.46</v>
      </c>
      <c r="E658" s="5" t="n">
        <v>0</v>
      </c>
      <c r="F658" s="4" t="inlineStr">
        <is>
          <t>Cadastro sem aprovacao ou aprovado pelo proprio cadastrador</t>
        </is>
      </c>
    </row>
    <row r="659">
      <c r="A659" s="4" t="inlineStr">
        <is>
          <t>T07_MAKER_CHECKER</t>
        </is>
      </c>
      <c r="B659" s="4" t="inlineStr">
        <is>
          <t>IMB-0129743</t>
        </is>
      </c>
      <c r="C659" s="4" t="inlineStr">
        <is>
          <t>OUTROS</t>
        </is>
      </c>
      <c r="D659" s="5" t="n">
        <v>366.09</v>
      </c>
      <c r="E659" s="5" t="n">
        <v>0</v>
      </c>
      <c r="F659" s="4" t="inlineStr">
        <is>
          <t>Cadastro sem aprovacao ou aprovado pelo proprio cadastrador</t>
        </is>
      </c>
    </row>
    <row r="660">
      <c r="A660" s="4" t="inlineStr">
        <is>
          <t>T07_MAKER_CHECKER</t>
        </is>
      </c>
      <c r="B660" s="4" t="inlineStr">
        <is>
          <t>IMB-0131973</t>
        </is>
      </c>
      <c r="C660" s="4" t="inlineStr">
        <is>
          <t>ALMOXARIFADO_INVERSOES_FIXAS</t>
        </is>
      </c>
      <c r="D660" s="5" t="n">
        <v>366.07</v>
      </c>
      <c r="E660" s="5" t="n">
        <v>0</v>
      </c>
      <c r="F660" s="4" t="inlineStr">
        <is>
          <t>Cadastro sem aprovacao ou aprovado pelo proprio cadastrador</t>
        </is>
      </c>
    </row>
    <row r="661">
      <c r="A661" s="4" t="inlineStr">
        <is>
          <t>T07_MAKER_CHECKER</t>
        </is>
      </c>
      <c r="B661" s="4" t="inlineStr">
        <is>
          <t>IMB-0132085</t>
        </is>
      </c>
      <c r="C661" s="4" t="inlineStr">
        <is>
          <t>DESENVOLVIMENTO_CAMPOS</t>
        </is>
      </c>
      <c r="D661" s="5" t="n">
        <v>2062.92</v>
      </c>
      <c r="E661" s="5" t="n">
        <v>0</v>
      </c>
      <c r="F661" s="4" t="inlineStr">
        <is>
          <t>Cadastro sem aprovacao ou aprovado pelo proprio cadastrador</t>
        </is>
      </c>
    </row>
    <row r="662">
      <c r="A662" s="4" t="inlineStr">
        <is>
          <t>T07_MAKER_CHECKER</t>
        </is>
      </c>
      <c r="B662" s="4" t="inlineStr">
        <is>
          <t>IMB-0132181</t>
        </is>
      </c>
      <c r="C662" s="4" t="inlineStr">
        <is>
          <t>ALMOXARIFADO_INVERSOES_FIXAS</t>
        </is>
      </c>
      <c r="D662" s="5" t="n">
        <v>849.13</v>
      </c>
      <c r="E662" s="5" t="n">
        <v>0</v>
      </c>
      <c r="F662" s="4" t="inlineStr">
        <is>
          <t>Cadastro sem aprovacao ou aprovado pelo proprio cadastrador</t>
        </is>
      </c>
    </row>
    <row r="663">
      <c r="A663" s="4" t="inlineStr">
        <is>
          <t>T07_MAKER_CHECKER</t>
        </is>
      </c>
      <c r="B663" s="4" t="inlineStr">
        <is>
          <t>IMB-0133106</t>
        </is>
      </c>
      <c r="C663" s="4" t="inlineStr">
        <is>
          <t>DESENVOLVIMENTO_CAMPOS</t>
        </is>
      </c>
      <c r="D663" s="5" t="n">
        <v>62.97</v>
      </c>
      <c r="E663" s="5" t="n">
        <v>0</v>
      </c>
      <c r="F663" s="4" t="inlineStr">
        <is>
          <t>Cadastro sem aprovacao ou aprovado pelo proprio cadastrador</t>
        </is>
      </c>
    </row>
    <row r="664">
      <c r="A664" s="4" t="inlineStr">
        <is>
          <t>T07_MAKER_CHECKER</t>
        </is>
      </c>
      <c r="B664" s="4" t="inlineStr">
        <is>
          <t>IMB-0133520</t>
        </is>
      </c>
      <c r="C664" s="4" t="inlineStr">
        <is>
          <t>ALMOXARIFADO_INVERSOES_FIXAS</t>
        </is>
      </c>
      <c r="D664" s="5" t="n">
        <v>103.46</v>
      </c>
      <c r="E664" s="5" t="n">
        <v>0</v>
      </c>
      <c r="F664" s="4" t="inlineStr">
        <is>
          <t>Cadastro sem aprovacao ou aprovado pelo proprio cadastrador</t>
        </is>
      </c>
    </row>
    <row r="665">
      <c r="A665" s="4" t="inlineStr">
        <is>
          <t>T07_MAKER_CHECKER</t>
        </is>
      </c>
      <c r="B665" s="4" t="inlineStr">
        <is>
          <t>IMB-0133716</t>
        </is>
      </c>
      <c r="C665" s="4" t="inlineStr">
        <is>
          <t>ALMOXARIFADO_INVERSOES_FIXAS</t>
        </is>
      </c>
      <c r="D665" s="5" t="n">
        <v>234.33</v>
      </c>
      <c r="E665" s="5" t="n">
        <v>0</v>
      </c>
      <c r="F665" s="4" t="inlineStr">
        <is>
          <t>Cadastro sem aprovacao ou aprovado pelo proprio cadastrador</t>
        </is>
      </c>
    </row>
    <row r="666">
      <c r="A666" s="4" t="inlineStr">
        <is>
          <t>T07_MAKER_CHECKER</t>
        </is>
      </c>
      <c r="B666" s="4" t="inlineStr">
        <is>
          <t>IMB-0134232</t>
        </is>
      </c>
      <c r="C666" s="4" t="inlineStr">
        <is>
          <t>MAQUINAS_EQUIPAMENTOS</t>
        </is>
      </c>
      <c r="D666" s="5" t="n">
        <v>170.17</v>
      </c>
      <c r="E666" s="5" t="n">
        <v>0</v>
      </c>
      <c r="F666" s="4" t="inlineStr">
        <is>
          <t>Cadastro sem aprovacao ou aprovado pelo proprio cadastrador</t>
        </is>
      </c>
    </row>
    <row r="667">
      <c r="A667" s="4" t="inlineStr">
        <is>
          <t>T07_MAKER_CHECKER</t>
        </is>
      </c>
      <c r="B667" s="4" t="inlineStr">
        <is>
          <t>IMB-0135466</t>
        </is>
      </c>
      <c r="C667" s="4" t="inlineStr">
        <is>
          <t>ALMOXARIFADO_INVERSOES_FIXAS</t>
        </is>
      </c>
      <c r="D667" s="5" t="n">
        <v>1128.62</v>
      </c>
      <c r="E667" s="5" t="n">
        <v>0</v>
      </c>
      <c r="F667" s="4" t="inlineStr">
        <is>
          <t>Cadastro sem aprovacao ou aprovado pelo proprio cadastrador</t>
        </is>
      </c>
    </row>
    <row r="668">
      <c r="A668" s="4" t="inlineStr">
        <is>
          <t>T07_MAKER_CHECKER</t>
        </is>
      </c>
      <c r="B668" s="4" t="inlineStr">
        <is>
          <t>IMB-0136465</t>
        </is>
      </c>
      <c r="C668" s="4" t="inlineStr">
        <is>
          <t>DESENVOLVIMENTO_CAMPOS</t>
        </is>
      </c>
      <c r="D668" s="5" t="n">
        <v>43842.16</v>
      </c>
      <c r="E668" s="5" t="n">
        <v>0</v>
      </c>
      <c r="F668" s="4" t="inlineStr">
        <is>
          <t>Cadastro sem aprovacao ou aprovado pelo proprio cadastrador</t>
        </is>
      </c>
    </row>
    <row r="669">
      <c r="A669" s="4" t="inlineStr">
        <is>
          <t>T07_MAKER_CHECKER</t>
        </is>
      </c>
      <c r="B669" s="4" t="inlineStr">
        <is>
          <t>IMB-0136756</t>
        </is>
      </c>
      <c r="C669" s="4" t="inlineStr">
        <is>
          <t>DESENVOLVIMENTO_CAMPOS</t>
        </is>
      </c>
      <c r="D669" s="5" t="n">
        <v>4604.9</v>
      </c>
      <c r="E669" s="5" t="n">
        <v>0</v>
      </c>
      <c r="F669" s="4" t="inlineStr">
        <is>
          <t>Cadastro sem aprovacao ou aprovado pelo proprio cadastrador</t>
        </is>
      </c>
    </row>
    <row r="670">
      <c r="A670" s="4" t="inlineStr">
        <is>
          <t>T07_MAKER_CHECKER</t>
        </is>
      </c>
      <c r="B670" s="4" t="inlineStr">
        <is>
          <t>IMB-0137623</t>
        </is>
      </c>
      <c r="C670" s="4" t="inlineStr">
        <is>
          <t>MAQUINAS_EQUIPAMENTOS</t>
        </is>
      </c>
      <c r="D670" s="5" t="n">
        <v>45964.83</v>
      </c>
      <c r="E670" s="5" t="n">
        <v>0</v>
      </c>
      <c r="F670" s="4" t="inlineStr">
        <is>
          <t>Cadastro sem aprovacao ou aprovado pelo proprio cadastrador</t>
        </is>
      </c>
    </row>
    <row r="671">
      <c r="A671" s="4" t="inlineStr">
        <is>
          <t>T07_MAKER_CHECKER</t>
        </is>
      </c>
      <c r="B671" s="4" t="inlineStr">
        <is>
          <t>IMB-0137797</t>
        </is>
      </c>
      <c r="C671" s="4" t="inlineStr">
        <is>
          <t>DESENVOLVIMENTO_CAMPOS</t>
        </is>
      </c>
      <c r="D671" s="5" t="n">
        <v>5045.81</v>
      </c>
      <c r="E671" s="5" t="n">
        <v>0</v>
      </c>
      <c r="F671" s="4" t="inlineStr">
        <is>
          <t>Cadastro sem aprovacao ou aprovado pelo proprio cadastrador</t>
        </is>
      </c>
    </row>
    <row r="672">
      <c r="A672" s="4" t="inlineStr">
        <is>
          <t>T07_MAKER_CHECKER</t>
        </is>
      </c>
      <c r="B672" s="4" t="inlineStr">
        <is>
          <t>IMB-0140046</t>
        </is>
      </c>
      <c r="C672" s="4" t="inlineStr">
        <is>
          <t>ALMOXARIFADO_INVERSOES_FIXAS</t>
        </is>
      </c>
      <c r="D672" s="5" t="n">
        <v>497.09</v>
      </c>
      <c r="E672" s="5" t="n">
        <v>0</v>
      </c>
      <c r="F672" s="4" t="inlineStr">
        <is>
          <t>Cadastro sem aprovacao ou aprovado pelo proprio cadastrador</t>
        </is>
      </c>
    </row>
    <row r="673">
      <c r="A673" s="4" t="inlineStr">
        <is>
          <t>T07_MAKER_CHECKER</t>
        </is>
      </c>
      <c r="B673" s="4" t="inlineStr">
        <is>
          <t>IMB-0140213</t>
        </is>
      </c>
      <c r="C673" s="4" t="inlineStr">
        <is>
          <t>OUTROS</t>
        </is>
      </c>
      <c r="D673" s="5" t="n">
        <v>165.68</v>
      </c>
      <c r="E673" s="5" t="n">
        <v>0</v>
      </c>
      <c r="F673" s="4" t="inlineStr">
        <is>
          <t>Cadastro sem aprovacao ou aprovado pelo proprio cadastrador</t>
        </is>
      </c>
    </row>
    <row r="674">
      <c r="A674" s="4" t="inlineStr">
        <is>
          <t>T07_MAKER_CHECKER</t>
        </is>
      </c>
      <c r="B674" s="4" t="inlineStr">
        <is>
          <t>IMB-0144993</t>
        </is>
      </c>
      <c r="C674" s="4" t="inlineStr">
        <is>
          <t>ALMOXARIFADO_INVERSOES_FIXAS</t>
        </is>
      </c>
      <c r="D674" s="5" t="n">
        <v>948.63</v>
      </c>
      <c r="E674" s="5" t="n">
        <v>0</v>
      </c>
      <c r="F674" s="4" t="inlineStr">
        <is>
          <t>Cadastro sem aprovacao ou aprovado pelo proprio cadastrador</t>
        </is>
      </c>
    </row>
    <row r="675">
      <c r="A675" s="4" t="inlineStr">
        <is>
          <t>T07_MAKER_CHECKER</t>
        </is>
      </c>
      <c r="B675" s="4" t="inlineStr">
        <is>
          <t>IMB-0145375</t>
        </is>
      </c>
      <c r="C675" s="4" t="inlineStr">
        <is>
          <t>ALMOXARIFADO_INVERSOES_FIXAS</t>
        </is>
      </c>
      <c r="D675" s="5" t="n">
        <v>2096.2</v>
      </c>
      <c r="E675" s="5" t="n">
        <v>0</v>
      </c>
      <c r="F675" s="4" t="inlineStr">
        <is>
          <t>Cadastro sem aprovacao ou aprovado pelo proprio cadastrador</t>
        </is>
      </c>
    </row>
    <row r="676">
      <c r="A676" s="4" t="inlineStr">
        <is>
          <t>T07_MAKER_CHECKER</t>
        </is>
      </c>
      <c r="B676" s="4" t="inlineStr">
        <is>
          <t>IMB-0145741</t>
        </is>
      </c>
      <c r="C676" s="4" t="inlineStr">
        <is>
          <t>OUTROS</t>
        </is>
      </c>
      <c r="D676" s="5" t="n">
        <v>150.67</v>
      </c>
      <c r="E676" s="5" t="n">
        <v>0</v>
      </c>
      <c r="F676" s="4" t="inlineStr">
        <is>
          <t>Cadastro sem aprovacao ou aprovado pelo proprio cadastrador</t>
        </is>
      </c>
    </row>
    <row r="677">
      <c r="A677" s="4" t="inlineStr">
        <is>
          <t>T07_MAKER_CHECKER</t>
        </is>
      </c>
      <c r="B677" s="4" t="inlineStr">
        <is>
          <t>IMB-0145868</t>
        </is>
      </c>
      <c r="C677" s="4" t="inlineStr">
        <is>
          <t>MAQUINAS_EQUIPAMENTOS</t>
        </is>
      </c>
      <c r="D677" s="5" t="n">
        <v>819.5</v>
      </c>
      <c r="E677" s="5" t="n">
        <v>0</v>
      </c>
      <c r="F677" s="4" t="inlineStr">
        <is>
          <t>Cadastro sem aprovacao ou aprovado pelo proprio cadastrador</t>
        </is>
      </c>
    </row>
    <row r="678">
      <c r="A678" s="4" t="inlineStr">
        <is>
          <t>T07_MAKER_CHECKER</t>
        </is>
      </c>
      <c r="B678" s="4" t="inlineStr">
        <is>
          <t>IMB-0145979</t>
        </is>
      </c>
      <c r="C678" s="4" t="inlineStr">
        <is>
          <t>OUTROS</t>
        </is>
      </c>
      <c r="D678" s="5" t="n">
        <v>167.63</v>
      </c>
      <c r="E678" s="5" t="n">
        <v>0</v>
      </c>
      <c r="F678" s="4" t="inlineStr">
        <is>
          <t>Cadastro sem aprovacao ou aprovado pelo proprio cadastrador</t>
        </is>
      </c>
    </row>
    <row r="679">
      <c r="A679" s="4" t="inlineStr">
        <is>
          <t>T07_MAKER_CHECKER</t>
        </is>
      </c>
      <c r="B679" s="4" t="inlineStr">
        <is>
          <t>IMB-0148171</t>
        </is>
      </c>
      <c r="C679" s="4" t="inlineStr">
        <is>
          <t>MAQUINAS_EQUIPAMENTOS</t>
        </is>
      </c>
      <c r="D679" s="5" t="n">
        <v>5977.96</v>
      </c>
      <c r="E679" s="5" t="n">
        <v>0</v>
      </c>
      <c r="F679" s="4" t="inlineStr">
        <is>
          <t>Cadastro sem aprovacao ou aprovado pelo proprio cadastrador</t>
        </is>
      </c>
    </row>
    <row r="680">
      <c r="A680" s="4" t="inlineStr">
        <is>
          <t>T07_MAKER_CHECKER</t>
        </is>
      </c>
      <c r="B680" s="4" t="inlineStr">
        <is>
          <t>IMB-0149416</t>
        </is>
      </c>
      <c r="C680" s="4" t="inlineStr">
        <is>
          <t>MAQUINAS_EQUIPAMENTOS</t>
        </is>
      </c>
      <c r="D680" s="5" t="n">
        <v>21673.07</v>
      </c>
      <c r="E680" s="5" t="n">
        <v>0</v>
      </c>
      <c r="F680" s="4" t="inlineStr">
        <is>
          <t>Cadastro sem aprovacao ou aprovado pelo proprio cadastrador</t>
        </is>
      </c>
    </row>
    <row r="681">
      <c r="A681" s="4" t="inlineStr">
        <is>
          <t>T07_MAKER_CHECKER</t>
        </is>
      </c>
      <c r="B681" s="4" t="inlineStr">
        <is>
          <t>IMB-0152639</t>
        </is>
      </c>
      <c r="C681" s="4" t="inlineStr">
        <is>
          <t>ALMOXARIFADO_INVERSOES_FIXAS</t>
        </is>
      </c>
      <c r="D681" s="5" t="n">
        <v>1605.18</v>
      </c>
      <c r="E681" s="5" t="n">
        <v>0</v>
      </c>
      <c r="F681" s="4" t="inlineStr">
        <is>
          <t>Cadastro sem aprovacao ou aprovado pelo proprio cadastrador</t>
        </is>
      </c>
    </row>
    <row r="682">
      <c r="A682" s="4" t="inlineStr">
        <is>
          <t>T07_MAKER_CHECKER</t>
        </is>
      </c>
      <c r="B682" s="4" t="inlineStr">
        <is>
          <t>IMB-0153666</t>
        </is>
      </c>
      <c r="C682" s="4" t="inlineStr">
        <is>
          <t>ALMOXARIFADO_INVERSOES_FIXAS</t>
        </is>
      </c>
      <c r="D682" s="5" t="n">
        <v>732.71</v>
      </c>
      <c r="E682" s="5" t="n">
        <v>0</v>
      </c>
      <c r="F682" s="4" t="inlineStr">
        <is>
          <t>Cadastro sem aprovacao ou aprovado pelo proprio cadastrador</t>
        </is>
      </c>
    </row>
    <row r="683">
      <c r="A683" s="4" t="inlineStr">
        <is>
          <t>T07_MAKER_CHECKER</t>
        </is>
      </c>
      <c r="B683" s="4" t="inlineStr">
        <is>
          <t>IMB-0153750</t>
        </is>
      </c>
      <c r="C683" s="4" t="inlineStr">
        <is>
          <t>DESENVOLVIMENTO_CAMPOS</t>
        </is>
      </c>
      <c r="D683" s="5" t="n">
        <v>11347.55</v>
      </c>
      <c r="E683" s="5" t="n">
        <v>0</v>
      </c>
      <c r="F683" s="4" t="inlineStr">
        <is>
          <t>Cadastro sem aprovacao ou aprovado pelo proprio cadastrador</t>
        </is>
      </c>
    </row>
    <row r="684">
      <c r="A684" s="4" t="inlineStr">
        <is>
          <t>T07_MAKER_CHECKER</t>
        </is>
      </c>
      <c r="B684" s="4" t="inlineStr">
        <is>
          <t>IMB-0154410</t>
        </is>
      </c>
      <c r="C684" s="4" t="inlineStr">
        <is>
          <t>ALMOXARIFADO_INVERSOES_FIXAS</t>
        </is>
      </c>
      <c r="D684" s="5" t="n">
        <v>352.46</v>
      </c>
      <c r="E684" s="5" t="n">
        <v>0</v>
      </c>
      <c r="F684" s="4" t="inlineStr">
        <is>
          <t>Cadastro sem aprovacao ou aprovado pelo proprio cadastrador</t>
        </is>
      </c>
    </row>
    <row r="685">
      <c r="A685" s="4" t="inlineStr">
        <is>
          <t>T07_MAKER_CHECKER</t>
        </is>
      </c>
      <c r="B685" s="4" t="inlineStr">
        <is>
          <t>IMB-0154779</t>
        </is>
      </c>
      <c r="C685" s="4" t="inlineStr">
        <is>
          <t>DESENVOLVIMENTO_CAMPOS</t>
        </is>
      </c>
      <c r="D685" s="5" t="n">
        <v>3319.58</v>
      </c>
      <c r="E685" s="5" t="n">
        <v>0</v>
      </c>
      <c r="F685" s="4" t="inlineStr">
        <is>
          <t>Cadastro sem aprovacao ou aprovado pelo proprio cadastrador</t>
        </is>
      </c>
    </row>
    <row r="686">
      <c r="A686" s="4" t="inlineStr">
        <is>
          <t>T07_MAKER_CHECKER</t>
        </is>
      </c>
      <c r="B686" s="4" t="inlineStr">
        <is>
          <t>IMB-0155001</t>
        </is>
      </c>
      <c r="C686" s="4" t="inlineStr">
        <is>
          <t>DESENVOLVIMENTO_CAMPOS</t>
        </is>
      </c>
      <c r="D686" s="5" t="n">
        <v>428.84</v>
      </c>
      <c r="E686" s="5" t="n">
        <v>0</v>
      </c>
      <c r="F686" s="4" t="inlineStr">
        <is>
          <t>Cadastro sem aprovacao ou aprovado pelo proprio cadastrador</t>
        </is>
      </c>
    </row>
    <row r="687">
      <c r="A687" s="4" t="inlineStr">
        <is>
          <t>T07_MAKER_CHECKER</t>
        </is>
      </c>
      <c r="B687" s="4" t="inlineStr">
        <is>
          <t>IMB-0156772</t>
        </is>
      </c>
      <c r="C687" s="4" t="inlineStr">
        <is>
          <t>ALMOXARIFADO_INVERSOES_FIXAS</t>
        </is>
      </c>
      <c r="D687" s="5" t="n">
        <v>3533.17</v>
      </c>
      <c r="E687" s="5" t="n">
        <v>0</v>
      </c>
      <c r="F687" s="4" t="inlineStr">
        <is>
          <t>Cadastro sem aprovacao ou aprovado pelo proprio cadastrador</t>
        </is>
      </c>
    </row>
    <row r="688">
      <c r="A688" s="4" t="inlineStr">
        <is>
          <t>T07_MAKER_CHECKER</t>
        </is>
      </c>
      <c r="B688" s="4" t="inlineStr">
        <is>
          <t>IMB-0157269</t>
        </is>
      </c>
      <c r="C688" s="4" t="inlineStr">
        <is>
          <t>DESENVOLVIMENTO_CAMPOS</t>
        </is>
      </c>
      <c r="D688" s="5" t="n">
        <v>24900.11</v>
      </c>
      <c r="E688" s="5" t="n">
        <v>0</v>
      </c>
      <c r="F688" s="4" t="inlineStr">
        <is>
          <t>Cadastro sem aprovacao ou aprovado pelo proprio cadastrador</t>
        </is>
      </c>
    </row>
    <row r="689">
      <c r="A689" s="4" t="inlineStr">
        <is>
          <t>T07_MAKER_CHECKER</t>
        </is>
      </c>
      <c r="B689" s="4" t="inlineStr">
        <is>
          <t>IMB-0160033</t>
        </is>
      </c>
      <c r="C689" s="4" t="inlineStr">
        <is>
          <t>OUTROS</t>
        </is>
      </c>
      <c r="D689" s="5" t="n">
        <v>2296.86</v>
      </c>
      <c r="E689" s="5" t="n">
        <v>0</v>
      </c>
      <c r="F689" s="4" t="inlineStr">
        <is>
          <t>Cadastro sem aprovacao ou aprovado pelo proprio cadastrador</t>
        </is>
      </c>
    </row>
    <row r="690">
      <c r="A690" s="4" t="inlineStr">
        <is>
          <t>T07_MAKER_CHECKER</t>
        </is>
      </c>
      <c r="B690" s="4" t="inlineStr">
        <is>
          <t>IMB-0160542</t>
        </is>
      </c>
      <c r="C690" s="4" t="inlineStr">
        <is>
          <t>ALMOXARIFADO_INVERSOES_FIXAS</t>
        </is>
      </c>
      <c r="D690" s="5" t="n">
        <v>1483.99</v>
      </c>
      <c r="E690" s="5" t="n">
        <v>0</v>
      </c>
      <c r="F690" s="4" t="inlineStr">
        <is>
          <t>Cadastro sem aprovacao ou aprovado pelo proprio cadastrador</t>
        </is>
      </c>
    </row>
    <row r="691">
      <c r="A691" s="4" t="inlineStr">
        <is>
          <t>T07_MAKER_CHECKER</t>
        </is>
      </c>
      <c r="B691" s="4" t="inlineStr">
        <is>
          <t>IMB-0161083</t>
        </is>
      </c>
      <c r="C691" s="4" t="inlineStr">
        <is>
          <t>ALMOXARIFADO_INVERSOES_FIXAS</t>
        </is>
      </c>
      <c r="D691" s="5" t="n">
        <v>11532.88</v>
      </c>
      <c r="E691" s="5" t="n">
        <v>0</v>
      </c>
      <c r="F691" s="4" t="inlineStr">
        <is>
          <t>Cadastro sem aprovacao ou aprovado pelo proprio cadastrador</t>
        </is>
      </c>
    </row>
    <row r="692">
      <c r="A692" s="4" t="inlineStr">
        <is>
          <t>T07_MAKER_CHECKER</t>
        </is>
      </c>
      <c r="B692" s="4" t="inlineStr">
        <is>
          <t>IMB-0161463</t>
        </is>
      </c>
      <c r="C692" s="4" t="inlineStr">
        <is>
          <t>DESENVOLVIMENTO_CAMPOS</t>
        </is>
      </c>
      <c r="D692" s="5" t="n">
        <v>131.6</v>
      </c>
      <c r="E692" s="5" t="n">
        <v>0</v>
      </c>
      <c r="F692" s="4" t="inlineStr">
        <is>
          <t>Cadastro sem aprovacao ou aprovado pelo proprio cadastrador</t>
        </is>
      </c>
    </row>
    <row r="693">
      <c r="A693" s="4" t="inlineStr">
        <is>
          <t>T07_MAKER_CHECKER</t>
        </is>
      </c>
      <c r="B693" s="4" t="inlineStr">
        <is>
          <t>IMB-0162665</t>
        </is>
      </c>
      <c r="C693" s="4" t="inlineStr">
        <is>
          <t>ALMOXARIFADO_INVERSOES_FIXAS</t>
        </is>
      </c>
      <c r="D693" s="5" t="n">
        <v>964.97</v>
      </c>
      <c r="E693" s="5" t="n">
        <v>0</v>
      </c>
      <c r="F693" s="4" t="inlineStr">
        <is>
          <t>Cadastro sem aprovacao ou aprovado pelo proprio cadastrador</t>
        </is>
      </c>
    </row>
    <row r="694">
      <c r="A694" s="4" t="inlineStr">
        <is>
          <t>T07_MAKER_CHECKER</t>
        </is>
      </c>
      <c r="B694" s="4" t="inlineStr">
        <is>
          <t>IMB-0162861</t>
        </is>
      </c>
      <c r="C694" s="4" t="inlineStr">
        <is>
          <t>ALMOXARIFADO_INVERSOES_FIXAS</t>
        </is>
      </c>
      <c r="D694" s="5" t="n">
        <v>731.37</v>
      </c>
      <c r="E694" s="5" t="n">
        <v>0</v>
      </c>
      <c r="F694" s="4" t="inlineStr">
        <is>
          <t>Cadastro sem aprovacao ou aprovado pelo proprio cadastrador</t>
        </is>
      </c>
    </row>
    <row r="695">
      <c r="A695" s="4" t="inlineStr">
        <is>
          <t>T07_MAKER_CHECKER</t>
        </is>
      </c>
      <c r="B695" s="4" t="inlineStr">
        <is>
          <t>IMB-0163057</t>
        </is>
      </c>
      <c r="C695" s="4" t="inlineStr">
        <is>
          <t>DESENVOLVIMENTO_CAMPOS</t>
        </is>
      </c>
      <c r="D695" s="5" t="n">
        <v>209.65</v>
      </c>
      <c r="E695" s="5" t="n">
        <v>0</v>
      </c>
      <c r="F695" s="4" t="inlineStr">
        <is>
          <t>Cadastro sem aprovacao ou aprovado pelo proprio cadastrador</t>
        </is>
      </c>
    </row>
    <row r="696">
      <c r="A696" s="4" t="inlineStr">
        <is>
          <t>T07_MAKER_CHECKER</t>
        </is>
      </c>
      <c r="B696" s="4" t="inlineStr">
        <is>
          <t>IMB-0163223</t>
        </is>
      </c>
      <c r="C696" s="4" t="inlineStr">
        <is>
          <t>DESENVOLVIMENTO_CAMPOS</t>
        </is>
      </c>
      <c r="D696" s="5" t="n">
        <v>1138.42</v>
      </c>
      <c r="E696" s="5" t="n">
        <v>0</v>
      </c>
      <c r="F696" s="4" t="inlineStr">
        <is>
          <t>Cadastro sem aprovacao ou aprovado pelo proprio cadastrador</t>
        </is>
      </c>
    </row>
    <row r="697">
      <c r="A697" s="4" t="inlineStr">
        <is>
          <t>T07_MAKER_CHECKER</t>
        </is>
      </c>
      <c r="B697" s="4" t="inlineStr">
        <is>
          <t>IMB-0163736</t>
        </is>
      </c>
      <c r="C697" s="4" t="inlineStr">
        <is>
          <t>ALMOXARIFADO_INVERSOES_FIXAS</t>
        </is>
      </c>
      <c r="D697" s="5" t="n">
        <v>176.93</v>
      </c>
      <c r="E697" s="5" t="n">
        <v>0</v>
      </c>
      <c r="F697" s="4" t="inlineStr">
        <is>
          <t>Cadastro sem aprovacao ou aprovado pelo proprio cadastrador</t>
        </is>
      </c>
    </row>
    <row r="698">
      <c r="A698" s="4" t="inlineStr">
        <is>
          <t>T07_MAKER_CHECKER</t>
        </is>
      </c>
      <c r="B698" s="4" t="inlineStr">
        <is>
          <t>IMB-0165008</t>
        </is>
      </c>
      <c r="C698" s="4" t="inlineStr">
        <is>
          <t>DESENVOLVIMENTO_CAMPOS</t>
        </is>
      </c>
      <c r="D698" s="5" t="n">
        <v>74481.83</v>
      </c>
      <c r="E698" s="5" t="n">
        <v>0</v>
      </c>
      <c r="F698" s="4" t="inlineStr">
        <is>
          <t>Cadastro sem aprovacao ou aprovado pelo proprio cadastrador</t>
        </is>
      </c>
    </row>
    <row r="699">
      <c r="A699" s="4" t="inlineStr">
        <is>
          <t>T07_MAKER_CHECKER</t>
        </is>
      </c>
      <c r="B699" s="4" t="inlineStr">
        <is>
          <t>IMB-0165654</t>
        </is>
      </c>
      <c r="C699" s="4" t="inlineStr">
        <is>
          <t>DESENVOLVIMENTO_CAMPOS</t>
        </is>
      </c>
      <c r="D699" s="5" t="n">
        <v>3113.88</v>
      </c>
      <c r="E699" s="5" t="n">
        <v>0</v>
      </c>
      <c r="F699" s="4" t="inlineStr">
        <is>
          <t>Cadastro sem aprovacao ou aprovado pelo proprio cadastrador</t>
        </is>
      </c>
    </row>
    <row r="700">
      <c r="A700" s="4" t="inlineStr">
        <is>
          <t>T07_MAKER_CHECKER</t>
        </is>
      </c>
      <c r="B700" s="4" t="inlineStr">
        <is>
          <t>IMB-0166852</t>
        </is>
      </c>
      <c r="C700" s="4" t="inlineStr">
        <is>
          <t>DESENVOLVIMENTO_CAMPOS</t>
        </is>
      </c>
      <c r="D700" s="5" t="n">
        <v>29196.75</v>
      </c>
      <c r="E700" s="5" t="n">
        <v>0</v>
      </c>
      <c r="F700" s="4" t="inlineStr">
        <is>
          <t>Cadastro sem aprovacao ou aprovado pelo proprio cadastrador</t>
        </is>
      </c>
    </row>
    <row r="701">
      <c r="A701" s="4" t="inlineStr">
        <is>
          <t>T07_MAKER_CHECKER</t>
        </is>
      </c>
      <c r="B701" s="4" t="inlineStr">
        <is>
          <t>IMB-0167225</t>
        </is>
      </c>
      <c r="C701" s="4" t="inlineStr">
        <is>
          <t>MAQUINAS_EQUIPAMENTOS</t>
        </is>
      </c>
      <c r="D701" s="5" t="n">
        <v>213.09</v>
      </c>
      <c r="E701" s="5" t="n">
        <v>0</v>
      </c>
      <c r="F701" s="4" t="inlineStr">
        <is>
          <t>Cadastro sem aprovacao ou aprovado pelo proprio cadastrador</t>
        </is>
      </c>
    </row>
    <row r="702">
      <c r="A702" s="4" t="inlineStr">
        <is>
          <t>T07_MAKER_CHECKER</t>
        </is>
      </c>
      <c r="B702" s="4" t="inlineStr">
        <is>
          <t>IMB-0168718</t>
        </is>
      </c>
      <c r="C702" s="4" t="inlineStr">
        <is>
          <t>ALMOXARIFADO_INVERSOES_FIXAS</t>
        </is>
      </c>
      <c r="D702" s="5" t="n">
        <v>307.58</v>
      </c>
      <c r="E702" s="5" t="n">
        <v>0</v>
      </c>
      <c r="F702" s="4" t="inlineStr">
        <is>
          <t>Cadastro sem aprovacao ou aprovado pelo proprio cadastrador</t>
        </is>
      </c>
    </row>
    <row r="703">
      <c r="A703" s="4" t="inlineStr">
        <is>
          <t>T07_MAKER_CHECKER</t>
        </is>
      </c>
      <c r="B703" s="4" t="inlineStr">
        <is>
          <t>IMB-0169218</t>
        </is>
      </c>
      <c r="C703" s="4" t="inlineStr">
        <is>
          <t>DESENVOLVIMENTO_CAMPOS</t>
        </is>
      </c>
      <c r="D703" s="5" t="n">
        <v>270.67</v>
      </c>
      <c r="E703" s="5" t="n">
        <v>0</v>
      </c>
      <c r="F703" s="4" t="inlineStr">
        <is>
          <t>Cadastro sem aprovacao ou aprovado pelo proprio cadastrador</t>
        </is>
      </c>
    </row>
    <row r="704">
      <c r="A704" s="4" t="inlineStr">
        <is>
          <t>T07_MAKER_CHECKER</t>
        </is>
      </c>
      <c r="B704" s="4" t="inlineStr">
        <is>
          <t>IMB-0169517</t>
        </is>
      </c>
      <c r="C704" s="4" t="inlineStr">
        <is>
          <t>ALMOXARIFADO_INVERSOES_FIXAS</t>
        </is>
      </c>
      <c r="D704" s="5" t="n">
        <v>189.52</v>
      </c>
      <c r="E704" s="5" t="n">
        <v>0</v>
      </c>
      <c r="F704" s="4" t="inlineStr">
        <is>
          <t>Cadastro sem aprovacao ou aprovado pelo proprio cadastrador</t>
        </is>
      </c>
    </row>
    <row r="705">
      <c r="A705" s="4" t="inlineStr">
        <is>
          <t>T07_MAKER_CHECKER</t>
        </is>
      </c>
      <c r="B705" s="4" t="inlineStr">
        <is>
          <t>IMB-0171399</t>
        </is>
      </c>
      <c r="C705" s="4" t="inlineStr">
        <is>
          <t>DESENVOLVIMENTO_CAMPOS</t>
        </is>
      </c>
      <c r="D705" s="5" t="n">
        <v>1266.42</v>
      </c>
      <c r="E705" s="5" t="n">
        <v>0</v>
      </c>
      <c r="F705" s="4" t="inlineStr">
        <is>
          <t>Cadastro sem aprovacao ou aprovado pelo proprio cadastrador</t>
        </is>
      </c>
    </row>
    <row r="706">
      <c r="A706" s="4" t="inlineStr">
        <is>
          <t>T07_MAKER_CHECKER</t>
        </is>
      </c>
      <c r="B706" s="4" t="inlineStr">
        <is>
          <t>IMB-0172701</t>
        </is>
      </c>
      <c r="C706" s="4" t="inlineStr">
        <is>
          <t>ALMOXARIFADO_INVERSOES_FIXAS</t>
        </is>
      </c>
      <c r="D706" s="5" t="n">
        <v>692.0700000000001</v>
      </c>
      <c r="E706" s="5" t="n">
        <v>0</v>
      </c>
      <c r="F706" s="4" t="inlineStr">
        <is>
          <t>Cadastro sem aprovacao ou aprovado pelo proprio cadastrador</t>
        </is>
      </c>
    </row>
    <row r="707">
      <c r="A707" s="4" t="inlineStr">
        <is>
          <t>T07_MAKER_CHECKER</t>
        </is>
      </c>
      <c r="B707" s="4" t="inlineStr">
        <is>
          <t>IMB-0172810</t>
        </is>
      </c>
      <c r="C707" s="4" t="inlineStr">
        <is>
          <t>OUTROS</t>
        </is>
      </c>
      <c r="D707" s="5" t="n">
        <v>260.49</v>
      </c>
      <c r="E707" s="5" t="n">
        <v>0</v>
      </c>
      <c r="F707" s="4" t="inlineStr">
        <is>
          <t>Cadastro sem aprovacao ou aprovado pelo proprio cadastrador</t>
        </is>
      </c>
    </row>
    <row r="708">
      <c r="A708" s="4" t="inlineStr">
        <is>
          <t>T07_MAKER_CHECKER</t>
        </is>
      </c>
      <c r="B708" s="4" t="inlineStr">
        <is>
          <t>IMB-0174477</t>
        </is>
      </c>
      <c r="C708" s="4" t="inlineStr">
        <is>
          <t>OUTROS</t>
        </is>
      </c>
      <c r="D708" s="5" t="n">
        <v>1688.65</v>
      </c>
      <c r="E708" s="5" t="n">
        <v>0</v>
      </c>
      <c r="F708" s="4" t="inlineStr">
        <is>
          <t>Cadastro sem aprovacao ou aprovado pelo proprio cadastrador</t>
        </is>
      </c>
    </row>
    <row r="709">
      <c r="A709" s="4" t="inlineStr">
        <is>
          <t>T07_MAKER_CHECKER</t>
        </is>
      </c>
      <c r="B709" s="4" t="inlineStr">
        <is>
          <t>IMB-0174691</t>
        </is>
      </c>
      <c r="C709" s="4" t="inlineStr">
        <is>
          <t>ALMOXARIFADO_INVERSOES_FIXAS</t>
        </is>
      </c>
      <c r="D709" s="5" t="n">
        <v>2007.33</v>
      </c>
      <c r="E709" s="5" t="n">
        <v>0</v>
      </c>
      <c r="F709" s="4" t="inlineStr">
        <is>
          <t>Cadastro sem aprovacao ou aprovado pelo proprio cadastrador</t>
        </is>
      </c>
    </row>
    <row r="710">
      <c r="A710" s="4" t="inlineStr">
        <is>
          <t>T07_MAKER_CHECKER</t>
        </is>
      </c>
      <c r="B710" s="4" t="inlineStr">
        <is>
          <t>IMB-0174788</t>
        </is>
      </c>
      <c r="C710" s="4" t="inlineStr">
        <is>
          <t>ALMOXARIFADO_INVERSOES_FIXAS</t>
        </is>
      </c>
      <c r="D710" s="5" t="n">
        <v>1004.98</v>
      </c>
      <c r="E710" s="5" t="n">
        <v>0</v>
      </c>
      <c r="F710" s="4" t="inlineStr">
        <is>
          <t>Cadastro sem aprovacao ou aprovado pelo proprio cadastrador</t>
        </is>
      </c>
    </row>
    <row r="711">
      <c r="A711" s="4" t="inlineStr">
        <is>
          <t>T07_MAKER_CHECKER</t>
        </is>
      </c>
      <c r="B711" s="4" t="inlineStr">
        <is>
          <t>IMB-0175728</t>
        </is>
      </c>
      <c r="C711" s="4" t="inlineStr">
        <is>
          <t>OUTROS</t>
        </is>
      </c>
      <c r="D711" s="5" t="n">
        <v>131.51</v>
      </c>
      <c r="E711" s="5" t="n">
        <v>0</v>
      </c>
      <c r="F711" s="4" t="inlineStr">
        <is>
          <t>Cadastro sem aprovacao ou aprovado pelo proprio cadastrador</t>
        </is>
      </c>
    </row>
    <row r="712">
      <c r="A712" s="4" t="inlineStr">
        <is>
          <t>T07_MAKER_CHECKER</t>
        </is>
      </c>
      <c r="B712" s="4" t="inlineStr">
        <is>
          <t>IMB-0176485</t>
        </is>
      </c>
      <c r="C712" s="4" t="inlineStr">
        <is>
          <t>DESENVOLVIMENTO_CAMPOS</t>
        </is>
      </c>
      <c r="D712" s="5" t="n">
        <v>115.33</v>
      </c>
      <c r="E712" s="5" t="n">
        <v>0</v>
      </c>
      <c r="F712" s="4" t="inlineStr">
        <is>
          <t>Cadastro sem aprovacao ou aprovado pelo proprio cadastrador</t>
        </is>
      </c>
    </row>
    <row r="713">
      <c r="A713" s="4" t="inlineStr">
        <is>
          <t>T07_MAKER_CHECKER</t>
        </is>
      </c>
      <c r="B713" s="4" t="inlineStr">
        <is>
          <t>IMB-0176500</t>
        </is>
      </c>
      <c r="C713" s="4" t="inlineStr">
        <is>
          <t>ALMOXARIFADO_INVERSOES_FIXAS</t>
        </is>
      </c>
      <c r="D713" s="5" t="n">
        <v>871.27</v>
      </c>
      <c r="E713" s="5" t="n">
        <v>0</v>
      </c>
      <c r="F713" s="4" t="inlineStr">
        <is>
          <t>Cadastro sem aprovacao ou aprovado pelo proprio cadastrador</t>
        </is>
      </c>
    </row>
    <row r="714">
      <c r="A714" s="4" t="inlineStr">
        <is>
          <t>T07_MAKER_CHECKER</t>
        </is>
      </c>
      <c r="B714" s="4" t="inlineStr">
        <is>
          <t>IMB-0177223</t>
        </is>
      </c>
      <c r="C714" s="4" t="inlineStr">
        <is>
          <t>ALMOXARIFADO_INVERSOES_FIXAS</t>
        </is>
      </c>
      <c r="D714" s="5" t="n">
        <v>2616.49</v>
      </c>
      <c r="E714" s="5" t="n">
        <v>0</v>
      </c>
      <c r="F714" s="4" t="inlineStr">
        <is>
          <t>Cadastro sem aprovacao ou aprovado pelo proprio cadastrador</t>
        </is>
      </c>
    </row>
    <row r="715">
      <c r="A715" s="4" t="inlineStr">
        <is>
          <t>T07_MAKER_CHECKER</t>
        </is>
      </c>
      <c r="B715" s="4" t="inlineStr">
        <is>
          <t>IMB-0178310</t>
        </is>
      </c>
      <c r="C715" s="4" t="inlineStr">
        <is>
          <t>ALMOXARIFADO_INVERSOES_FIXAS</t>
        </is>
      </c>
      <c r="D715" s="5" t="n">
        <v>655.5700000000001</v>
      </c>
      <c r="E715" s="5" t="n">
        <v>0</v>
      </c>
      <c r="F715" s="4" t="inlineStr">
        <is>
          <t>Cadastro sem aprovacao ou aprovado pelo proprio cadastrador</t>
        </is>
      </c>
    </row>
    <row r="716">
      <c r="A716" s="4" t="inlineStr">
        <is>
          <t>T07_MAKER_CHECKER</t>
        </is>
      </c>
      <c r="B716" s="4" t="inlineStr">
        <is>
          <t>IMB-0182429</t>
        </is>
      </c>
      <c r="C716" s="4" t="inlineStr">
        <is>
          <t>DESENVOLVIMENTO_CAMPOS</t>
        </is>
      </c>
      <c r="D716" s="5" t="n">
        <v>4339.27</v>
      </c>
      <c r="E716" s="5" t="n">
        <v>0</v>
      </c>
      <c r="F716" s="4" t="inlineStr">
        <is>
          <t>Cadastro sem aprovacao ou aprovado pelo proprio cadastrador</t>
        </is>
      </c>
    </row>
    <row r="717">
      <c r="A717" s="4" t="inlineStr">
        <is>
          <t>T07_MAKER_CHECKER</t>
        </is>
      </c>
      <c r="B717" s="4" t="inlineStr">
        <is>
          <t>IMB-0182941</t>
        </is>
      </c>
      <c r="C717" s="4" t="inlineStr">
        <is>
          <t>OUTROS</t>
        </is>
      </c>
      <c r="D717" s="5" t="n">
        <v>176.74</v>
      </c>
      <c r="E717" s="5" t="n">
        <v>0</v>
      </c>
      <c r="F717" s="4" t="inlineStr">
        <is>
          <t>Cadastro sem aprovacao ou aprovado pelo proprio cadastrador</t>
        </is>
      </c>
    </row>
    <row r="718">
      <c r="A718" s="4" t="inlineStr">
        <is>
          <t>T07_MAKER_CHECKER</t>
        </is>
      </c>
      <c r="B718" s="4" t="inlineStr">
        <is>
          <t>IMB-0183852</t>
        </is>
      </c>
      <c r="C718" s="4" t="inlineStr">
        <is>
          <t>ALMOXARIFADO_INVERSOES_FIXAS</t>
        </is>
      </c>
      <c r="D718" s="5" t="n">
        <v>883.6</v>
      </c>
      <c r="E718" s="5" t="n">
        <v>0</v>
      </c>
      <c r="F718" s="4" t="inlineStr">
        <is>
          <t>Cadastro sem aprovacao ou aprovado pelo proprio cadastrador</t>
        </is>
      </c>
    </row>
    <row r="719">
      <c r="A719" s="4" t="inlineStr">
        <is>
          <t>T07_MAKER_CHECKER</t>
        </is>
      </c>
      <c r="B719" s="4" t="inlineStr">
        <is>
          <t>IMB-0183943</t>
        </is>
      </c>
      <c r="C719" s="4" t="inlineStr">
        <is>
          <t>DESENVOLVIMENTO_CAMPOS</t>
        </is>
      </c>
      <c r="D719" s="5" t="n">
        <v>1438.27</v>
      </c>
      <c r="E719" s="5" t="n">
        <v>0</v>
      </c>
      <c r="F719" s="4" t="inlineStr">
        <is>
          <t>Cadastro sem aprovacao ou aprovado pelo proprio cadastrador</t>
        </is>
      </c>
    </row>
    <row r="720">
      <c r="A720" s="4" t="inlineStr">
        <is>
          <t>T07_MAKER_CHECKER</t>
        </is>
      </c>
      <c r="B720" s="4" t="inlineStr">
        <is>
          <t>IMB-0183959</t>
        </is>
      </c>
      <c r="C720" s="4" t="inlineStr">
        <is>
          <t>OUTROS</t>
        </is>
      </c>
      <c r="D720" s="5" t="n">
        <v>128.61</v>
      </c>
      <c r="E720" s="5" t="n">
        <v>0</v>
      </c>
      <c r="F720" s="4" t="inlineStr">
        <is>
          <t>Cadastro sem aprovacao ou aprovado pelo proprio cadastrador</t>
        </is>
      </c>
    </row>
    <row r="721">
      <c r="A721" s="4" t="inlineStr">
        <is>
          <t>T07_MAKER_CHECKER</t>
        </is>
      </c>
      <c r="B721" s="4" t="inlineStr">
        <is>
          <t>IMB-0184189</t>
        </is>
      </c>
      <c r="C721" s="4" t="inlineStr">
        <is>
          <t>DESENVOLVIMENTO_CAMPOS</t>
        </is>
      </c>
      <c r="D721" s="5" t="n">
        <v>8605.26</v>
      </c>
      <c r="E721" s="5" t="n">
        <v>0</v>
      </c>
      <c r="F721" s="4" t="inlineStr">
        <is>
          <t>Cadastro sem aprovacao ou aprovado pelo proprio cadastrador</t>
        </is>
      </c>
    </row>
    <row r="722">
      <c r="A722" s="4" t="inlineStr">
        <is>
          <t>T07_MAKER_CHECKER</t>
        </is>
      </c>
      <c r="B722" s="4" t="inlineStr">
        <is>
          <t>IMB-0184422</t>
        </is>
      </c>
      <c r="C722" s="4" t="inlineStr">
        <is>
          <t>DESENVOLVIMENTO_CAMPOS</t>
        </is>
      </c>
      <c r="D722" s="5" t="n">
        <v>14879.74</v>
      </c>
      <c r="E722" s="5" t="n">
        <v>0</v>
      </c>
      <c r="F722" s="4" t="inlineStr">
        <is>
          <t>Cadastro sem aprovacao ou aprovado pelo proprio cadastrador</t>
        </is>
      </c>
    </row>
    <row r="723">
      <c r="A723" s="4" t="inlineStr">
        <is>
          <t>T07_MAKER_CHECKER</t>
        </is>
      </c>
      <c r="B723" s="4" t="inlineStr">
        <is>
          <t>IMB-0184913</t>
        </is>
      </c>
      <c r="C723" s="4" t="inlineStr">
        <is>
          <t>DESENVOLVIMENTO_CAMPOS</t>
        </is>
      </c>
      <c r="D723" s="5" t="n">
        <v>41724.67</v>
      </c>
      <c r="E723" s="5" t="n">
        <v>0</v>
      </c>
      <c r="F723" s="4" t="inlineStr">
        <is>
          <t>Cadastro sem aprovacao ou aprovado pelo proprio cadastrador</t>
        </is>
      </c>
    </row>
    <row r="724">
      <c r="A724" s="4" t="inlineStr">
        <is>
          <t>T07_MAKER_CHECKER</t>
        </is>
      </c>
      <c r="B724" s="4" t="inlineStr">
        <is>
          <t>IMB-0185120</t>
        </is>
      </c>
      <c r="C724" s="4" t="inlineStr">
        <is>
          <t>ALMOXARIFADO_INVERSOES_FIXAS</t>
        </is>
      </c>
      <c r="D724" s="5" t="n">
        <v>2073.86</v>
      </c>
      <c r="E724" s="5" t="n">
        <v>0</v>
      </c>
      <c r="F724" s="4" t="inlineStr">
        <is>
          <t>Cadastro sem aprovacao ou aprovado pelo proprio cadastrador</t>
        </is>
      </c>
    </row>
    <row r="725">
      <c r="A725" s="4" t="inlineStr">
        <is>
          <t>T07_MAKER_CHECKER</t>
        </is>
      </c>
      <c r="B725" s="4" t="inlineStr">
        <is>
          <t>IMB-0185217</t>
        </is>
      </c>
      <c r="C725" s="4" t="inlineStr">
        <is>
          <t>ALMOXARIFADO_INVERSOES_FIXAS</t>
        </is>
      </c>
      <c r="D725" s="5" t="n">
        <v>187.68</v>
      </c>
      <c r="E725" s="5" t="n">
        <v>0</v>
      </c>
      <c r="F725" s="4" t="inlineStr">
        <is>
          <t>Cadastro sem aprovacao ou aprovado pelo proprio cadastrador</t>
        </is>
      </c>
    </row>
    <row r="726">
      <c r="A726" s="4" t="inlineStr">
        <is>
          <t>T07_MAKER_CHECKER</t>
        </is>
      </c>
      <c r="B726" s="4" t="inlineStr">
        <is>
          <t>IMB-0185318</t>
        </is>
      </c>
      <c r="C726" s="4" t="inlineStr">
        <is>
          <t>ALMOXARIFADO_INVERSOES_FIXAS</t>
        </is>
      </c>
      <c r="D726" s="5" t="n">
        <v>691.67</v>
      </c>
      <c r="E726" s="5" t="n">
        <v>0</v>
      </c>
      <c r="F726" s="4" t="inlineStr">
        <is>
          <t>Cadastro sem aprovacao ou aprovado pelo proprio cadastrador</t>
        </is>
      </c>
    </row>
    <row r="727">
      <c r="A727" s="4" t="inlineStr">
        <is>
          <t>T07_MAKER_CHECKER</t>
        </is>
      </c>
      <c r="B727" s="4" t="inlineStr">
        <is>
          <t>IMB-0185748</t>
        </is>
      </c>
      <c r="C727" s="4" t="inlineStr">
        <is>
          <t>OUTROS</t>
        </is>
      </c>
      <c r="D727" s="5" t="n">
        <v>0</v>
      </c>
      <c r="E727" s="5" t="n">
        <v>0</v>
      </c>
      <c r="F727" s="4" t="inlineStr">
        <is>
          <t>Cadastro sem aprovacao ou aprovado pelo proprio cadastrador</t>
        </is>
      </c>
    </row>
    <row r="728">
      <c r="A728" s="4" t="inlineStr">
        <is>
          <t>T07_MAKER_CHECKER</t>
        </is>
      </c>
      <c r="B728" s="4" t="inlineStr">
        <is>
          <t>IMB-0186194</t>
        </is>
      </c>
      <c r="C728" s="4" t="inlineStr">
        <is>
          <t>DESENVOLVIMENTO_CAMPOS</t>
        </is>
      </c>
      <c r="D728" s="5" t="n">
        <v>1272.08</v>
      </c>
      <c r="E728" s="5" t="n">
        <v>0</v>
      </c>
      <c r="F728" s="4" t="inlineStr">
        <is>
          <t>Cadastro sem aprovacao ou aprovado pelo proprio cadastrador</t>
        </is>
      </c>
    </row>
    <row r="729">
      <c r="A729" s="4" t="inlineStr">
        <is>
          <t>T07_MAKER_CHECKER</t>
        </is>
      </c>
      <c r="B729" s="4" t="inlineStr">
        <is>
          <t>IMB-0186400</t>
        </is>
      </c>
      <c r="C729" s="4" t="inlineStr">
        <is>
          <t>ALMOXARIFADO_INVERSOES_FIXAS</t>
        </is>
      </c>
      <c r="D729" s="5" t="n">
        <v>1018.16</v>
      </c>
      <c r="E729" s="5" t="n">
        <v>0</v>
      </c>
      <c r="F729" s="4" t="inlineStr">
        <is>
          <t>Cadastro sem aprovacao ou aprovado pelo proprio cadastrador</t>
        </is>
      </c>
    </row>
    <row r="730">
      <c r="A730" s="4" t="inlineStr">
        <is>
          <t>T07_MAKER_CHECKER</t>
        </is>
      </c>
      <c r="B730" s="4" t="inlineStr">
        <is>
          <t>IMB-0187369</t>
        </is>
      </c>
      <c r="C730" s="4" t="inlineStr">
        <is>
          <t>ALMOXARIFADO_INVERSOES_FIXAS</t>
        </is>
      </c>
      <c r="D730" s="5" t="n">
        <v>4324.32</v>
      </c>
      <c r="E730" s="5" t="n">
        <v>0</v>
      </c>
      <c r="F730" s="4" t="inlineStr">
        <is>
          <t>Cadastro sem aprovacao ou aprovado pelo proprio cadastrador</t>
        </is>
      </c>
    </row>
    <row r="731">
      <c r="A731" s="4" t="inlineStr">
        <is>
          <t>T07_MAKER_CHECKER</t>
        </is>
      </c>
      <c r="B731" s="4" t="inlineStr">
        <is>
          <t>IMB-0188873</t>
        </is>
      </c>
      <c r="C731" s="4" t="inlineStr">
        <is>
          <t>ALMOXARIFADO_INVERSOES_FIXAS</t>
        </is>
      </c>
      <c r="D731" s="5" t="n">
        <v>328.18</v>
      </c>
      <c r="E731" s="5" t="n">
        <v>0</v>
      </c>
      <c r="F731" s="4" t="inlineStr">
        <is>
          <t>Cadastro sem aprovacao ou aprovado pelo proprio cadastrador</t>
        </is>
      </c>
    </row>
    <row r="732">
      <c r="A732" s="4" t="inlineStr">
        <is>
          <t>T07_MAKER_CHECKER</t>
        </is>
      </c>
      <c r="B732" s="4" t="inlineStr">
        <is>
          <t>IMB-0189922</t>
        </is>
      </c>
      <c r="C732" s="4" t="inlineStr">
        <is>
          <t>ALMOXARIFADO_INVERSOES_FIXAS</t>
        </is>
      </c>
      <c r="D732" s="5" t="n">
        <v>841.67</v>
      </c>
      <c r="E732" s="5" t="n">
        <v>0</v>
      </c>
      <c r="F732" s="4" t="inlineStr">
        <is>
          <t>Cadastro sem aprovacao ou aprovado pelo proprio cadastrador</t>
        </is>
      </c>
    </row>
    <row r="733">
      <c r="A733" s="4" t="inlineStr">
        <is>
          <t>T07_MAKER_CHECKER</t>
        </is>
      </c>
      <c r="B733" s="4" t="inlineStr">
        <is>
          <t>IMB-0191291</t>
        </is>
      </c>
      <c r="C733" s="4" t="inlineStr">
        <is>
          <t>ALMOXARIFADO_INVERSOES_FIXAS</t>
        </is>
      </c>
      <c r="D733" s="5" t="n">
        <v>271.2</v>
      </c>
      <c r="E733" s="5" t="n">
        <v>0</v>
      </c>
      <c r="F733" s="4" t="inlineStr">
        <is>
          <t>Cadastro sem aprovacao ou aprovado pelo proprio cadastrador</t>
        </is>
      </c>
    </row>
    <row r="734">
      <c r="A734" s="4" t="inlineStr">
        <is>
          <t>T07_MAKER_CHECKER</t>
        </is>
      </c>
      <c r="B734" s="4" t="inlineStr">
        <is>
          <t>IMB-0191542</t>
        </is>
      </c>
      <c r="C734" s="4" t="inlineStr">
        <is>
          <t>OUTROS</t>
        </is>
      </c>
      <c r="D734" s="5" t="n">
        <v>0</v>
      </c>
      <c r="E734" s="5" t="n">
        <v>0</v>
      </c>
      <c r="F734" s="4" t="inlineStr">
        <is>
          <t>Cadastro sem aprovacao ou aprovado pelo proprio cadastrador</t>
        </is>
      </c>
    </row>
    <row r="735">
      <c r="A735" s="4" t="inlineStr">
        <is>
          <t>T07_MAKER_CHECKER</t>
        </is>
      </c>
      <c r="B735" s="4" t="inlineStr">
        <is>
          <t>IMB-0192132</t>
        </is>
      </c>
      <c r="C735" s="4" t="inlineStr">
        <is>
          <t>OUTROS</t>
        </is>
      </c>
      <c r="D735" s="5" t="n">
        <v>76.12</v>
      </c>
      <c r="E735" s="5" t="n">
        <v>0</v>
      </c>
      <c r="F735" s="4" t="inlineStr">
        <is>
          <t>Cadastro sem aprovacao ou aprovado pelo proprio cadastrador</t>
        </is>
      </c>
    </row>
    <row r="736">
      <c r="A736" s="4" t="inlineStr">
        <is>
          <t>T07_MAKER_CHECKER</t>
        </is>
      </c>
      <c r="B736" s="4" t="inlineStr">
        <is>
          <t>IMB-0193140</t>
        </is>
      </c>
      <c r="C736" s="4" t="inlineStr">
        <is>
          <t>DESENVOLVIMENTO_CAMPOS</t>
        </is>
      </c>
      <c r="D736" s="5" t="n">
        <v>1284.53</v>
      </c>
      <c r="E736" s="5" t="n">
        <v>0</v>
      </c>
      <c r="F736" s="4" t="inlineStr">
        <is>
          <t>Cadastro sem aprovacao ou aprovado pelo proprio cadastrador</t>
        </is>
      </c>
    </row>
    <row r="737">
      <c r="A737" s="4" t="inlineStr">
        <is>
          <t>T07_MAKER_CHECKER</t>
        </is>
      </c>
      <c r="B737" s="4" t="inlineStr">
        <is>
          <t>IMB-0193799</t>
        </is>
      </c>
      <c r="C737" s="4" t="inlineStr">
        <is>
          <t>DESENVOLVIMENTO_CAMPOS</t>
        </is>
      </c>
      <c r="D737" s="5" t="n">
        <v>291.16</v>
      </c>
      <c r="E737" s="5" t="n">
        <v>0</v>
      </c>
      <c r="F737" s="4" t="inlineStr">
        <is>
          <t>Cadastro sem aprovacao ou aprovado pelo proprio cadastrador</t>
        </is>
      </c>
    </row>
    <row r="738">
      <c r="A738" s="4" t="inlineStr">
        <is>
          <t>T07_MAKER_CHECKER</t>
        </is>
      </c>
      <c r="B738" s="4" t="inlineStr">
        <is>
          <t>IMB-0193980</t>
        </is>
      </c>
      <c r="C738" s="4" t="inlineStr">
        <is>
          <t>DESENVOLVIMENTO_CAMPOS</t>
        </is>
      </c>
      <c r="D738" s="5" t="n">
        <v>71.88</v>
      </c>
      <c r="E738" s="5" t="n">
        <v>0</v>
      </c>
      <c r="F738" s="4" t="inlineStr">
        <is>
          <t>Cadastro sem aprovacao ou aprovado pelo proprio cadastrador</t>
        </is>
      </c>
    </row>
    <row r="739">
      <c r="A739" s="4" t="inlineStr">
        <is>
          <t>T07_MAKER_CHECKER</t>
        </is>
      </c>
      <c r="B739" s="4" t="inlineStr">
        <is>
          <t>IMB-0194749</t>
        </is>
      </c>
      <c r="C739" s="4" t="inlineStr">
        <is>
          <t>DESENVOLVIMENTO_CAMPOS</t>
        </is>
      </c>
      <c r="D739" s="5" t="n">
        <v>1774.71</v>
      </c>
      <c r="E739" s="5" t="n">
        <v>0</v>
      </c>
      <c r="F739" s="4" t="inlineStr">
        <is>
          <t>Cadastro sem aprovacao ou aprovado pelo proprio cadastrador</t>
        </is>
      </c>
    </row>
    <row r="740">
      <c r="A740" s="4" t="inlineStr">
        <is>
          <t>T07_MAKER_CHECKER</t>
        </is>
      </c>
      <c r="B740" s="4" t="inlineStr">
        <is>
          <t>IMB-0195576</t>
        </is>
      </c>
      <c r="C740" s="4" t="inlineStr">
        <is>
          <t>DESENVOLVIMENTO_CAMPOS</t>
        </is>
      </c>
      <c r="D740" s="5" t="n">
        <v>3313.45</v>
      </c>
      <c r="E740" s="5" t="n">
        <v>0</v>
      </c>
      <c r="F740" s="4" t="inlineStr">
        <is>
          <t>Cadastro sem aprovacao ou aprovado pelo proprio cadastrador</t>
        </is>
      </c>
    </row>
    <row r="741">
      <c r="A741" s="4" t="inlineStr">
        <is>
          <t>T07_MAKER_CHECKER</t>
        </is>
      </c>
      <c r="B741" s="4" t="inlineStr">
        <is>
          <t>IMB-0196412</t>
        </is>
      </c>
      <c r="C741" s="4" t="inlineStr">
        <is>
          <t>MAQUINAS_EQUIPAMENTOS</t>
        </is>
      </c>
      <c r="D741" s="5" t="n">
        <v>5950.77</v>
      </c>
      <c r="E741" s="5" t="n">
        <v>0</v>
      </c>
      <c r="F741" s="4" t="inlineStr">
        <is>
          <t>Cadastro sem aprovacao ou aprovado pelo proprio cadastrador</t>
        </is>
      </c>
    </row>
    <row r="742">
      <c r="A742" s="4" t="inlineStr">
        <is>
          <t>T07_MAKER_CHECKER</t>
        </is>
      </c>
      <c r="B742" s="4" t="inlineStr">
        <is>
          <t>IMB-0196701</t>
        </is>
      </c>
      <c r="C742" s="4" t="inlineStr">
        <is>
          <t>ALMOXARIFADO_INVERSOES_FIXAS</t>
        </is>
      </c>
      <c r="D742" s="5" t="n">
        <v>2077.7</v>
      </c>
      <c r="E742" s="5" t="n">
        <v>0</v>
      </c>
      <c r="F742" s="4" t="inlineStr">
        <is>
          <t>Cadastro sem aprovacao ou aprovado pelo proprio cadastrador</t>
        </is>
      </c>
    </row>
    <row r="743">
      <c r="A743" s="4" t="inlineStr">
        <is>
          <t>T07_MAKER_CHECKER</t>
        </is>
      </c>
      <c r="B743" s="4" t="inlineStr">
        <is>
          <t>IMB-0196921</t>
        </is>
      </c>
      <c r="C743" s="4" t="inlineStr">
        <is>
          <t>OUTROS</t>
        </is>
      </c>
      <c r="D743" s="5" t="n">
        <v>0</v>
      </c>
      <c r="E743" s="5" t="n">
        <v>0</v>
      </c>
      <c r="F743" s="4" t="inlineStr">
        <is>
          <t>Cadastro sem aprovacao ou aprovado pelo proprio cadastrador</t>
        </is>
      </c>
    </row>
    <row r="744">
      <c r="A744" s="4" t="inlineStr">
        <is>
          <t>T07_MAKER_CHECKER</t>
        </is>
      </c>
      <c r="B744" s="4" t="inlineStr">
        <is>
          <t>IMB-0197109</t>
        </is>
      </c>
      <c r="C744" s="4" t="inlineStr">
        <is>
          <t>DESENVOLVIMENTO_CAMPOS</t>
        </is>
      </c>
      <c r="D744" s="5" t="n">
        <v>378.8</v>
      </c>
      <c r="E744" s="5" t="n">
        <v>0</v>
      </c>
      <c r="F744" s="4" t="inlineStr">
        <is>
          <t>Cadastro sem aprovacao ou aprovado pelo proprio cadastrador</t>
        </is>
      </c>
    </row>
    <row r="745">
      <c r="A745" s="4" t="inlineStr">
        <is>
          <t>T07_MAKER_CHECKER</t>
        </is>
      </c>
      <c r="B745" s="4" t="inlineStr">
        <is>
          <t>IMB-0197621</t>
        </is>
      </c>
      <c r="C745" s="4" t="inlineStr">
        <is>
          <t>OUTROS</t>
        </is>
      </c>
      <c r="D745" s="5" t="n">
        <v>367.23</v>
      </c>
      <c r="E745" s="5" t="n">
        <v>0</v>
      </c>
      <c r="F745" s="4" t="inlineStr">
        <is>
          <t>Cadastro sem aprovacao ou aprovado pelo proprio cadastrador</t>
        </is>
      </c>
    </row>
    <row r="746">
      <c r="A746" s="4" t="inlineStr">
        <is>
          <t>T07_MAKER_CHECKER</t>
        </is>
      </c>
      <c r="B746" s="4" t="inlineStr">
        <is>
          <t>IMB-0197934</t>
        </is>
      </c>
      <c r="C746" s="4" t="inlineStr">
        <is>
          <t>ALMOXARIFADO_INVERSOES_FIXAS</t>
        </is>
      </c>
      <c r="D746" s="5" t="n">
        <v>8419.51</v>
      </c>
      <c r="E746" s="5" t="n">
        <v>0</v>
      </c>
      <c r="F746" s="4" t="inlineStr">
        <is>
          <t>Cadastro sem aprovacao ou aprovado pelo proprio cadastrador</t>
        </is>
      </c>
    </row>
    <row r="747">
      <c r="A747" s="4" t="inlineStr">
        <is>
          <t>T07_MAKER_CHECKER</t>
        </is>
      </c>
      <c r="B747" s="4" t="inlineStr">
        <is>
          <t>IMB-0198908</t>
        </is>
      </c>
      <c r="C747" s="4" t="inlineStr">
        <is>
          <t>OUTROS</t>
        </is>
      </c>
      <c r="D747" s="5" t="n">
        <v>1398.73</v>
      </c>
      <c r="E747" s="5" t="n">
        <v>0</v>
      </c>
      <c r="F747" s="4" t="inlineStr">
        <is>
          <t>Cadastro sem aprovacao ou aprovado pelo proprio cadastrador</t>
        </is>
      </c>
    </row>
    <row r="748">
      <c r="A748" s="4" t="inlineStr">
        <is>
          <t>T07_MAKER_CHECKER</t>
        </is>
      </c>
      <c r="B748" s="4" t="inlineStr">
        <is>
          <t>IMB-0199899</t>
        </is>
      </c>
      <c r="C748" s="4" t="inlineStr">
        <is>
          <t>OUTROS</t>
        </is>
      </c>
      <c r="D748" s="5" t="n">
        <v>143.81</v>
      </c>
      <c r="E748" s="5" t="n">
        <v>0</v>
      </c>
      <c r="F748" s="4" t="inlineStr">
        <is>
          <t>Cadastro sem aprovacao ou aprovado pelo proprio cadastrador</t>
        </is>
      </c>
    </row>
    <row r="749">
      <c r="A749" s="4" t="inlineStr">
        <is>
          <t>T07_MAKER_CHECKER</t>
        </is>
      </c>
      <c r="B749" s="4" t="inlineStr">
        <is>
          <t>IMB-0200178</t>
        </is>
      </c>
      <c r="C749" s="4" t="inlineStr">
        <is>
          <t>OUTROS</t>
        </is>
      </c>
      <c r="D749" s="5" t="n">
        <v>2138.31</v>
      </c>
      <c r="E749" s="5" t="n">
        <v>0</v>
      </c>
      <c r="F749" s="4" t="inlineStr">
        <is>
          <t>Cadastro sem aprovacao ou aprovado pelo proprio cadastrador</t>
        </is>
      </c>
    </row>
    <row r="750">
      <c r="A750" s="4" t="inlineStr">
        <is>
          <t>T07_MAKER_CHECKER</t>
        </is>
      </c>
      <c r="B750" s="4" t="inlineStr">
        <is>
          <t>IMB-0204212</t>
        </is>
      </c>
      <c r="C750" s="4" t="inlineStr">
        <is>
          <t>ALMOXARIFADO_INVERSOES_FIXAS</t>
        </is>
      </c>
      <c r="D750" s="5" t="n">
        <v>697.37</v>
      </c>
      <c r="E750" s="5" t="n">
        <v>0</v>
      </c>
      <c r="F750" s="4" t="inlineStr">
        <is>
          <t>Cadastro sem aprovacao ou aprovado pelo proprio cadastrador</t>
        </is>
      </c>
    </row>
    <row r="751">
      <c r="A751" s="4" t="inlineStr">
        <is>
          <t>T07_MAKER_CHECKER</t>
        </is>
      </c>
      <c r="B751" s="4" t="inlineStr">
        <is>
          <t>IMB-0204844</t>
        </is>
      </c>
      <c r="C751" s="4" t="inlineStr">
        <is>
          <t>MAQUINAS_EQUIPAMENTOS</t>
        </is>
      </c>
      <c r="D751" s="5" t="n">
        <v>517.52</v>
      </c>
      <c r="E751" s="5" t="n">
        <v>0</v>
      </c>
      <c r="F751" s="4" t="inlineStr">
        <is>
          <t>Cadastro sem aprovacao ou aprovado pelo proprio cadastrador</t>
        </is>
      </c>
    </row>
    <row r="752">
      <c r="A752" s="4" t="inlineStr">
        <is>
          <t>T07_MAKER_CHECKER</t>
        </is>
      </c>
      <c r="B752" s="4" t="inlineStr">
        <is>
          <t>IMB-0205789</t>
        </is>
      </c>
      <c r="C752" s="4" t="inlineStr">
        <is>
          <t>ALMOXARIFADO_INVERSOES_FIXAS</t>
        </is>
      </c>
      <c r="D752" s="5" t="n">
        <v>119.97</v>
      </c>
      <c r="E752" s="5" t="n">
        <v>0</v>
      </c>
      <c r="F752" s="4" t="inlineStr">
        <is>
          <t>Cadastro sem aprovacao ou aprovado pelo proprio cadastrador</t>
        </is>
      </c>
    </row>
    <row r="753">
      <c r="A753" s="4" t="inlineStr">
        <is>
          <t>T07_MAKER_CHECKER</t>
        </is>
      </c>
      <c r="B753" s="4" t="inlineStr">
        <is>
          <t>IMB-0205933</t>
        </is>
      </c>
      <c r="C753" s="4" t="inlineStr">
        <is>
          <t>OUTROS</t>
        </is>
      </c>
      <c r="D753" s="5" t="n">
        <v>87.04000000000001</v>
      </c>
      <c r="E753" s="5" t="n">
        <v>0</v>
      </c>
      <c r="F753" s="4" t="inlineStr">
        <is>
          <t>Cadastro sem aprovacao ou aprovado pelo proprio cadastrador</t>
        </is>
      </c>
    </row>
    <row r="754">
      <c r="A754" s="4" t="inlineStr">
        <is>
          <t>T07_MAKER_CHECKER</t>
        </is>
      </c>
      <c r="B754" s="4" t="inlineStr">
        <is>
          <t>IMB-0206055</t>
        </is>
      </c>
      <c r="C754" s="4" t="inlineStr">
        <is>
          <t>ALMOXARIFADO_INVERSOES_FIXAS</t>
        </is>
      </c>
      <c r="D754" s="5" t="n">
        <v>443.52</v>
      </c>
      <c r="E754" s="5" t="n">
        <v>0</v>
      </c>
      <c r="F754" s="4" t="inlineStr">
        <is>
          <t>Cadastro sem aprovacao ou aprovado pelo proprio cadastrador</t>
        </is>
      </c>
    </row>
    <row r="755">
      <c r="A755" s="4" t="inlineStr">
        <is>
          <t>T07_MAKER_CHECKER</t>
        </is>
      </c>
      <c r="B755" s="4" t="inlineStr">
        <is>
          <t>IMB-0209416</t>
        </is>
      </c>
      <c r="C755" s="4" t="inlineStr">
        <is>
          <t>OUTROS</t>
        </is>
      </c>
      <c r="D755" s="5" t="n">
        <v>1123</v>
      </c>
      <c r="E755" s="5" t="n">
        <v>0</v>
      </c>
      <c r="F755" s="4" t="inlineStr">
        <is>
          <t>Cadastro sem aprovacao ou aprovado pelo proprio cadastrador</t>
        </is>
      </c>
    </row>
    <row r="756">
      <c r="A756" s="4" t="inlineStr">
        <is>
          <t>T07_MAKER_CHECKER</t>
        </is>
      </c>
      <c r="B756" s="4" t="inlineStr">
        <is>
          <t>IMB-0211331</t>
        </is>
      </c>
      <c r="C756" s="4" t="inlineStr">
        <is>
          <t>DESENVOLVIMENTO_CAMPOS</t>
        </is>
      </c>
      <c r="D756" s="5" t="n">
        <v>83155.64</v>
      </c>
      <c r="E756" s="5" t="n">
        <v>0</v>
      </c>
      <c r="F756" s="4" t="inlineStr">
        <is>
          <t>Cadastro sem aprovacao ou aprovado pelo proprio cadastrador</t>
        </is>
      </c>
    </row>
    <row r="757">
      <c r="A757" s="4" t="inlineStr">
        <is>
          <t>T07_MAKER_CHECKER</t>
        </is>
      </c>
      <c r="B757" s="4" t="inlineStr">
        <is>
          <t>IMB-0212877</t>
        </is>
      </c>
      <c r="C757" s="4" t="inlineStr">
        <is>
          <t>ALMOXARIFADO_INVERSOES_FIXAS</t>
        </is>
      </c>
      <c r="D757" s="5" t="n">
        <v>3046.34</v>
      </c>
      <c r="E757" s="5" t="n">
        <v>0</v>
      </c>
      <c r="F757" s="4" t="inlineStr">
        <is>
          <t>Cadastro sem aprovacao ou aprovado pelo proprio cadastrador</t>
        </is>
      </c>
    </row>
    <row r="758">
      <c r="A758" s="4" t="inlineStr">
        <is>
          <t>T07_MAKER_CHECKER</t>
        </is>
      </c>
      <c r="B758" s="4" t="inlineStr">
        <is>
          <t>IMB-0213151</t>
        </is>
      </c>
      <c r="C758" s="4" t="inlineStr">
        <is>
          <t>ALMOXARIFADO_INVERSOES_FIXAS</t>
        </is>
      </c>
      <c r="D758" s="5" t="n">
        <v>96.09999999999999</v>
      </c>
      <c r="E758" s="5" t="n">
        <v>0</v>
      </c>
      <c r="F758" s="4" t="inlineStr">
        <is>
          <t>Cadastro sem aprovacao ou aprovado pelo proprio cadastrador</t>
        </is>
      </c>
    </row>
    <row r="759">
      <c r="A759" s="4" t="inlineStr">
        <is>
          <t>T07_MAKER_CHECKER</t>
        </is>
      </c>
      <c r="B759" s="4" t="inlineStr">
        <is>
          <t>IMB-0213338</t>
        </is>
      </c>
      <c r="C759" s="4" t="inlineStr">
        <is>
          <t>MAQUINAS_EQUIPAMENTOS</t>
        </is>
      </c>
      <c r="D759" s="5" t="n">
        <v>153.87</v>
      </c>
      <c r="E759" s="5" t="n">
        <v>0</v>
      </c>
      <c r="F759" s="4" t="inlineStr">
        <is>
          <t>Cadastro sem aprovacao ou aprovado pelo proprio cadastrador</t>
        </is>
      </c>
    </row>
    <row r="760">
      <c r="A760" s="4" t="inlineStr">
        <is>
          <t>T07_MAKER_CHECKER</t>
        </is>
      </c>
      <c r="B760" s="4" t="inlineStr">
        <is>
          <t>IMB-0213436</t>
        </is>
      </c>
      <c r="C760" s="4" t="inlineStr">
        <is>
          <t>ALMOXARIFADO_INVERSOES_FIXAS</t>
        </is>
      </c>
      <c r="D760" s="5" t="n">
        <v>1154.55</v>
      </c>
      <c r="E760" s="5" t="n">
        <v>0</v>
      </c>
      <c r="F760" s="4" t="inlineStr">
        <is>
          <t>Cadastro sem aprovacao ou aprovado pelo proprio cadastrador</t>
        </is>
      </c>
    </row>
    <row r="761">
      <c r="A761" s="4" t="inlineStr">
        <is>
          <t>T07_MAKER_CHECKER</t>
        </is>
      </c>
      <c r="B761" s="4" t="inlineStr">
        <is>
          <t>IMB-0213964</t>
        </is>
      </c>
      <c r="C761" s="4" t="inlineStr">
        <is>
          <t>ALMOXARIFADO_INVERSOES_FIXAS</t>
        </is>
      </c>
      <c r="D761" s="5" t="n">
        <v>804.58</v>
      </c>
      <c r="E761" s="5" t="n">
        <v>0</v>
      </c>
      <c r="F761" s="4" t="inlineStr">
        <is>
          <t>Cadastro sem aprovacao ou aprovado pelo proprio cadastrador</t>
        </is>
      </c>
    </row>
    <row r="762">
      <c r="A762" s="4" t="inlineStr">
        <is>
          <t>T07_MAKER_CHECKER</t>
        </is>
      </c>
      <c r="B762" s="4" t="inlineStr">
        <is>
          <t>IMB-0215632</t>
        </is>
      </c>
      <c r="C762" s="4" t="inlineStr">
        <is>
          <t>ALMOXARIFADO_INVERSOES_FIXAS</t>
        </is>
      </c>
      <c r="D762" s="5" t="n">
        <v>299.84</v>
      </c>
      <c r="E762" s="5" t="n">
        <v>0</v>
      </c>
      <c r="F762" s="4" t="inlineStr">
        <is>
          <t>Cadastro sem aprovacao ou aprovado pelo proprio cadastrador</t>
        </is>
      </c>
    </row>
    <row r="763">
      <c r="A763" s="4" t="inlineStr">
        <is>
          <t>T07_MAKER_CHECKER</t>
        </is>
      </c>
      <c r="B763" s="4" t="inlineStr">
        <is>
          <t>IMB-0217762</t>
        </is>
      </c>
      <c r="C763" s="4" t="inlineStr">
        <is>
          <t>OUTROS</t>
        </is>
      </c>
      <c r="D763" s="5" t="n">
        <v>2291.52</v>
      </c>
      <c r="E763" s="5" t="n">
        <v>0</v>
      </c>
      <c r="F763" s="4" t="inlineStr">
        <is>
          <t>Cadastro sem aprovacao ou aprovado pelo proprio cadastrador</t>
        </is>
      </c>
    </row>
    <row r="764">
      <c r="A764" s="4" t="inlineStr">
        <is>
          <t>T07_MAKER_CHECKER</t>
        </is>
      </c>
      <c r="B764" s="4" t="inlineStr">
        <is>
          <t>IMB-0218888</t>
        </is>
      </c>
      <c r="C764" s="4" t="inlineStr">
        <is>
          <t>OUTROS</t>
        </is>
      </c>
      <c r="D764" s="5" t="n">
        <v>246.28</v>
      </c>
      <c r="E764" s="5" t="n">
        <v>0</v>
      </c>
      <c r="F764" s="4" t="inlineStr">
        <is>
          <t>Cadastro sem aprovacao ou aprovado pelo proprio cadastrador</t>
        </is>
      </c>
    </row>
    <row r="765">
      <c r="A765" s="4" t="inlineStr">
        <is>
          <t>T07_MAKER_CHECKER</t>
        </is>
      </c>
      <c r="B765" s="4" t="inlineStr">
        <is>
          <t>IMB-0219867</t>
        </is>
      </c>
      <c r="C765" s="4" t="inlineStr">
        <is>
          <t>DESENVOLVIMENTO_CAMPOS</t>
        </is>
      </c>
      <c r="D765" s="5" t="n">
        <v>3304.9</v>
      </c>
      <c r="E765" s="5" t="n">
        <v>0</v>
      </c>
      <c r="F765" s="4" t="inlineStr">
        <is>
          <t>Cadastro sem aprovacao ou aprovado pelo proprio cadastrador</t>
        </is>
      </c>
    </row>
    <row r="766">
      <c r="A766" s="4" t="inlineStr">
        <is>
          <t>T07_MAKER_CHECKER</t>
        </is>
      </c>
      <c r="B766" s="4" t="inlineStr">
        <is>
          <t>IMB-0220265</t>
        </is>
      </c>
      <c r="C766" s="4" t="inlineStr">
        <is>
          <t>DESENVOLVIMENTO_CAMPOS</t>
        </is>
      </c>
      <c r="D766" s="5" t="n">
        <v>583.97</v>
      </c>
      <c r="E766" s="5" t="n">
        <v>0</v>
      </c>
      <c r="F766" s="4" t="inlineStr">
        <is>
          <t>Cadastro sem aprovacao ou aprovado pelo proprio cadastrador</t>
        </is>
      </c>
    </row>
    <row r="767">
      <c r="A767" s="4" t="inlineStr">
        <is>
          <t>T07_MAKER_CHECKER</t>
        </is>
      </c>
      <c r="B767" s="4" t="inlineStr">
        <is>
          <t>IMB-0220491</t>
        </is>
      </c>
      <c r="C767" s="4" t="inlineStr">
        <is>
          <t>DESENVOLVIMENTO_CAMPOS</t>
        </is>
      </c>
      <c r="D767" s="5" t="n">
        <v>1646.82</v>
      </c>
      <c r="E767" s="5" t="n">
        <v>0</v>
      </c>
      <c r="F767" s="4" t="inlineStr">
        <is>
          <t>Cadastro sem aprovacao ou aprovado pelo proprio cadastrador</t>
        </is>
      </c>
    </row>
    <row r="768">
      <c r="A768" s="4" t="inlineStr">
        <is>
          <t>T07_MAKER_CHECKER</t>
        </is>
      </c>
      <c r="B768" s="4" t="inlineStr">
        <is>
          <t>IMB-0221338</t>
        </is>
      </c>
      <c r="C768" s="4" t="inlineStr">
        <is>
          <t>OUTROS</t>
        </is>
      </c>
      <c r="D768" s="5" t="n">
        <v>19602.4</v>
      </c>
      <c r="E768" s="5" t="n">
        <v>0</v>
      </c>
      <c r="F768" s="4" t="inlineStr">
        <is>
          <t>Cadastro sem aprovacao ou aprovado pelo proprio cadastrador</t>
        </is>
      </c>
    </row>
    <row r="769">
      <c r="A769" s="4" t="inlineStr">
        <is>
          <t>T07_MAKER_CHECKER</t>
        </is>
      </c>
      <c r="B769" s="4" t="inlineStr">
        <is>
          <t>IMB-0221663</t>
        </is>
      </c>
      <c r="C769" s="4" t="inlineStr">
        <is>
          <t>ALMOXARIFADO_INVERSOES_FIXAS</t>
        </is>
      </c>
      <c r="D769" s="5" t="n">
        <v>2748.99</v>
      </c>
      <c r="E769" s="5" t="n">
        <v>0</v>
      </c>
      <c r="F769" s="4" t="inlineStr">
        <is>
          <t>Cadastro sem aprovacao ou aprovado pelo proprio cadastrador</t>
        </is>
      </c>
    </row>
    <row r="770">
      <c r="A770" s="4" t="inlineStr">
        <is>
          <t>T07_MAKER_CHECKER</t>
        </is>
      </c>
      <c r="B770" s="4" t="inlineStr">
        <is>
          <t>IMB-0222043</t>
        </is>
      </c>
      <c r="C770" s="4" t="inlineStr">
        <is>
          <t>DESENVOLVIMENTO_CAMPOS</t>
        </is>
      </c>
      <c r="D770" s="5" t="n">
        <v>519.35</v>
      </c>
      <c r="E770" s="5" t="n">
        <v>0</v>
      </c>
      <c r="F770" s="4" t="inlineStr">
        <is>
          <t>Cadastro sem aprovacao ou aprovado pelo proprio cadastrador</t>
        </is>
      </c>
    </row>
    <row r="771">
      <c r="A771" s="4" t="inlineStr">
        <is>
          <t>T07_MAKER_CHECKER</t>
        </is>
      </c>
      <c r="B771" s="4" t="inlineStr">
        <is>
          <t>IMB-0222256</t>
        </is>
      </c>
      <c r="C771" s="4" t="inlineStr">
        <is>
          <t>MAQUINAS_EQUIPAMENTOS</t>
        </is>
      </c>
      <c r="D771" s="5" t="n">
        <v>661.52</v>
      </c>
      <c r="E771" s="5" t="n">
        <v>0</v>
      </c>
      <c r="F771" s="4" t="inlineStr">
        <is>
          <t>Cadastro sem aprovacao ou aprovado pelo proprio cadastrador</t>
        </is>
      </c>
    </row>
    <row r="772">
      <c r="A772" s="4" t="inlineStr">
        <is>
          <t>T07_MAKER_CHECKER</t>
        </is>
      </c>
      <c r="B772" s="4" t="inlineStr">
        <is>
          <t>IMB-0222373</t>
        </is>
      </c>
      <c r="C772" s="4" t="inlineStr">
        <is>
          <t>OUTROS</t>
        </is>
      </c>
      <c r="D772" s="5" t="n">
        <v>454.51</v>
      </c>
      <c r="E772" s="5" t="n">
        <v>0</v>
      </c>
      <c r="F772" s="4" t="inlineStr">
        <is>
          <t>Cadastro sem aprovacao ou aprovado pelo proprio cadastrador</t>
        </is>
      </c>
    </row>
    <row r="773">
      <c r="A773" s="4" t="inlineStr">
        <is>
          <t>T07_MAKER_CHECKER</t>
        </is>
      </c>
      <c r="B773" s="4" t="inlineStr">
        <is>
          <t>IMB-0224422</t>
        </is>
      </c>
      <c r="C773" s="4" t="inlineStr">
        <is>
          <t>ALMOXARIFADO_INVERSOES_FIXAS</t>
        </is>
      </c>
      <c r="D773" s="5" t="n">
        <v>396.61</v>
      </c>
      <c r="E773" s="5" t="n">
        <v>0</v>
      </c>
      <c r="F773" s="4" t="inlineStr">
        <is>
          <t>Cadastro sem aprovacao ou aprovado pelo proprio cadastrador</t>
        </is>
      </c>
    </row>
    <row r="774">
      <c r="A774" s="4" t="inlineStr">
        <is>
          <t>T07_MAKER_CHECKER</t>
        </is>
      </c>
      <c r="B774" s="4" t="inlineStr">
        <is>
          <t>IMB-0224469</t>
        </is>
      </c>
      <c r="C774" s="4" t="inlineStr">
        <is>
          <t>ALMOXARIFADO_INVERSOES_FIXAS</t>
        </is>
      </c>
      <c r="D774" s="5" t="n">
        <v>257.13</v>
      </c>
      <c r="E774" s="5" t="n">
        <v>0</v>
      </c>
      <c r="F774" s="4" t="inlineStr">
        <is>
          <t>Cadastro sem aprovacao ou aprovado pelo proprio cadastrador</t>
        </is>
      </c>
    </row>
    <row r="775">
      <c r="A775" s="4" t="inlineStr">
        <is>
          <t>T07_MAKER_CHECKER</t>
        </is>
      </c>
      <c r="B775" s="4" t="inlineStr">
        <is>
          <t>IMB-0224627</t>
        </is>
      </c>
      <c r="C775" s="4" t="inlineStr">
        <is>
          <t>ALMOXARIFADO_INVERSOES_FIXAS</t>
        </is>
      </c>
      <c r="D775" s="5" t="n">
        <v>1566.78</v>
      </c>
      <c r="E775" s="5" t="n">
        <v>0</v>
      </c>
      <c r="F775" s="4" t="inlineStr">
        <is>
          <t>Cadastro sem aprovacao ou aprovado pelo proprio cadastrador</t>
        </is>
      </c>
    </row>
    <row r="776">
      <c r="A776" s="4" t="inlineStr">
        <is>
          <t>T07_MAKER_CHECKER</t>
        </is>
      </c>
      <c r="B776" s="4" t="inlineStr">
        <is>
          <t>IMB-0225233</t>
        </is>
      </c>
      <c r="C776" s="4" t="inlineStr">
        <is>
          <t>MAQUINAS_EQUIPAMENTOS</t>
        </is>
      </c>
      <c r="D776" s="5" t="n">
        <v>1450.51</v>
      </c>
      <c r="E776" s="5" t="n">
        <v>0</v>
      </c>
      <c r="F776" s="4" t="inlineStr">
        <is>
          <t>Cadastro sem aprovacao ou aprovado pelo proprio cadastrador</t>
        </is>
      </c>
    </row>
    <row r="777">
      <c r="A777" s="4" t="inlineStr">
        <is>
          <t>T07_MAKER_CHECKER</t>
        </is>
      </c>
      <c r="B777" s="4" t="inlineStr">
        <is>
          <t>IMB-0225683</t>
        </is>
      </c>
      <c r="C777" s="4" t="inlineStr">
        <is>
          <t>DESENVOLVIMENTO_CAMPOS</t>
        </is>
      </c>
      <c r="D777" s="5" t="n">
        <v>58.37</v>
      </c>
      <c r="E777" s="5" t="n">
        <v>0</v>
      </c>
      <c r="F777" s="4" t="inlineStr">
        <is>
          <t>Cadastro sem aprovacao ou aprovado pelo proprio cadastrador</t>
        </is>
      </c>
    </row>
    <row r="778">
      <c r="A778" s="4" t="inlineStr">
        <is>
          <t>T07_MAKER_CHECKER</t>
        </is>
      </c>
      <c r="B778" s="4" t="inlineStr">
        <is>
          <t>IMB-0225901</t>
        </is>
      </c>
      <c r="C778" s="4" t="inlineStr">
        <is>
          <t>DESENVOLVIMENTO_CAMPOS</t>
        </is>
      </c>
      <c r="D778" s="5" t="n">
        <v>15840.68</v>
      </c>
      <c r="E778" s="5" t="n">
        <v>0</v>
      </c>
      <c r="F778" s="4" t="inlineStr">
        <is>
          <t>Cadastro sem aprovacao ou aprovado pelo proprio cadastrador</t>
        </is>
      </c>
    </row>
    <row r="779">
      <c r="A779" s="4" t="inlineStr">
        <is>
          <t>T07_MAKER_CHECKER</t>
        </is>
      </c>
      <c r="B779" s="4" t="inlineStr">
        <is>
          <t>IMB-0226327</t>
        </is>
      </c>
      <c r="C779" s="4" t="inlineStr">
        <is>
          <t>ALMOXARIFADO_INVERSOES_FIXAS</t>
        </is>
      </c>
      <c r="D779" s="5" t="n">
        <v>1414.95</v>
      </c>
      <c r="E779" s="5" t="n">
        <v>0</v>
      </c>
      <c r="F779" s="4" t="inlineStr">
        <is>
          <t>Cadastro sem aprovacao ou aprovado pelo proprio cadastrador</t>
        </is>
      </c>
    </row>
    <row r="780">
      <c r="A780" s="4" t="inlineStr">
        <is>
          <t>T07_MAKER_CHECKER</t>
        </is>
      </c>
      <c r="B780" s="4" t="inlineStr">
        <is>
          <t>IMB-0226443</t>
        </is>
      </c>
      <c r="C780" s="4" t="inlineStr">
        <is>
          <t>DESENVOLVIMENTO_CAMPOS</t>
        </is>
      </c>
      <c r="D780" s="5" t="n">
        <v>2577.71</v>
      </c>
      <c r="E780" s="5" t="n">
        <v>0</v>
      </c>
      <c r="F780" s="4" t="inlineStr">
        <is>
          <t>Cadastro sem aprovacao ou aprovado pelo proprio cadastrador</t>
        </is>
      </c>
    </row>
    <row r="781">
      <c r="A781" s="4" t="inlineStr">
        <is>
          <t>T07_MAKER_CHECKER</t>
        </is>
      </c>
      <c r="B781" s="4" t="inlineStr">
        <is>
          <t>IMB-0227209</t>
        </is>
      </c>
      <c r="C781" s="4" t="inlineStr">
        <is>
          <t>ALMOXARIFADO_INVERSOES_FIXAS</t>
        </is>
      </c>
      <c r="D781" s="5" t="n">
        <v>2559.95</v>
      </c>
      <c r="E781" s="5" t="n">
        <v>0</v>
      </c>
      <c r="F781" s="4" t="inlineStr">
        <is>
          <t>Cadastro sem aprovacao ou aprovado pelo proprio cadastrador</t>
        </is>
      </c>
    </row>
    <row r="782">
      <c r="A782" s="4" t="inlineStr">
        <is>
          <t>T07_MAKER_CHECKER</t>
        </is>
      </c>
      <c r="B782" s="4" t="inlineStr">
        <is>
          <t>IMB-0228925</t>
        </is>
      </c>
      <c r="C782" s="4" t="inlineStr">
        <is>
          <t>ALMOXARIFADO_INVERSOES_FIXAS</t>
        </is>
      </c>
      <c r="D782" s="5" t="n">
        <v>17575.91</v>
      </c>
      <c r="E782" s="5" t="n">
        <v>0</v>
      </c>
      <c r="F782" s="4" t="inlineStr">
        <is>
          <t>Cadastro sem aprovacao ou aprovado pelo proprio cadastrador</t>
        </is>
      </c>
    </row>
    <row r="783">
      <c r="A783" s="4" t="inlineStr">
        <is>
          <t>T07_MAKER_CHECKER</t>
        </is>
      </c>
      <c r="B783" s="4" t="inlineStr">
        <is>
          <t>IMB-0229276</t>
        </is>
      </c>
      <c r="C783" s="4" t="inlineStr">
        <is>
          <t>ALMOXARIFADO_INVERSOES_FIXAS</t>
        </is>
      </c>
      <c r="D783" s="5" t="n">
        <v>446.7</v>
      </c>
      <c r="E783" s="5" t="n">
        <v>0</v>
      </c>
      <c r="F783" s="4" t="inlineStr">
        <is>
          <t>Cadastro sem aprovacao ou aprovado pelo proprio cadastrador</t>
        </is>
      </c>
    </row>
    <row r="784">
      <c r="A784" s="4" t="inlineStr">
        <is>
          <t>T07_MAKER_CHECKER</t>
        </is>
      </c>
      <c r="B784" s="4" t="inlineStr">
        <is>
          <t>IMB-0229762</t>
        </is>
      </c>
      <c r="C784" s="4" t="inlineStr">
        <is>
          <t>DESENVOLVIMENTO_CAMPOS</t>
        </is>
      </c>
      <c r="D784" s="5" t="n">
        <v>1206.06</v>
      </c>
      <c r="E784" s="5" t="n">
        <v>0</v>
      </c>
      <c r="F784" s="4" t="inlineStr">
        <is>
          <t>Cadastro sem aprovacao ou aprovado pelo proprio cadastrador</t>
        </is>
      </c>
    </row>
    <row r="785">
      <c r="A785" s="4" t="inlineStr">
        <is>
          <t>T07_MAKER_CHECKER</t>
        </is>
      </c>
      <c r="B785" s="4" t="inlineStr">
        <is>
          <t>IMB-0231854</t>
        </is>
      </c>
      <c r="C785" s="4" t="inlineStr">
        <is>
          <t>ALMOXARIFADO_INVERSOES_FIXAS</t>
        </is>
      </c>
      <c r="D785" s="5" t="n">
        <v>509.9</v>
      </c>
      <c r="E785" s="5" t="n">
        <v>0</v>
      </c>
      <c r="F785" s="4" t="inlineStr">
        <is>
          <t>Cadastro sem aprovacao ou aprovado pelo proprio cadastrador</t>
        </is>
      </c>
    </row>
    <row r="786">
      <c r="A786" s="4" t="inlineStr">
        <is>
          <t>T07_MAKER_CHECKER</t>
        </is>
      </c>
      <c r="B786" s="4" t="inlineStr">
        <is>
          <t>IMB-0231878</t>
        </is>
      </c>
      <c r="C786" s="4" t="inlineStr">
        <is>
          <t>DESENVOLVIMENTO_CAMPOS</t>
        </is>
      </c>
      <c r="D786" s="5" t="n">
        <v>1008.63</v>
      </c>
      <c r="E786" s="5" t="n">
        <v>0</v>
      </c>
      <c r="F786" s="4" t="inlineStr">
        <is>
          <t>Cadastro sem aprovacao ou aprovado pelo proprio cadastrador</t>
        </is>
      </c>
    </row>
    <row r="787">
      <c r="A787" s="4" t="inlineStr">
        <is>
          <t>T07_MAKER_CHECKER</t>
        </is>
      </c>
      <c r="B787" s="4" t="inlineStr">
        <is>
          <t>IMB-0232450</t>
        </is>
      </c>
      <c r="C787" s="4" t="inlineStr">
        <is>
          <t>OUTROS</t>
        </is>
      </c>
      <c r="D787" s="5" t="n">
        <v>1644.8</v>
      </c>
      <c r="E787" s="5" t="n">
        <v>0</v>
      </c>
      <c r="F787" s="4" t="inlineStr">
        <is>
          <t>Cadastro sem aprovacao ou aprovado pelo proprio cadastrador</t>
        </is>
      </c>
    </row>
    <row r="788">
      <c r="A788" s="4" t="inlineStr">
        <is>
          <t>T07_MAKER_CHECKER</t>
        </is>
      </c>
      <c r="B788" s="4" t="inlineStr">
        <is>
          <t>IMB-0232895</t>
        </is>
      </c>
      <c r="C788" s="4" t="inlineStr">
        <is>
          <t>OUTROS</t>
        </is>
      </c>
      <c r="D788" s="5" t="n">
        <v>0</v>
      </c>
      <c r="E788" s="5" t="n">
        <v>0</v>
      </c>
      <c r="F788" s="4" t="inlineStr">
        <is>
          <t>Cadastro sem aprovacao ou aprovado pelo proprio cadastrador</t>
        </is>
      </c>
    </row>
    <row r="789">
      <c r="A789" s="4" t="inlineStr">
        <is>
          <t>T07_MAKER_CHECKER</t>
        </is>
      </c>
      <c r="B789" s="4" t="inlineStr">
        <is>
          <t>IMB-0236284</t>
        </is>
      </c>
      <c r="C789" s="4" t="inlineStr">
        <is>
          <t>DESENVOLVIMENTO_CAMPOS</t>
        </is>
      </c>
      <c r="D789" s="5" t="n">
        <v>1462.59</v>
      </c>
      <c r="E789" s="5" t="n">
        <v>0</v>
      </c>
      <c r="F789" s="4" t="inlineStr">
        <is>
          <t>Cadastro sem aprovacao ou aprovado pelo proprio cadastrador</t>
        </is>
      </c>
    </row>
    <row r="790">
      <c r="A790" s="4" t="inlineStr">
        <is>
          <t>T07_MAKER_CHECKER</t>
        </is>
      </c>
      <c r="B790" s="4" t="inlineStr">
        <is>
          <t>IMB-0237798</t>
        </is>
      </c>
      <c r="C790" s="4" t="inlineStr">
        <is>
          <t>ALMOXARIFADO_INVERSOES_FIXAS</t>
        </is>
      </c>
      <c r="D790" s="5" t="n">
        <v>3509.49</v>
      </c>
      <c r="E790" s="5" t="n">
        <v>0</v>
      </c>
      <c r="F790" s="4" t="inlineStr">
        <is>
          <t>Cadastro sem aprovacao ou aprovado pelo proprio cadastrador</t>
        </is>
      </c>
    </row>
    <row r="791">
      <c r="A791" s="4" t="inlineStr">
        <is>
          <t>T07_MAKER_CHECKER</t>
        </is>
      </c>
      <c r="B791" s="4" t="inlineStr">
        <is>
          <t>IMB-0239507</t>
        </is>
      </c>
      <c r="C791" s="4" t="inlineStr">
        <is>
          <t>ALMOXARIFADO_INVERSOES_FIXAS</t>
        </is>
      </c>
      <c r="D791" s="5" t="n">
        <v>1530.55</v>
      </c>
      <c r="E791" s="5" t="n">
        <v>0</v>
      </c>
      <c r="F791" s="4" t="inlineStr">
        <is>
          <t>Cadastro sem aprovacao ou aprovado pelo proprio cadastrador</t>
        </is>
      </c>
    </row>
    <row r="792">
      <c r="A792" s="4" t="inlineStr">
        <is>
          <t>T07_MAKER_CHECKER</t>
        </is>
      </c>
      <c r="B792" s="4" t="inlineStr">
        <is>
          <t>IMB-0241251</t>
        </is>
      </c>
      <c r="C792" s="4" t="inlineStr">
        <is>
          <t>DESENVOLVIMENTO_CAMPOS</t>
        </is>
      </c>
      <c r="D792" s="5" t="n">
        <v>86.70999999999999</v>
      </c>
      <c r="E792" s="5" t="n">
        <v>0</v>
      </c>
      <c r="F792" s="4" t="inlineStr">
        <is>
          <t>Cadastro sem aprovacao ou aprovado pelo proprio cadastrador</t>
        </is>
      </c>
    </row>
    <row r="793">
      <c r="A793" s="4" t="inlineStr">
        <is>
          <t>T07_MAKER_CHECKER</t>
        </is>
      </c>
      <c r="B793" s="4" t="inlineStr">
        <is>
          <t>IMB-0242239</t>
        </is>
      </c>
      <c r="C793" s="4" t="inlineStr">
        <is>
          <t>DESENVOLVIMENTO_CAMPOS</t>
        </is>
      </c>
      <c r="D793" s="5" t="n">
        <v>2974.11</v>
      </c>
      <c r="E793" s="5" t="n">
        <v>0</v>
      </c>
      <c r="F793" s="4" t="inlineStr">
        <is>
          <t>Cadastro sem aprovacao ou aprovado pelo proprio cadastrador</t>
        </is>
      </c>
    </row>
    <row r="794">
      <c r="A794" s="4" t="inlineStr">
        <is>
          <t>T07_MAKER_CHECKER</t>
        </is>
      </c>
      <c r="B794" s="4" t="inlineStr">
        <is>
          <t>IMB-0242596</t>
        </is>
      </c>
      <c r="C794" s="4" t="inlineStr">
        <is>
          <t>DESENVOLVIMENTO_CAMPOS</t>
        </is>
      </c>
      <c r="D794" s="5" t="n">
        <v>216.94</v>
      </c>
      <c r="E794" s="5" t="n">
        <v>0</v>
      </c>
      <c r="F794" s="4" t="inlineStr">
        <is>
          <t>Cadastro sem aprovacao ou aprovado pelo proprio cadastrador</t>
        </is>
      </c>
    </row>
    <row r="795">
      <c r="A795" s="4" t="inlineStr">
        <is>
          <t>T07_MAKER_CHECKER</t>
        </is>
      </c>
      <c r="B795" s="4" t="inlineStr">
        <is>
          <t>IMB-0244080</t>
        </is>
      </c>
      <c r="C795" s="4" t="inlineStr">
        <is>
          <t>DESENVOLVIMENTO_CAMPOS</t>
        </is>
      </c>
      <c r="D795" s="5" t="n">
        <v>572.35</v>
      </c>
      <c r="E795" s="5" t="n">
        <v>0</v>
      </c>
      <c r="F795" s="4" t="inlineStr">
        <is>
          <t>Cadastro sem aprovacao ou aprovado pelo proprio cadastrador</t>
        </is>
      </c>
    </row>
    <row r="796">
      <c r="A796" s="4" t="inlineStr">
        <is>
          <t>T07_MAKER_CHECKER</t>
        </is>
      </c>
      <c r="B796" s="4" t="inlineStr">
        <is>
          <t>IMB-0244581</t>
        </is>
      </c>
      <c r="C796" s="4" t="inlineStr">
        <is>
          <t>DESENVOLVIMENTO_CAMPOS</t>
        </is>
      </c>
      <c r="D796" s="5" t="n">
        <v>4704.37</v>
      </c>
      <c r="E796" s="5" t="n">
        <v>0</v>
      </c>
      <c r="F796" s="4" t="inlineStr">
        <is>
          <t>Cadastro sem aprovacao ou aprovado pelo proprio cadastrador</t>
        </is>
      </c>
    </row>
    <row r="797">
      <c r="A797" s="4" t="inlineStr">
        <is>
          <t>T07_MAKER_CHECKER</t>
        </is>
      </c>
      <c r="B797" s="4" t="inlineStr">
        <is>
          <t>IMB-0245672</t>
        </is>
      </c>
      <c r="C797" s="4" t="inlineStr">
        <is>
          <t>DESENVOLVIMENTO_CAMPOS</t>
        </is>
      </c>
      <c r="D797" s="5" t="n">
        <v>131.14</v>
      </c>
      <c r="E797" s="5" t="n">
        <v>0</v>
      </c>
      <c r="F797" s="4" t="inlineStr">
        <is>
          <t>Cadastro sem aprovacao ou aprovado pelo proprio cadastrador</t>
        </is>
      </c>
    </row>
    <row r="798">
      <c r="A798" s="4" t="inlineStr">
        <is>
          <t>T07_MAKER_CHECKER</t>
        </is>
      </c>
      <c r="B798" s="4" t="inlineStr">
        <is>
          <t>IMB-0247347</t>
        </is>
      </c>
      <c r="C798" s="4" t="inlineStr">
        <is>
          <t>MAQUINAS_EQUIPAMENTOS</t>
        </is>
      </c>
      <c r="D798" s="5" t="n">
        <v>569.39</v>
      </c>
      <c r="E798" s="5" t="n">
        <v>0</v>
      </c>
      <c r="F798" s="4" t="inlineStr">
        <is>
          <t>Cadastro sem aprovacao ou aprovado pelo proprio cadastrador</t>
        </is>
      </c>
    </row>
    <row r="799">
      <c r="A799" s="4" t="inlineStr">
        <is>
          <t>T07_MAKER_CHECKER</t>
        </is>
      </c>
      <c r="B799" s="4" t="inlineStr">
        <is>
          <t>IMB-0248997</t>
        </is>
      </c>
      <c r="C799" s="4" t="inlineStr">
        <is>
          <t>ALMOXARIFADO_INVERSOES_FIXAS</t>
        </is>
      </c>
      <c r="D799" s="5" t="n">
        <v>4691.32</v>
      </c>
      <c r="E799" s="5" t="n">
        <v>0</v>
      </c>
      <c r="F799" s="4" t="inlineStr">
        <is>
          <t>Cadastro sem aprovacao ou aprovado pelo proprio cadastrador</t>
        </is>
      </c>
    </row>
    <row r="800">
      <c r="A800" s="4" t="inlineStr">
        <is>
          <t>T07_MAKER_CHECKER</t>
        </is>
      </c>
      <c r="B800" s="4" t="inlineStr">
        <is>
          <t>IMB-0250283</t>
        </is>
      </c>
      <c r="C800" s="4" t="inlineStr">
        <is>
          <t>DESENVOLVIMENTO_CAMPOS</t>
        </is>
      </c>
      <c r="D800" s="5" t="n">
        <v>23.59</v>
      </c>
      <c r="E800" s="5" t="n">
        <v>0</v>
      </c>
      <c r="F800" s="4" t="inlineStr">
        <is>
          <t>Cadastro sem aprovacao ou aprovado pelo proprio cadastrador</t>
        </is>
      </c>
    </row>
    <row r="801">
      <c r="A801" s="4" t="inlineStr">
        <is>
          <t>T07_MAKER_CHECKER</t>
        </is>
      </c>
      <c r="B801" s="4" t="inlineStr">
        <is>
          <t>IMB-0250536</t>
        </is>
      </c>
      <c r="C801" s="4" t="inlineStr">
        <is>
          <t>ALMOXARIFADO_INVERSOES_FIXAS</t>
        </is>
      </c>
      <c r="D801" s="5" t="n">
        <v>595.63</v>
      </c>
      <c r="E801" s="5" t="n">
        <v>0</v>
      </c>
      <c r="F801" s="4" t="inlineStr">
        <is>
          <t>Cadastro sem aprovacao ou aprovado pelo proprio cadastrador</t>
        </is>
      </c>
    </row>
    <row r="802">
      <c r="A802" s="4" t="inlineStr">
        <is>
          <t>T07_MAKER_CHECKER</t>
        </is>
      </c>
      <c r="B802" s="4" t="inlineStr">
        <is>
          <t>IMB-0251484</t>
        </is>
      </c>
      <c r="C802" s="4" t="inlineStr">
        <is>
          <t>ALMOXARIFADO_INVERSOES_FIXAS</t>
        </is>
      </c>
      <c r="D802" s="5" t="n">
        <v>4106.2</v>
      </c>
      <c r="E802" s="5" t="n">
        <v>0</v>
      </c>
      <c r="F802" s="4" t="inlineStr">
        <is>
          <t>Cadastro sem aprovacao ou aprovado pelo proprio cadastrador</t>
        </is>
      </c>
    </row>
    <row r="803">
      <c r="A803" s="4" t="inlineStr">
        <is>
          <t>T07_MAKER_CHECKER</t>
        </is>
      </c>
      <c r="B803" s="4" t="inlineStr">
        <is>
          <t>IMB-0254365</t>
        </is>
      </c>
      <c r="C803" s="4" t="inlineStr">
        <is>
          <t>OUTROS</t>
        </is>
      </c>
      <c r="D803" s="5" t="n">
        <v>244.02</v>
      </c>
      <c r="E803" s="5" t="n">
        <v>0</v>
      </c>
      <c r="F803" s="4" t="inlineStr">
        <is>
          <t>Cadastro sem aprovacao ou aprovado pelo proprio cadastrador</t>
        </is>
      </c>
    </row>
    <row r="804">
      <c r="A804" s="4" t="inlineStr">
        <is>
          <t>T07_MAKER_CHECKER</t>
        </is>
      </c>
      <c r="B804" s="4" t="inlineStr">
        <is>
          <t>IMB-0254506</t>
        </is>
      </c>
      <c r="C804" s="4" t="inlineStr">
        <is>
          <t>MAQUINAS_EQUIPAMENTOS</t>
        </is>
      </c>
      <c r="D804" s="5" t="n">
        <v>1298.98</v>
      </c>
      <c r="E804" s="5" t="n">
        <v>0</v>
      </c>
      <c r="F804" s="4" t="inlineStr">
        <is>
          <t>Cadastro sem aprovacao ou aprovado pelo proprio cadastrador</t>
        </is>
      </c>
    </row>
    <row r="805">
      <c r="A805" s="4" t="inlineStr">
        <is>
          <t>T07_MAKER_CHECKER</t>
        </is>
      </c>
      <c r="B805" s="4" t="inlineStr">
        <is>
          <t>IMB-0256586</t>
        </is>
      </c>
      <c r="C805" s="4" t="inlineStr">
        <is>
          <t>DESENVOLVIMENTO_CAMPOS</t>
        </is>
      </c>
      <c r="D805" s="5" t="n">
        <v>94.02</v>
      </c>
      <c r="E805" s="5" t="n">
        <v>0</v>
      </c>
      <c r="F805" s="4" t="inlineStr">
        <is>
          <t>Cadastro sem aprovacao ou aprovado pelo proprio cadastrador</t>
        </is>
      </c>
    </row>
    <row r="806">
      <c r="A806" s="4" t="inlineStr">
        <is>
          <t>T07_MAKER_CHECKER</t>
        </is>
      </c>
      <c r="B806" s="4" t="inlineStr">
        <is>
          <t>IMB-0257460</t>
        </is>
      </c>
      <c r="C806" s="4" t="inlineStr">
        <is>
          <t>OUTROS</t>
        </is>
      </c>
      <c r="D806" s="5" t="n">
        <v>248.98</v>
      </c>
      <c r="E806" s="5" t="n">
        <v>0</v>
      </c>
      <c r="F806" s="4" t="inlineStr">
        <is>
          <t>Cadastro sem aprovacao ou aprovado pelo proprio cadastrador</t>
        </is>
      </c>
    </row>
    <row r="807">
      <c r="A807" s="4" t="inlineStr">
        <is>
          <t>T07_MAKER_CHECKER</t>
        </is>
      </c>
      <c r="B807" s="4" t="inlineStr">
        <is>
          <t>IMB-0257506</t>
        </is>
      </c>
      <c r="C807" s="4" t="inlineStr">
        <is>
          <t>ALMOXARIFADO_INVERSOES_FIXAS</t>
        </is>
      </c>
      <c r="D807" s="5" t="n">
        <v>1722.15</v>
      </c>
      <c r="E807" s="5" t="n">
        <v>0</v>
      </c>
      <c r="F807" s="4" t="inlineStr">
        <is>
          <t>Cadastro sem aprovacao ou aprovado pelo proprio cadastrador</t>
        </is>
      </c>
    </row>
    <row r="808">
      <c r="A808" s="4" t="inlineStr">
        <is>
          <t>T07_MAKER_CHECKER</t>
        </is>
      </c>
      <c r="B808" s="4" t="inlineStr">
        <is>
          <t>IMB-0258937</t>
        </is>
      </c>
      <c r="C808" s="4" t="inlineStr">
        <is>
          <t>DESENVOLVIMENTO_CAMPOS</t>
        </is>
      </c>
      <c r="D808" s="5" t="n">
        <v>690.78</v>
      </c>
      <c r="E808" s="5" t="n">
        <v>0</v>
      </c>
      <c r="F808" s="4" t="inlineStr">
        <is>
          <t>Cadastro sem aprovacao ou aprovado pelo proprio cadastrador</t>
        </is>
      </c>
    </row>
    <row r="809">
      <c r="A809" s="4" t="inlineStr">
        <is>
          <t>T07_MAKER_CHECKER</t>
        </is>
      </c>
      <c r="B809" s="4" t="inlineStr">
        <is>
          <t>IMB-0259434</t>
        </is>
      </c>
      <c r="C809" s="4" t="inlineStr">
        <is>
          <t>ALMOXARIFADO_INVERSOES_FIXAS</t>
        </is>
      </c>
      <c r="D809" s="5" t="n">
        <v>831.49</v>
      </c>
      <c r="E809" s="5" t="n">
        <v>0</v>
      </c>
      <c r="F809" s="4" t="inlineStr">
        <is>
          <t>Cadastro sem aprovacao ou aprovado pelo proprio cadastrador</t>
        </is>
      </c>
    </row>
    <row r="810">
      <c r="A810" s="4" t="inlineStr">
        <is>
          <t>T07_MAKER_CHECKER</t>
        </is>
      </c>
      <c r="B810" s="4" t="inlineStr">
        <is>
          <t>IMB-0259846</t>
        </is>
      </c>
      <c r="C810" s="4" t="inlineStr">
        <is>
          <t>MAQUINAS_EQUIPAMENTOS</t>
        </is>
      </c>
      <c r="D810" s="5" t="n">
        <v>986.39</v>
      </c>
      <c r="E810" s="5" t="n">
        <v>0</v>
      </c>
      <c r="F810" s="4" t="inlineStr">
        <is>
          <t>Cadastro sem aprovacao ou aprovado pelo proprio cadastrador</t>
        </is>
      </c>
    </row>
    <row r="811">
      <c r="A811" s="4" t="inlineStr">
        <is>
          <t>T07_MAKER_CHECKER</t>
        </is>
      </c>
      <c r="B811" s="4" t="inlineStr">
        <is>
          <t>IMB-0259924</t>
        </is>
      </c>
      <c r="C811" s="4" t="inlineStr">
        <is>
          <t>ALMOXARIFADO_INVERSOES_FIXAS</t>
        </is>
      </c>
      <c r="D811" s="5" t="n">
        <v>9073.26</v>
      </c>
      <c r="E811" s="5" t="n">
        <v>0</v>
      </c>
      <c r="F811" s="4" t="inlineStr">
        <is>
          <t>Cadastro sem aprovacao ou aprovado pelo proprio cadastrador</t>
        </is>
      </c>
    </row>
    <row r="812">
      <c r="A812" s="4" t="inlineStr">
        <is>
          <t>T07_MAKER_CHECKER</t>
        </is>
      </c>
      <c r="B812" s="4" t="inlineStr">
        <is>
          <t>IMB-0260600</t>
        </is>
      </c>
      <c r="C812" s="4" t="inlineStr">
        <is>
          <t>ALMOXARIFADO_INVERSOES_FIXAS</t>
        </is>
      </c>
      <c r="D812" s="5" t="n">
        <v>3743.7</v>
      </c>
      <c r="E812" s="5" t="n">
        <v>0</v>
      </c>
      <c r="F812" s="4" t="inlineStr">
        <is>
          <t>Cadastro sem aprovacao ou aprovado pelo proprio cadastrador</t>
        </is>
      </c>
    </row>
    <row r="813">
      <c r="A813" s="4" t="inlineStr">
        <is>
          <t>T07_MAKER_CHECKER</t>
        </is>
      </c>
      <c r="B813" s="4" t="inlineStr">
        <is>
          <t>IMB-0261574</t>
        </is>
      </c>
      <c r="C813" s="4" t="inlineStr">
        <is>
          <t>OUTROS</t>
        </is>
      </c>
      <c r="D813" s="5" t="n">
        <v>3180.3</v>
      </c>
      <c r="E813" s="5" t="n">
        <v>0</v>
      </c>
      <c r="F813" s="4" t="inlineStr">
        <is>
          <t>Cadastro sem aprovacao ou aprovado pelo proprio cadastrador</t>
        </is>
      </c>
    </row>
    <row r="814">
      <c r="A814" s="4" t="inlineStr">
        <is>
          <t>T07_MAKER_CHECKER</t>
        </is>
      </c>
      <c r="B814" s="4" t="inlineStr">
        <is>
          <t>IMB-0263174</t>
        </is>
      </c>
      <c r="C814" s="4" t="inlineStr">
        <is>
          <t>OUTROS</t>
        </is>
      </c>
      <c r="D814" s="5" t="n">
        <v>725.5700000000001</v>
      </c>
      <c r="E814" s="5" t="n">
        <v>0</v>
      </c>
      <c r="F814" s="4" t="inlineStr">
        <is>
          <t>Cadastro sem aprovacao ou aprovado pelo proprio cadastrador</t>
        </is>
      </c>
    </row>
    <row r="815">
      <c r="A815" s="4" t="inlineStr">
        <is>
          <t>T07_MAKER_CHECKER</t>
        </is>
      </c>
      <c r="B815" s="4" t="inlineStr">
        <is>
          <t>IMB-0265955</t>
        </is>
      </c>
      <c r="C815" s="4" t="inlineStr">
        <is>
          <t>ALMOXARIFADO_INVERSOES_FIXAS</t>
        </is>
      </c>
      <c r="D815" s="5" t="n">
        <v>3440.7</v>
      </c>
      <c r="E815" s="5" t="n">
        <v>0</v>
      </c>
      <c r="F815" s="4" t="inlineStr">
        <is>
          <t>Cadastro sem aprovacao ou aprovado pelo proprio cadastrador</t>
        </is>
      </c>
    </row>
    <row r="816">
      <c r="A816" s="4" t="inlineStr">
        <is>
          <t>T07_MAKER_CHECKER</t>
        </is>
      </c>
      <c r="B816" s="4" t="inlineStr">
        <is>
          <t>IMB-0266318</t>
        </is>
      </c>
      <c r="C816" s="4" t="inlineStr">
        <is>
          <t>ALMOXARIFADO_INVERSOES_FIXAS</t>
        </is>
      </c>
      <c r="D816" s="5" t="n">
        <v>3423.69</v>
      </c>
      <c r="E816" s="5" t="n">
        <v>0</v>
      </c>
      <c r="F816" s="4" t="inlineStr">
        <is>
          <t>Cadastro sem aprovacao ou aprovado pelo proprio cadastrador</t>
        </is>
      </c>
    </row>
    <row r="817">
      <c r="A817" s="4" t="inlineStr">
        <is>
          <t>T07_MAKER_CHECKER</t>
        </is>
      </c>
      <c r="B817" s="4" t="inlineStr">
        <is>
          <t>IMB-0267173</t>
        </is>
      </c>
      <c r="C817" s="4" t="inlineStr">
        <is>
          <t>ALMOXARIFADO_INVERSOES_FIXAS</t>
        </is>
      </c>
      <c r="D817" s="5" t="n">
        <v>1378.73</v>
      </c>
      <c r="E817" s="5" t="n">
        <v>0</v>
      </c>
      <c r="F817" s="4" t="inlineStr">
        <is>
          <t>Cadastro sem aprovacao ou aprovado pelo proprio cadastrador</t>
        </is>
      </c>
    </row>
    <row r="818">
      <c r="A818" s="4" t="inlineStr">
        <is>
          <t>T07_MAKER_CHECKER</t>
        </is>
      </c>
      <c r="B818" s="4" t="inlineStr">
        <is>
          <t>IMB-0267369</t>
        </is>
      </c>
      <c r="C818" s="4" t="inlineStr">
        <is>
          <t>ABANDONO_POCO_ARO</t>
        </is>
      </c>
      <c r="D818" s="5" t="n">
        <v>6296.42</v>
      </c>
      <c r="E818" s="5" t="n">
        <v>0</v>
      </c>
      <c r="F818" s="4" t="inlineStr">
        <is>
          <t>Cadastro sem aprovacao ou aprovado pelo proprio cadastrador</t>
        </is>
      </c>
    </row>
    <row r="819">
      <c r="A819" s="4" t="inlineStr">
        <is>
          <t>T07_MAKER_CHECKER</t>
        </is>
      </c>
      <c r="B819" s="4" t="inlineStr">
        <is>
          <t>IMB-0268066</t>
        </is>
      </c>
      <c r="C819" s="4" t="inlineStr">
        <is>
          <t>ALMOXARIFADO_INVERSOES_FIXAS</t>
        </is>
      </c>
      <c r="D819" s="5" t="n">
        <v>1551.69</v>
      </c>
      <c r="E819" s="5" t="n">
        <v>0</v>
      </c>
      <c r="F819" s="4" t="inlineStr">
        <is>
          <t>Cadastro sem aprovacao ou aprovado pelo proprio cadastrador</t>
        </is>
      </c>
    </row>
    <row r="820">
      <c r="A820" s="4" t="inlineStr">
        <is>
          <t>T07_MAKER_CHECKER</t>
        </is>
      </c>
      <c r="B820" s="4" t="inlineStr">
        <is>
          <t>IMB-0269486</t>
        </is>
      </c>
      <c r="C820" s="4" t="inlineStr">
        <is>
          <t>DESENVOLVIMENTO_CAMPOS</t>
        </is>
      </c>
      <c r="D820" s="5" t="n">
        <v>13.42</v>
      </c>
      <c r="E820" s="5" t="n">
        <v>0</v>
      </c>
      <c r="F820" s="4" t="inlineStr">
        <is>
          <t>Cadastro sem aprovacao ou aprovado pelo proprio cadastrador</t>
        </is>
      </c>
    </row>
    <row r="821">
      <c r="A821" s="4" t="inlineStr">
        <is>
          <t>T07_MAKER_CHECKER</t>
        </is>
      </c>
      <c r="B821" s="4" t="inlineStr">
        <is>
          <t>IMB-0269590</t>
        </is>
      </c>
      <c r="C821" s="4" t="inlineStr">
        <is>
          <t>DESENVOLVIMENTO_CAMPOS</t>
        </is>
      </c>
      <c r="D821" s="5" t="n">
        <v>96.48999999999999</v>
      </c>
      <c r="E821" s="5" t="n">
        <v>0</v>
      </c>
      <c r="F821" s="4" t="inlineStr">
        <is>
          <t>Cadastro sem aprovacao ou aprovado pelo proprio cadastrador</t>
        </is>
      </c>
    </row>
    <row r="822">
      <c r="A822" s="4" t="inlineStr">
        <is>
          <t>T07_MAKER_CHECKER</t>
        </is>
      </c>
      <c r="B822" s="4" t="inlineStr">
        <is>
          <t>IMB-0270013</t>
        </is>
      </c>
      <c r="C822" s="4" t="inlineStr">
        <is>
          <t>OUTROS</t>
        </is>
      </c>
      <c r="D822" s="5" t="n">
        <v>380.57</v>
      </c>
      <c r="E822" s="5" t="n">
        <v>0</v>
      </c>
      <c r="F822" s="4" t="inlineStr">
        <is>
          <t>Cadastro sem aprovacao ou aprovado pelo proprio cadastrador</t>
        </is>
      </c>
    </row>
    <row r="823">
      <c r="A823" s="4" t="inlineStr">
        <is>
          <t>T07_MAKER_CHECKER</t>
        </is>
      </c>
      <c r="B823" s="4" t="inlineStr">
        <is>
          <t>IMB-0270190</t>
        </is>
      </c>
      <c r="C823" s="4" t="inlineStr">
        <is>
          <t>OUTROS</t>
        </is>
      </c>
      <c r="D823" s="5" t="n">
        <v>9733.129999999999</v>
      </c>
      <c r="E823" s="5" t="n">
        <v>0</v>
      </c>
      <c r="F823" s="4" t="inlineStr">
        <is>
          <t>Cadastro sem aprovacao ou aprovado pelo proprio cadastrador</t>
        </is>
      </c>
    </row>
    <row r="824">
      <c r="A824" s="4" t="inlineStr">
        <is>
          <t>T07_MAKER_CHECKER</t>
        </is>
      </c>
      <c r="B824" s="4" t="inlineStr">
        <is>
          <t>IMB-0270434</t>
        </is>
      </c>
      <c r="C824" s="4" t="inlineStr">
        <is>
          <t>ALMOXARIFADO_INVERSOES_FIXAS</t>
        </is>
      </c>
      <c r="D824" s="5" t="n">
        <v>2649.18</v>
      </c>
      <c r="E824" s="5" t="n">
        <v>0</v>
      </c>
      <c r="F824" s="4" t="inlineStr">
        <is>
          <t>Cadastro sem aprovacao ou aprovado pelo proprio cadastrador</t>
        </is>
      </c>
    </row>
    <row r="825">
      <c r="A825" s="4" t="inlineStr">
        <is>
          <t>T07_MAKER_CHECKER</t>
        </is>
      </c>
      <c r="B825" s="4" t="inlineStr">
        <is>
          <t>IMB-0270456</t>
        </is>
      </c>
      <c r="C825" s="4" t="inlineStr">
        <is>
          <t>MAQUINAS_EQUIPAMENTOS</t>
        </is>
      </c>
      <c r="D825" s="5" t="n">
        <v>42671.08</v>
      </c>
      <c r="E825" s="5" t="n">
        <v>0</v>
      </c>
      <c r="F825" s="4" t="inlineStr">
        <is>
          <t>Cadastro sem aprovacao ou aprovado pelo proprio cadastrador</t>
        </is>
      </c>
    </row>
    <row r="826">
      <c r="A826" s="4" t="inlineStr">
        <is>
          <t>T07_MAKER_CHECKER</t>
        </is>
      </c>
      <c r="B826" s="4" t="inlineStr">
        <is>
          <t>IMB-0274377</t>
        </is>
      </c>
      <c r="C826" s="4" t="inlineStr">
        <is>
          <t>DESENVOLVIMENTO_CAMPOS</t>
        </is>
      </c>
      <c r="D826" s="5" t="n">
        <v>14227.17</v>
      </c>
      <c r="E826" s="5" t="n">
        <v>0</v>
      </c>
      <c r="F826" s="4" t="inlineStr">
        <is>
          <t>Cadastro sem aprovacao ou aprovado pelo proprio cadastrador</t>
        </is>
      </c>
    </row>
    <row r="827">
      <c r="A827" s="4" t="inlineStr">
        <is>
          <t>T07_MAKER_CHECKER</t>
        </is>
      </c>
      <c r="B827" s="4" t="inlineStr">
        <is>
          <t>IMB-0275556</t>
        </is>
      </c>
      <c r="C827" s="4" t="inlineStr">
        <is>
          <t>DESENVOLVIMENTO_CAMPOS</t>
        </is>
      </c>
      <c r="D827" s="5" t="n">
        <v>898.33</v>
      </c>
      <c r="E827" s="5" t="n">
        <v>0</v>
      </c>
      <c r="F827" s="4" t="inlineStr">
        <is>
          <t>Cadastro sem aprovacao ou aprovado pelo proprio cadastrador</t>
        </is>
      </c>
    </row>
    <row r="828">
      <c r="A828" s="4" t="inlineStr">
        <is>
          <t>T07_MAKER_CHECKER</t>
        </is>
      </c>
      <c r="B828" s="4" t="inlineStr">
        <is>
          <t>IMB-0276974</t>
        </is>
      </c>
      <c r="C828" s="4" t="inlineStr">
        <is>
          <t>ALMOXARIFADO_INVERSOES_FIXAS</t>
        </is>
      </c>
      <c r="D828" s="5" t="n">
        <v>206.01</v>
      </c>
      <c r="E828" s="5" t="n">
        <v>0</v>
      </c>
      <c r="F828" s="4" t="inlineStr">
        <is>
          <t>Cadastro sem aprovacao ou aprovado pelo proprio cadastrador</t>
        </is>
      </c>
    </row>
    <row r="829">
      <c r="A829" s="4" t="inlineStr">
        <is>
          <t>T07_MAKER_CHECKER</t>
        </is>
      </c>
      <c r="B829" s="4" t="inlineStr">
        <is>
          <t>IMB-0278734</t>
        </is>
      </c>
      <c r="C829" s="4" t="inlineStr">
        <is>
          <t>MAQUINAS_EQUIPAMENTOS</t>
        </is>
      </c>
      <c r="D829" s="5" t="n">
        <v>9763.43</v>
      </c>
      <c r="E829" s="5" t="n">
        <v>0</v>
      </c>
      <c r="F829" s="4" t="inlineStr">
        <is>
          <t>Cadastro sem aprovacao ou aprovado pelo proprio cadastrador</t>
        </is>
      </c>
    </row>
    <row r="830">
      <c r="A830" s="4" t="inlineStr">
        <is>
          <t>T07_MAKER_CHECKER</t>
        </is>
      </c>
      <c r="B830" s="4" t="inlineStr">
        <is>
          <t>IMB-0280097</t>
        </is>
      </c>
      <c r="C830" s="4" t="inlineStr">
        <is>
          <t>DESENVOLVIMENTO_CAMPOS</t>
        </is>
      </c>
      <c r="D830" s="5" t="n">
        <v>6293.69</v>
      </c>
      <c r="E830" s="5" t="n">
        <v>0</v>
      </c>
      <c r="F830" s="4" t="inlineStr">
        <is>
          <t>Cadastro sem aprovacao ou aprovado pelo proprio cadastrador</t>
        </is>
      </c>
    </row>
    <row r="831">
      <c r="A831" s="4" t="inlineStr">
        <is>
          <t>T07_MAKER_CHECKER</t>
        </is>
      </c>
      <c r="B831" s="4" t="inlineStr">
        <is>
          <t>IMB-0280653</t>
        </is>
      </c>
      <c r="C831" s="4" t="inlineStr">
        <is>
          <t>DESENVOLVIMENTO_CAMPOS</t>
        </is>
      </c>
      <c r="D831" s="5" t="n">
        <v>275.75</v>
      </c>
      <c r="E831" s="5" t="n">
        <v>0</v>
      </c>
      <c r="F831" s="4" t="inlineStr">
        <is>
          <t>Cadastro sem aprovacao ou aprovado pelo proprio cadastrador</t>
        </is>
      </c>
    </row>
    <row r="832">
      <c r="A832" s="4" t="inlineStr">
        <is>
          <t>T07_MAKER_CHECKER</t>
        </is>
      </c>
      <c r="B832" s="4" t="inlineStr">
        <is>
          <t>IMB-0280741</t>
        </is>
      </c>
      <c r="C832" s="4" t="inlineStr">
        <is>
          <t>DESENVOLVIMENTO_CAMPOS</t>
        </is>
      </c>
      <c r="D832" s="5" t="n">
        <v>3575.29</v>
      </c>
      <c r="E832" s="5" t="n">
        <v>0</v>
      </c>
      <c r="F832" s="4" t="inlineStr">
        <is>
          <t>Cadastro sem aprovacao ou aprovado pelo proprio cadastrador</t>
        </is>
      </c>
    </row>
    <row r="833">
      <c r="A833" s="4" t="inlineStr">
        <is>
          <t>T07_MAKER_CHECKER</t>
        </is>
      </c>
      <c r="B833" s="4" t="inlineStr">
        <is>
          <t>IMB-0281024</t>
        </is>
      </c>
      <c r="C833" s="4" t="inlineStr">
        <is>
          <t>DESENVOLVIMENTO_CAMPOS</t>
        </is>
      </c>
      <c r="D833" s="5" t="n">
        <v>2686.93</v>
      </c>
      <c r="E833" s="5" t="n">
        <v>0</v>
      </c>
      <c r="F833" s="4" t="inlineStr">
        <is>
          <t>Cadastro sem aprovacao ou aprovado pelo proprio cadastrador</t>
        </is>
      </c>
    </row>
    <row r="834">
      <c r="A834" s="4" t="inlineStr">
        <is>
          <t>T07_MAKER_CHECKER</t>
        </is>
      </c>
      <c r="B834" s="4" t="inlineStr">
        <is>
          <t>IMB-0281116</t>
        </is>
      </c>
      <c r="C834" s="4" t="inlineStr">
        <is>
          <t>DESENVOLVIMENTO_CAMPOS</t>
        </is>
      </c>
      <c r="D834" s="5" t="n">
        <v>5057.92</v>
      </c>
      <c r="E834" s="5" t="n">
        <v>0</v>
      </c>
      <c r="F834" s="4" t="inlineStr">
        <is>
          <t>Cadastro sem aprovacao ou aprovado pelo proprio cadastrador</t>
        </is>
      </c>
    </row>
    <row r="835">
      <c r="A835" s="4" t="inlineStr">
        <is>
          <t>T07_MAKER_CHECKER</t>
        </is>
      </c>
      <c r="B835" s="4" t="inlineStr">
        <is>
          <t>IMB-0281211</t>
        </is>
      </c>
      <c r="C835" s="4" t="inlineStr">
        <is>
          <t>ALMOXARIFADO_INVERSOES_FIXAS</t>
        </is>
      </c>
      <c r="D835" s="5" t="n">
        <v>9668.15</v>
      </c>
      <c r="E835" s="5" t="n">
        <v>0</v>
      </c>
      <c r="F835" s="4" t="inlineStr">
        <is>
          <t>Cadastro sem aprovacao ou aprovado pelo proprio cadastrador</t>
        </is>
      </c>
    </row>
    <row r="836">
      <c r="A836" s="4" t="inlineStr">
        <is>
          <t>T07_MAKER_CHECKER</t>
        </is>
      </c>
      <c r="B836" s="4" t="inlineStr">
        <is>
          <t>IMB-0281562</t>
        </is>
      </c>
      <c r="C836" s="4" t="inlineStr">
        <is>
          <t>DESENVOLVIMENTO_CAMPOS</t>
        </is>
      </c>
      <c r="D836" s="5" t="n">
        <v>3442.07</v>
      </c>
      <c r="E836" s="5" t="n">
        <v>0</v>
      </c>
      <c r="F836" s="4" t="inlineStr">
        <is>
          <t>Cadastro sem aprovacao ou aprovado pelo proprio cadastrador</t>
        </is>
      </c>
    </row>
    <row r="837">
      <c r="A837" s="4" t="inlineStr">
        <is>
          <t>T07_MAKER_CHECKER</t>
        </is>
      </c>
      <c r="B837" s="4" t="inlineStr">
        <is>
          <t>IMB-0281946</t>
        </is>
      </c>
      <c r="C837" s="4" t="inlineStr">
        <is>
          <t>DESENVOLVIMENTO_CAMPOS</t>
        </is>
      </c>
      <c r="D837" s="5" t="n">
        <v>696.71</v>
      </c>
      <c r="E837" s="5" t="n">
        <v>0</v>
      </c>
      <c r="F837" s="4" t="inlineStr">
        <is>
          <t>Cadastro sem aprovacao ou aprovado pelo proprio cadastrador</t>
        </is>
      </c>
    </row>
    <row r="838">
      <c r="A838" s="4" t="inlineStr">
        <is>
          <t>T07_MAKER_CHECKER</t>
        </is>
      </c>
      <c r="B838" s="4" t="inlineStr">
        <is>
          <t>IMB-0282775</t>
        </is>
      </c>
      <c r="C838" s="4" t="inlineStr">
        <is>
          <t>ALMOXARIFADO_INVERSOES_FIXAS</t>
        </is>
      </c>
      <c r="D838" s="5" t="n">
        <v>3486.37</v>
      </c>
      <c r="E838" s="5" t="n">
        <v>0</v>
      </c>
      <c r="F838" s="4" t="inlineStr">
        <is>
          <t>Cadastro sem aprovacao ou aprovado pelo proprio cadastrador</t>
        </is>
      </c>
    </row>
    <row r="839">
      <c r="A839" s="4" t="inlineStr">
        <is>
          <t>T07_MAKER_CHECKER</t>
        </is>
      </c>
      <c r="B839" s="4" t="inlineStr">
        <is>
          <t>IMB-0283264</t>
        </is>
      </c>
      <c r="C839" s="4" t="inlineStr">
        <is>
          <t>OUTROS</t>
        </is>
      </c>
      <c r="D839" s="5" t="n">
        <v>240.8</v>
      </c>
      <c r="E839" s="5" t="n">
        <v>0</v>
      </c>
      <c r="F839" s="4" t="inlineStr">
        <is>
          <t>Cadastro sem aprovacao ou aprovado pelo proprio cadastrador</t>
        </is>
      </c>
    </row>
    <row r="840">
      <c r="A840" s="4" t="inlineStr">
        <is>
          <t>T07_MAKER_CHECKER</t>
        </is>
      </c>
      <c r="B840" s="4" t="inlineStr">
        <is>
          <t>IMB-0283718</t>
        </is>
      </c>
      <c r="C840" s="4" t="inlineStr">
        <is>
          <t>DESENVOLVIMENTO_CAMPOS</t>
        </is>
      </c>
      <c r="D840" s="5" t="n">
        <v>1612.88</v>
      </c>
      <c r="E840" s="5" t="n">
        <v>0</v>
      </c>
      <c r="F840" s="4" t="inlineStr">
        <is>
          <t>Cadastro sem aprovacao ou aprovado pelo proprio cadastrador</t>
        </is>
      </c>
    </row>
    <row r="841">
      <c r="A841" s="4" t="inlineStr">
        <is>
          <t>T07_MAKER_CHECKER</t>
        </is>
      </c>
      <c r="B841" s="4" t="inlineStr">
        <is>
          <t>IMB-0284044</t>
        </is>
      </c>
      <c r="C841" s="4" t="inlineStr">
        <is>
          <t>OUTROS</t>
        </is>
      </c>
      <c r="D841" s="5" t="n">
        <v>320.13</v>
      </c>
      <c r="E841" s="5" t="n">
        <v>0</v>
      </c>
      <c r="F841" s="4" t="inlineStr">
        <is>
          <t>Cadastro sem aprovacao ou aprovado pelo proprio cadastrador</t>
        </is>
      </c>
    </row>
    <row r="842">
      <c r="A842" s="4" t="inlineStr">
        <is>
          <t>T07_MAKER_CHECKER</t>
        </is>
      </c>
      <c r="B842" s="4" t="inlineStr">
        <is>
          <t>IMB-0284733</t>
        </is>
      </c>
      <c r="C842" s="4" t="inlineStr">
        <is>
          <t>ALMOXARIFADO_INVERSOES_FIXAS</t>
        </is>
      </c>
      <c r="D842" s="5" t="n">
        <v>64596.65</v>
      </c>
      <c r="E842" s="5" t="n">
        <v>0</v>
      </c>
      <c r="F842" s="4" t="inlineStr">
        <is>
          <t>Cadastro sem aprovacao ou aprovado pelo proprio cadastrador</t>
        </is>
      </c>
    </row>
    <row r="843">
      <c r="A843" s="4" t="inlineStr">
        <is>
          <t>T07_MAKER_CHECKER</t>
        </is>
      </c>
      <c r="B843" s="4" t="inlineStr">
        <is>
          <t>IMB-0284773</t>
        </is>
      </c>
      <c r="C843" s="4" t="inlineStr">
        <is>
          <t>ALMOXARIFADO_INVERSOES_FIXAS</t>
        </is>
      </c>
      <c r="D843" s="5" t="n">
        <v>1232.15</v>
      </c>
      <c r="E843" s="5" t="n">
        <v>0</v>
      </c>
      <c r="F843" s="4" t="inlineStr">
        <is>
          <t>Cadastro sem aprovacao ou aprovado pelo proprio cadastrador</t>
        </is>
      </c>
    </row>
    <row r="844">
      <c r="A844" s="4" t="inlineStr">
        <is>
          <t>T07_MAKER_CHECKER</t>
        </is>
      </c>
      <c r="B844" s="4" t="inlineStr">
        <is>
          <t>IMB-0284878</t>
        </is>
      </c>
      <c r="C844" s="4" t="inlineStr">
        <is>
          <t>ALMOXARIFADO_INVERSOES_FIXAS</t>
        </is>
      </c>
      <c r="D844" s="5" t="n">
        <v>165.65</v>
      </c>
      <c r="E844" s="5" t="n">
        <v>0</v>
      </c>
      <c r="F844" s="4" t="inlineStr">
        <is>
          <t>Cadastro sem aprovacao ou aprovado pelo proprio cadastrador</t>
        </is>
      </c>
    </row>
    <row r="845">
      <c r="A845" s="4" t="inlineStr">
        <is>
          <t>T07_MAKER_CHECKER</t>
        </is>
      </c>
      <c r="B845" s="4" t="inlineStr">
        <is>
          <t>IMB-0285169</t>
        </is>
      </c>
      <c r="C845" s="4" t="inlineStr">
        <is>
          <t>DESENVOLVIMENTO_CAMPOS</t>
        </is>
      </c>
      <c r="D845" s="5" t="n">
        <v>1558</v>
      </c>
      <c r="E845" s="5" t="n">
        <v>0</v>
      </c>
      <c r="F845" s="4" t="inlineStr">
        <is>
          <t>Cadastro sem aprovacao ou aprovado pelo proprio cadastrador</t>
        </is>
      </c>
    </row>
    <row r="846">
      <c r="A846" s="4" t="inlineStr">
        <is>
          <t>T07_MAKER_CHECKER</t>
        </is>
      </c>
      <c r="B846" s="4" t="inlineStr">
        <is>
          <t>IMB-0287108</t>
        </is>
      </c>
      <c r="C846" s="4" t="inlineStr">
        <is>
          <t>OUTROS</t>
        </is>
      </c>
      <c r="D846" s="5" t="n">
        <v>443.32</v>
      </c>
      <c r="E846" s="5" t="n">
        <v>0</v>
      </c>
      <c r="F846" s="4" t="inlineStr">
        <is>
          <t>Cadastro sem aprovacao ou aprovado pelo proprio cadastrador</t>
        </is>
      </c>
    </row>
    <row r="847">
      <c r="A847" s="4" t="inlineStr">
        <is>
          <t>T07_MAKER_CHECKER</t>
        </is>
      </c>
      <c r="B847" s="4" t="inlineStr">
        <is>
          <t>IMB-0287568</t>
        </is>
      </c>
      <c r="C847" s="4" t="inlineStr">
        <is>
          <t>DESENVOLVIMENTO_CAMPOS</t>
        </is>
      </c>
      <c r="D847" s="5" t="n">
        <v>1311.88</v>
      </c>
      <c r="E847" s="5" t="n">
        <v>0</v>
      </c>
      <c r="F847" s="4" t="inlineStr">
        <is>
          <t>Cadastro sem aprovacao ou aprovado pelo proprio cadastrador</t>
        </is>
      </c>
    </row>
    <row r="848">
      <c r="A848" s="4" t="inlineStr">
        <is>
          <t>T07_MAKER_CHECKER</t>
        </is>
      </c>
      <c r="B848" s="4" t="inlineStr">
        <is>
          <t>IMB-0287763</t>
        </is>
      </c>
      <c r="C848" s="4" t="inlineStr">
        <is>
          <t>DESENVOLVIMENTO_CAMPOS</t>
        </is>
      </c>
      <c r="D848" s="5" t="n">
        <v>1074.5</v>
      </c>
      <c r="E848" s="5" t="n">
        <v>0</v>
      </c>
      <c r="F848" s="4" t="inlineStr">
        <is>
          <t>Cadastro sem aprovacao ou aprovado pelo proprio cadastrador</t>
        </is>
      </c>
    </row>
    <row r="849">
      <c r="A849" s="4" t="inlineStr">
        <is>
          <t>T07_MAKER_CHECKER</t>
        </is>
      </c>
      <c r="B849" s="4" t="inlineStr">
        <is>
          <t>IMB-0287869</t>
        </is>
      </c>
      <c r="C849" s="4" t="inlineStr">
        <is>
          <t>ALMOXARIFADO_INVERSOES_FIXAS</t>
        </is>
      </c>
      <c r="D849" s="5" t="n">
        <v>2656.54</v>
      </c>
      <c r="E849" s="5" t="n">
        <v>0</v>
      </c>
      <c r="F849" s="4" t="inlineStr">
        <is>
          <t>Cadastro sem aprovacao ou aprovado pelo proprio cadastrador</t>
        </is>
      </c>
    </row>
    <row r="850">
      <c r="A850" s="4" t="inlineStr">
        <is>
          <t>T07_MAKER_CHECKER</t>
        </is>
      </c>
      <c r="B850" s="4" t="inlineStr">
        <is>
          <t>IMB-0288222</t>
        </is>
      </c>
      <c r="C850" s="4" t="inlineStr">
        <is>
          <t>ALMOXARIFADO_INVERSOES_FIXAS</t>
        </is>
      </c>
      <c r="D850" s="5" t="n">
        <v>1562.55</v>
      </c>
      <c r="E850" s="5" t="n">
        <v>0</v>
      </c>
      <c r="F850" s="4" t="inlineStr">
        <is>
          <t>Cadastro sem aprovacao ou aprovado pelo proprio cadastrador</t>
        </is>
      </c>
    </row>
    <row r="851">
      <c r="A851" s="4" t="inlineStr">
        <is>
          <t>T07_MAKER_CHECKER</t>
        </is>
      </c>
      <c r="B851" s="4" t="inlineStr">
        <is>
          <t>IMB-0288336</t>
        </is>
      </c>
      <c r="C851" s="4" t="inlineStr">
        <is>
          <t>OUTROS</t>
        </is>
      </c>
      <c r="D851" s="5" t="n">
        <v>61.05</v>
      </c>
      <c r="E851" s="5" t="n">
        <v>0</v>
      </c>
      <c r="F851" s="4" t="inlineStr">
        <is>
          <t>Cadastro sem aprovacao ou aprovado pelo proprio cadastrador</t>
        </is>
      </c>
    </row>
    <row r="852">
      <c r="A852" s="4" t="inlineStr">
        <is>
          <t>T07_MAKER_CHECKER</t>
        </is>
      </c>
      <c r="B852" s="4" t="inlineStr">
        <is>
          <t>IMB-0288461</t>
        </is>
      </c>
      <c r="C852" s="4" t="inlineStr">
        <is>
          <t>OUTROS</t>
        </is>
      </c>
      <c r="D852" s="5" t="n">
        <v>1931.36</v>
      </c>
      <c r="E852" s="5" t="n">
        <v>0</v>
      </c>
      <c r="F852" s="4" t="inlineStr">
        <is>
          <t>Cadastro sem aprovacao ou aprovado pelo proprio cadastrador</t>
        </is>
      </c>
    </row>
    <row r="853">
      <c r="A853" s="4" t="inlineStr">
        <is>
          <t>T07_MAKER_CHECKER</t>
        </is>
      </c>
      <c r="B853" s="4" t="inlineStr">
        <is>
          <t>IMB-0289140</t>
        </is>
      </c>
      <c r="C853" s="4" t="inlineStr">
        <is>
          <t>DESENVOLVIMENTO_CAMPOS</t>
        </is>
      </c>
      <c r="D853" s="5" t="n">
        <v>14690.03</v>
      </c>
      <c r="E853" s="5" t="n">
        <v>0</v>
      </c>
      <c r="F853" s="4" t="inlineStr">
        <is>
          <t>Cadastro sem aprovacao ou aprovado pelo proprio cadastrador</t>
        </is>
      </c>
    </row>
    <row r="854">
      <c r="A854" s="4" t="inlineStr">
        <is>
          <t>T07_MAKER_CHECKER</t>
        </is>
      </c>
      <c r="B854" s="4" t="inlineStr">
        <is>
          <t>IMB-0289613</t>
        </is>
      </c>
      <c r="C854" s="4" t="inlineStr">
        <is>
          <t>ALMOXARIFADO_INVERSOES_FIXAS</t>
        </is>
      </c>
      <c r="D854" s="5" t="n">
        <v>468.52</v>
      </c>
      <c r="E854" s="5" t="n">
        <v>0</v>
      </c>
      <c r="F854" s="4" t="inlineStr">
        <is>
          <t>Cadastro sem aprovacao ou aprovado pelo proprio cadastrador</t>
        </is>
      </c>
    </row>
    <row r="855">
      <c r="A855" s="4" t="inlineStr">
        <is>
          <t>T07_MAKER_CHECKER</t>
        </is>
      </c>
      <c r="B855" s="4" t="inlineStr">
        <is>
          <t>IMB-0290623</t>
        </is>
      </c>
      <c r="C855" s="4" t="inlineStr">
        <is>
          <t>ALMOXARIFADO_INVERSOES_FIXAS</t>
        </is>
      </c>
      <c r="D855" s="5" t="n">
        <v>2962.71</v>
      </c>
      <c r="E855" s="5" t="n">
        <v>0</v>
      </c>
      <c r="F855" s="4" t="inlineStr">
        <is>
          <t>Cadastro sem aprovacao ou aprovado pelo proprio cadastrador</t>
        </is>
      </c>
    </row>
    <row r="856">
      <c r="A856" s="4" t="inlineStr">
        <is>
          <t>T07_MAKER_CHECKER</t>
        </is>
      </c>
      <c r="B856" s="4" t="inlineStr">
        <is>
          <t>IMB-0290654</t>
        </is>
      </c>
      <c r="C856" s="4" t="inlineStr">
        <is>
          <t>DESENVOLVIMENTO_CAMPOS</t>
        </is>
      </c>
      <c r="D856" s="5" t="n">
        <v>1318.19</v>
      </c>
      <c r="E856" s="5" t="n">
        <v>0</v>
      </c>
      <c r="F856" s="4" t="inlineStr">
        <is>
          <t>Cadastro sem aprovacao ou aprovado pelo proprio cadastrador</t>
        </is>
      </c>
    </row>
    <row r="857">
      <c r="A857" s="4" t="inlineStr">
        <is>
          <t>T07_MAKER_CHECKER</t>
        </is>
      </c>
      <c r="B857" s="4" t="inlineStr">
        <is>
          <t>IMB-0292373</t>
        </is>
      </c>
      <c r="C857" s="4" t="inlineStr">
        <is>
          <t>ALMOXARIFADO_INVERSOES_FIXAS</t>
        </is>
      </c>
      <c r="D857" s="5" t="n">
        <v>132.43</v>
      </c>
      <c r="E857" s="5" t="n">
        <v>0</v>
      </c>
      <c r="F857" s="4" t="inlineStr">
        <is>
          <t>Cadastro sem aprovacao ou aprovado pelo proprio cadastrador</t>
        </is>
      </c>
    </row>
    <row r="858">
      <c r="A858" s="4" t="inlineStr">
        <is>
          <t>T07_MAKER_CHECKER</t>
        </is>
      </c>
      <c r="B858" s="4" t="inlineStr">
        <is>
          <t>IMB-0293761</t>
        </is>
      </c>
      <c r="C858" s="4" t="inlineStr">
        <is>
          <t>DESENVOLVIMENTO_CAMPOS</t>
        </is>
      </c>
      <c r="D858" s="5" t="n">
        <v>2132.29</v>
      </c>
      <c r="E858" s="5" t="n">
        <v>0</v>
      </c>
      <c r="F858" s="4" t="inlineStr">
        <is>
          <t>Cadastro sem aprovacao ou aprovado pelo proprio cadastrador</t>
        </is>
      </c>
    </row>
    <row r="859">
      <c r="A859" s="4" t="inlineStr">
        <is>
          <t>T07_MAKER_CHECKER</t>
        </is>
      </c>
      <c r="B859" s="4" t="inlineStr">
        <is>
          <t>IMB-0294092</t>
        </is>
      </c>
      <c r="C859" s="4" t="inlineStr">
        <is>
          <t>MAQUINAS_EQUIPAMENTOS</t>
        </is>
      </c>
      <c r="D859" s="5" t="n">
        <v>13819.33</v>
      </c>
      <c r="E859" s="5" t="n">
        <v>0</v>
      </c>
      <c r="F859" s="4" t="inlineStr">
        <is>
          <t>Cadastro sem aprovacao ou aprovado pelo proprio cadastrador</t>
        </is>
      </c>
    </row>
    <row r="860">
      <c r="A860" s="4" t="inlineStr">
        <is>
          <t>T07_MAKER_CHECKER</t>
        </is>
      </c>
      <c r="B860" s="4" t="inlineStr">
        <is>
          <t>IMB-0295336</t>
        </is>
      </c>
      <c r="C860" s="4" t="inlineStr">
        <is>
          <t>ALMOXARIFADO_INVERSOES_FIXAS</t>
        </is>
      </c>
      <c r="D860" s="5" t="n">
        <v>768.29</v>
      </c>
      <c r="E860" s="5" t="n">
        <v>0</v>
      </c>
      <c r="F860" s="4" t="inlineStr">
        <is>
          <t>Cadastro sem aprovacao ou aprovado pelo proprio cadastrador</t>
        </is>
      </c>
    </row>
    <row r="861">
      <c r="A861" s="4" t="inlineStr">
        <is>
          <t>T07_MAKER_CHECKER</t>
        </is>
      </c>
      <c r="B861" s="4" t="inlineStr">
        <is>
          <t>IMB-0295912</t>
        </is>
      </c>
      <c r="C861" s="4" t="inlineStr">
        <is>
          <t>OUTROS</t>
        </is>
      </c>
      <c r="D861" s="5" t="n">
        <v>988.42</v>
      </c>
      <c r="E861" s="5" t="n">
        <v>0</v>
      </c>
      <c r="F861" s="4" t="inlineStr">
        <is>
          <t>Cadastro sem aprovacao ou aprovado pelo proprio cadastrador</t>
        </is>
      </c>
    </row>
    <row r="862">
      <c r="A862" s="4" t="inlineStr">
        <is>
          <t>T07_MAKER_CHECKER</t>
        </is>
      </c>
      <c r="B862" s="4" t="inlineStr">
        <is>
          <t>IMB-0296134</t>
        </is>
      </c>
      <c r="C862" s="4" t="inlineStr">
        <is>
          <t>ALMOXARIFADO_INVERSOES_FIXAS</t>
        </is>
      </c>
      <c r="D862" s="5" t="n">
        <v>1757.46</v>
      </c>
      <c r="E862" s="5" t="n">
        <v>0</v>
      </c>
      <c r="F862" s="4" t="inlineStr">
        <is>
          <t>Cadastro sem aprovacao ou aprovado pelo proprio cadastrador</t>
        </is>
      </c>
    </row>
    <row r="863">
      <c r="A863" s="4" t="inlineStr">
        <is>
          <t>T07_MAKER_CHECKER</t>
        </is>
      </c>
      <c r="B863" s="4" t="inlineStr">
        <is>
          <t>IMB-0296819</t>
        </is>
      </c>
      <c r="C863" s="4" t="inlineStr">
        <is>
          <t>ALMOXARIFADO_INVERSOES_FIXAS</t>
        </is>
      </c>
      <c r="D863" s="5" t="n">
        <v>6140.58</v>
      </c>
      <c r="E863" s="5" t="n">
        <v>0</v>
      </c>
      <c r="F863" s="4" t="inlineStr">
        <is>
          <t>Cadastro sem aprovacao ou aprovado pelo proprio cadastrador</t>
        </is>
      </c>
    </row>
    <row r="864">
      <c r="A864" s="4" t="inlineStr">
        <is>
          <t>T07_MAKER_CHECKER</t>
        </is>
      </c>
      <c r="B864" s="4" t="inlineStr">
        <is>
          <t>IMB-0297563</t>
        </is>
      </c>
      <c r="C864" s="4" t="inlineStr">
        <is>
          <t>ALMOXARIFADO_INVERSOES_FIXAS</t>
        </is>
      </c>
      <c r="D864" s="5" t="n">
        <v>1210.88</v>
      </c>
      <c r="E864" s="5" t="n">
        <v>0</v>
      </c>
      <c r="F864" s="4" t="inlineStr">
        <is>
          <t>Cadastro sem aprovacao ou aprovado pelo proprio cadastrador</t>
        </is>
      </c>
    </row>
    <row r="865">
      <c r="A865" s="4" t="inlineStr">
        <is>
          <t>T07_MAKER_CHECKER</t>
        </is>
      </c>
      <c r="B865" s="4" t="inlineStr">
        <is>
          <t>IMB-0301451</t>
        </is>
      </c>
      <c r="C865" s="4" t="inlineStr">
        <is>
          <t>MAQUINAS_EQUIPAMENTOS</t>
        </is>
      </c>
      <c r="D865" s="5" t="n">
        <v>21643.62</v>
      </c>
      <c r="E865" s="5" t="n">
        <v>0</v>
      </c>
      <c r="F865" s="4" t="inlineStr">
        <is>
          <t>Cadastro sem aprovacao ou aprovado pelo proprio cadastrador</t>
        </is>
      </c>
    </row>
    <row r="866">
      <c r="A866" s="4" t="inlineStr">
        <is>
          <t>T07_MAKER_CHECKER</t>
        </is>
      </c>
      <c r="B866" s="4" t="inlineStr">
        <is>
          <t>IMB-0301558</t>
        </is>
      </c>
      <c r="C866" s="4" t="inlineStr">
        <is>
          <t>DESENVOLVIMENTO_CAMPOS</t>
        </is>
      </c>
      <c r="D866" s="5" t="n">
        <v>706.67</v>
      </c>
      <c r="E866" s="5" t="n">
        <v>0</v>
      </c>
      <c r="F866" s="4" t="inlineStr">
        <is>
          <t>Cadastro sem aprovacao ou aprovado pelo proprio cadastrador</t>
        </is>
      </c>
    </row>
    <row r="867">
      <c r="A867" s="4" t="inlineStr">
        <is>
          <t>T07_MAKER_CHECKER</t>
        </is>
      </c>
      <c r="B867" s="4" t="inlineStr">
        <is>
          <t>IMB-0301632</t>
        </is>
      </c>
      <c r="C867" s="4" t="inlineStr">
        <is>
          <t>ALMOXARIFADO_INVERSOES_FIXAS</t>
        </is>
      </c>
      <c r="D867" s="5" t="n">
        <v>309.89</v>
      </c>
      <c r="E867" s="5" t="n">
        <v>0</v>
      </c>
      <c r="F867" s="4" t="inlineStr">
        <is>
          <t>Cadastro sem aprovacao ou aprovado pelo proprio cadastrador</t>
        </is>
      </c>
    </row>
    <row r="868">
      <c r="A868" s="4" t="inlineStr">
        <is>
          <t>T07_MAKER_CHECKER</t>
        </is>
      </c>
      <c r="B868" s="4" t="inlineStr">
        <is>
          <t>IMB-0302438</t>
        </is>
      </c>
      <c r="C868" s="4" t="inlineStr">
        <is>
          <t>DESENVOLVIMENTO_CAMPOS</t>
        </is>
      </c>
      <c r="D868" s="5" t="n">
        <v>4580.34</v>
      </c>
      <c r="E868" s="5" t="n">
        <v>0</v>
      </c>
      <c r="F868" s="4" t="inlineStr">
        <is>
          <t>Cadastro sem aprovacao ou aprovado pelo proprio cadastrador</t>
        </is>
      </c>
    </row>
    <row r="869">
      <c r="A869" s="4" t="inlineStr">
        <is>
          <t>T07_MAKER_CHECKER</t>
        </is>
      </c>
      <c r="B869" s="4" t="inlineStr">
        <is>
          <t>IMB-0302516</t>
        </is>
      </c>
      <c r="C869" s="4" t="inlineStr">
        <is>
          <t>OUTROS</t>
        </is>
      </c>
      <c r="D869" s="5" t="n">
        <v>0</v>
      </c>
      <c r="E869" s="5" t="n">
        <v>0</v>
      </c>
      <c r="F869" s="4" t="inlineStr">
        <is>
          <t>Cadastro sem aprovacao ou aprovado pelo proprio cadastrador</t>
        </is>
      </c>
    </row>
    <row r="870">
      <c r="A870" s="4" t="inlineStr">
        <is>
          <t>T07_MAKER_CHECKER</t>
        </is>
      </c>
      <c r="B870" s="4" t="inlineStr">
        <is>
          <t>IMB-0302597</t>
        </is>
      </c>
      <c r="C870" s="4" t="inlineStr">
        <is>
          <t>OUTROS</t>
        </is>
      </c>
      <c r="D870" s="5" t="n">
        <v>168.48</v>
      </c>
      <c r="E870" s="5" t="n">
        <v>0</v>
      </c>
      <c r="F870" s="4" t="inlineStr">
        <is>
          <t>Cadastro sem aprovacao ou aprovado pelo proprio cadastrador</t>
        </is>
      </c>
    </row>
    <row r="871">
      <c r="A871" s="4" t="inlineStr">
        <is>
          <t>T07_MAKER_CHECKER</t>
        </is>
      </c>
      <c r="B871" s="4" t="inlineStr">
        <is>
          <t>IMB-0303449</t>
        </is>
      </c>
      <c r="C871" s="4" t="inlineStr">
        <is>
          <t>DIREITO_PRODUCAO_OLEO_GAS</t>
        </is>
      </c>
      <c r="D871" s="5" t="n">
        <v>75092.88</v>
      </c>
      <c r="E871" s="5" t="n">
        <v>0</v>
      </c>
      <c r="F871" s="4" t="inlineStr">
        <is>
          <t>Cadastro sem aprovacao ou aprovado pelo proprio cadastrador</t>
        </is>
      </c>
    </row>
    <row r="872">
      <c r="A872" s="4" t="inlineStr">
        <is>
          <t>T07_MAKER_CHECKER</t>
        </is>
      </c>
      <c r="B872" s="4" t="inlineStr">
        <is>
          <t>IMB-0304386</t>
        </is>
      </c>
      <c r="C872" s="4" t="inlineStr">
        <is>
          <t>DESENVOLVIMENTO_CAMPOS</t>
        </is>
      </c>
      <c r="D872" s="5" t="n">
        <v>662.08</v>
      </c>
      <c r="E872" s="5" t="n">
        <v>0</v>
      </c>
      <c r="F872" s="4" t="inlineStr">
        <is>
          <t>Cadastro sem aprovacao ou aprovado pelo proprio cadastrador</t>
        </is>
      </c>
    </row>
    <row r="873">
      <c r="A873" s="4" t="inlineStr">
        <is>
          <t>T07_MAKER_CHECKER</t>
        </is>
      </c>
      <c r="B873" s="4" t="inlineStr">
        <is>
          <t>IMB-0305314</t>
        </is>
      </c>
      <c r="C873" s="4" t="inlineStr">
        <is>
          <t>ALMOXARIFADO_INVERSOES_FIXAS</t>
        </is>
      </c>
      <c r="D873" s="5" t="n">
        <v>2384.7</v>
      </c>
      <c r="E873" s="5" t="n">
        <v>0</v>
      </c>
      <c r="F873" s="4" t="inlineStr">
        <is>
          <t>Cadastro sem aprovacao ou aprovado pelo proprio cadastrador</t>
        </is>
      </c>
    </row>
    <row r="874">
      <c r="A874" s="4" t="inlineStr">
        <is>
          <t>T07_MAKER_CHECKER</t>
        </is>
      </c>
      <c r="B874" s="4" t="inlineStr">
        <is>
          <t>IMB-0306261</t>
        </is>
      </c>
      <c r="C874" s="4" t="inlineStr">
        <is>
          <t>ALMOXARIFADO_INVERSOES_FIXAS</t>
        </is>
      </c>
      <c r="D874" s="5" t="n">
        <v>84.73999999999999</v>
      </c>
      <c r="E874" s="5" t="n">
        <v>0</v>
      </c>
      <c r="F874" s="4" t="inlineStr">
        <is>
          <t>Cadastro sem aprovacao ou aprovado pelo proprio cadastrador</t>
        </is>
      </c>
    </row>
    <row r="875">
      <c r="A875" s="4" t="inlineStr">
        <is>
          <t>T07_MAKER_CHECKER</t>
        </is>
      </c>
      <c r="B875" s="4" t="inlineStr">
        <is>
          <t>IMB-0307251</t>
        </is>
      </c>
      <c r="C875" s="4" t="inlineStr">
        <is>
          <t>ALMOXARIFADO_INVERSOES_FIXAS</t>
        </is>
      </c>
      <c r="D875" s="5" t="n">
        <v>3540.83</v>
      </c>
      <c r="E875" s="5" t="n">
        <v>0</v>
      </c>
      <c r="F875" s="4" t="inlineStr">
        <is>
          <t>Cadastro sem aprovacao ou aprovado pelo proprio cadastrador</t>
        </is>
      </c>
    </row>
    <row r="876">
      <c r="A876" s="4" t="inlineStr">
        <is>
          <t>T07_MAKER_CHECKER</t>
        </is>
      </c>
      <c r="B876" s="4" t="inlineStr">
        <is>
          <t>IMB-0307479</t>
        </is>
      </c>
      <c r="C876" s="4" t="inlineStr">
        <is>
          <t>DESENVOLVIMENTO_CAMPOS</t>
        </is>
      </c>
      <c r="D876" s="5" t="n">
        <v>372.15</v>
      </c>
      <c r="E876" s="5" t="n">
        <v>0</v>
      </c>
      <c r="F876" s="4" t="inlineStr">
        <is>
          <t>Cadastro sem aprovacao ou aprovado pelo proprio cadastrador</t>
        </is>
      </c>
    </row>
    <row r="877">
      <c r="A877" s="4" t="inlineStr">
        <is>
          <t>T07_MAKER_CHECKER</t>
        </is>
      </c>
      <c r="B877" s="4" t="inlineStr">
        <is>
          <t>IMB-0308677</t>
        </is>
      </c>
      <c r="C877" s="4" t="inlineStr">
        <is>
          <t>DESENVOLVIMENTO_CAMPOS</t>
        </is>
      </c>
      <c r="D877" s="5" t="n">
        <v>2280.04</v>
      </c>
      <c r="E877" s="5" t="n">
        <v>0</v>
      </c>
      <c r="F877" s="4" t="inlineStr">
        <is>
          <t>Cadastro sem aprovacao ou aprovado pelo proprio cadastrador</t>
        </is>
      </c>
    </row>
    <row r="878">
      <c r="A878" s="4" t="inlineStr">
        <is>
          <t>T07_MAKER_CHECKER</t>
        </is>
      </c>
      <c r="B878" s="4" t="inlineStr">
        <is>
          <t>IMB-0309892</t>
        </is>
      </c>
      <c r="C878" s="4" t="inlineStr">
        <is>
          <t>DESENVOLVIMENTO_CAMPOS</t>
        </is>
      </c>
      <c r="D878" s="5" t="n">
        <v>412465.87</v>
      </c>
      <c r="E878" s="5" t="n">
        <v>0</v>
      </c>
      <c r="F878" s="4" t="inlineStr">
        <is>
          <t>Cadastro sem aprovacao ou aprovado pelo proprio cadastrador</t>
        </is>
      </c>
    </row>
    <row r="879">
      <c r="A879" s="4" t="inlineStr">
        <is>
          <t>T07_MAKER_CHECKER</t>
        </is>
      </c>
      <c r="B879" s="4" t="inlineStr">
        <is>
          <t>IMB-0311112</t>
        </is>
      </c>
      <c r="C879" s="4" t="inlineStr">
        <is>
          <t>MAQUINAS_EQUIPAMENTOS</t>
        </is>
      </c>
      <c r="D879" s="5" t="n">
        <v>474.75</v>
      </c>
      <c r="E879" s="5" t="n">
        <v>0</v>
      </c>
      <c r="F879" s="4" t="inlineStr">
        <is>
          <t>Cadastro sem aprovacao ou aprovado pelo proprio cadastrador</t>
        </is>
      </c>
    </row>
    <row r="880">
      <c r="A880" s="4" t="inlineStr">
        <is>
          <t>T07_MAKER_CHECKER</t>
        </is>
      </c>
      <c r="B880" s="4" t="inlineStr">
        <is>
          <t>IMB-0312033</t>
        </is>
      </c>
      <c r="C880" s="4" t="inlineStr">
        <is>
          <t>OUTROS</t>
        </is>
      </c>
      <c r="D880" s="5" t="n">
        <v>334.11</v>
      </c>
      <c r="E880" s="5" t="n">
        <v>0</v>
      </c>
      <c r="F880" s="4" t="inlineStr">
        <is>
          <t>Cadastro sem aprovacao ou aprovado pelo proprio cadastrador</t>
        </is>
      </c>
    </row>
    <row r="881">
      <c r="A881" s="4" t="inlineStr">
        <is>
          <t>T07_MAKER_CHECKER</t>
        </is>
      </c>
      <c r="B881" s="4" t="inlineStr">
        <is>
          <t>IMB-0313486</t>
        </is>
      </c>
      <c r="C881" s="4" t="inlineStr">
        <is>
          <t>DESENVOLVIMENTO_CAMPOS</t>
        </is>
      </c>
      <c r="D881" s="5" t="n">
        <v>7.25</v>
      </c>
      <c r="E881" s="5" t="n">
        <v>0</v>
      </c>
      <c r="F881" s="4" t="inlineStr">
        <is>
          <t>Cadastro sem aprovacao ou aprovado pelo proprio cadastrador</t>
        </is>
      </c>
    </row>
    <row r="882">
      <c r="A882" s="4" t="inlineStr">
        <is>
          <t>T07_MAKER_CHECKER</t>
        </is>
      </c>
      <c r="B882" s="4" t="inlineStr">
        <is>
          <t>IMB-0314193</t>
        </is>
      </c>
      <c r="C882" s="4" t="inlineStr">
        <is>
          <t>ALMOXARIFADO_INVERSOES_FIXAS</t>
        </is>
      </c>
      <c r="D882" s="5" t="n">
        <v>3971.73</v>
      </c>
      <c r="E882" s="5" t="n">
        <v>0</v>
      </c>
      <c r="F882" s="4" t="inlineStr">
        <is>
          <t>Cadastro sem aprovacao ou aprovado pelo proprio cadastrador</t>
        </is>
      </c>
    </row>
    <row r="883">
      <c r="A883" s="4" t="inlineStr">
        <is>
          <t>T07_MAKER_CHECKER</t>
        </is>
      </c>
      <c r="B883" s="4" t="inlineStr">
        <is>
          <t>IMB-0315685</t>
        </is>
      </c>
      <c r="C883" s="4" t="inlineStr">
        <is>
          <t>ALMOXARIFADO_INVERSOES_FIXAS</t>
        </is>
      </c>
      <c r="D883" s="5" t="n">
        <v>2581.47</v>
      </c>
      <c r="E883" s="5" t="n">
        <v>0</v>
      </c>
      <c r="F883" s="4" t="inlineStr">
        <is>
          <t>Cadastro sem aprovacao ou aprovado pelo proprio cadastrador</t>
        </is>
      </c>
    </row>
    <row r="884">
      <c r="A884" s="4" t="inlineStr">
        <is>
          <t>T07_MAKER_CHECKER</t>
        </is>
      </c>
      <c r="B884" s="4" t="inlineStr">
        <is>
          <t>IMB-0316529</t>
        </is>
      </c>
      <c r="C884" s="4" t="inlineStr">
        <is>
          <t>ALMOXARIFADO_INVERSOES_FIXAS</t>
        </is>
      </c>
      <c r="D884" s="5" t="n">
        <v>1925.04</v>
      </c>
      <c r="E884" s="5" t="n">
        <v>0</v>
      </c>
      <c r="F884" s="4" t="inlineStr">
        <is>
          <t>Cadastro sem aprovacao ou aprovado pelo proprio cadastrador</t>
        </is>
      </c>
    </row>
    <row r="885">
      <c r="A885" s="4" t="inlineStr">
        <is>
          <t>T07_MAKER_CHECKER</t>
        </is>
      </c>
      <c r="B885" s="4" t="inlineStr">
        <is>
          <t>IMB-0316993</t>
        </is>
      </c>
      <c r="C885" s="4" t="inlineStr">
        <is>
          <t>OUTROS</t>
        </is>
      </c>
      <c r="D885" s="5" t="n">
        <v>337.64</v>
      </c>
      <c r="E885" s="5" t="n">
        <v>0</v>
      </c>
      <c r="F885" s="4" t="inlineStr">
        <is>
          <t>Cadastro sem aprovacao ou aprovado pelo proprio cadastrador</t>
        </is>
      </c>
    </row>
    <row r="886">
      <c r="A886" s="4" t="inlineStr">
        <is>
          <t>T07_MAKER_CHECKER</t>
        </is>
      </c>
      <c r="B886" s="4" t="inlineStr">
        <is>
          <t>IMB-0317661</t>
        </is>
      </c>
      <c r="C886" s="4" t="inlineStr">
        <is>
          <t>ALMOXARIFADO_INVERSOES_FIXAS</t>
        </is>
      </c>
      <c r="D886" s="5" t="n">
        <v>948.59</v>
      </c>
      <c r="E886" s="5" t="n">
        <v>0</v>
      </c>
      <c r="F886" s="4" t="inlineStr">
        <is>
          <t>Cadastro sem aprovacao ou aprovado pelo proprio cadastrador</t>
        </is>
      </c>
    </row>
    <row r="887">
      <c r="A887" s="4" t="inlineStr">
        <is>
          <t>T07_MAKER_CHECKER</t>
        </is>
      </c>
      <c r="B887" s="4" t="inlineStr">
        <is>
          <t>IMB-0321041</t>
        </is>
      </c>
      <c r="C887" s="4" t="inlineStr">
        <is>
          <t>DESENVOLVIMENTO_CAMPOS</t>
        </is>
      </c>
      <c r="D887" s="5" t="n">
        <v>3612.04</v>
      </c>
      <c r="E887" s="5" t="n">
        <v>0</v>
      </c>
      <c r="F887" s="4" t="inlineStr">
        <is>
          <t>Cadastro sem aprovacao ou aprovado pelo proprio cadastrador</t>
        </is>
      </c>
    </row>
    <row r="888">
      <c r="A888" s="4" t="inlineStr">
        <is>
          <t>T07_MAKER_CHECKER</t>
        </is>
      </c>
      <c r="B888" s="4" t="inlineStr">
        <is>
          <t>IMB-0322544</t>
        </is>
      </c>
      <c r="C888" s="4" t="inlineStr">
        <is>
          <t>DESENVOLVIMENTO_CAMPOS</t>
        </is>
      </c>
      <c r="D888" s="5" t="n">
        <v>257.28</v>
      </c>
      <c r="E888" s="5" t="n">
        <v>0</v>
      </c>
      <c r="F888" s="4" t="inlineStr">
        <is>
          <t>Cadastro sem aprovacao ou aprovado pelo proprio cadastrador</t>
        </is>
      </c>
    </row>
    <row r="889">
      <c r="A889" s="4" t="inlineStr">
        <is>
          <t>T07_MAKER_CHECKER</t>
        </is>
      </c>
      <c r="B889" s="4" t="inlineStr">
        <is>
          <t>IMB-0323166</t>
        </is>
      </c>
      <c r="C889" s="4" t="inlineStr">
        <is>
          <t>MAQUINAS_EQUIPAMENTOS</t>
        </is>
      </c>
      <c r="D889" s="5" t="n">
        <v>53717.63</v>
      </c>
      <c r="E889" s="5" t="n">
        <v>0</v>
      </c>
      <c r="F889" s="4" t="inlineStr">
        <is>
          <t>Cadastro sem aprovacao ou aprovado pelo proprio cadastrador</t>
        </is>
      </c>
    </row>
    <row r="890">
      <c r="A890" s="4" t="inlineStr">
        <is>
          <t>T07_MAKER_CHECKER</t>
        </is>
      </c>
      <c r="B890" s="4" t="inlineStr">
        <is>
          <t>IMB-0324785</t>
        </is>
      </c>
      <c r="C890" s="4" t="inlineStr">
        <is>
          <t>OUTROS</t>
        </is>
      </c>
      <c r="D890" s="5" t="n">
        <v>0</v>
      </c>
      <c r="E890" s="5" t="n">
        <v>0</v>
      </c>
      <c r="F890" s="4" t="inlineStr">
        <is>
          <t>Cadastro sem aprovacao ou aprovado pelo proprio cadastrador</t>
        </is>
      </c>
    </row>
    <row r="891">
      <c r="A891" s="4" t="inlineStr">
        <is>
          <t>T07_MAKER_CHECKER</t>
        </is>
      </c>
      <c r="B891" s="4" t="inlineStr">
        <is>
          <t>IMB-0324864</t>
        </is>
      </c>
      <c r="C891" s="4" t="inlineStr">
        <is>
          <t>ALMOXARIFADO_INVERSOES_FIXAS</t>
        </is>
      </c>
      <c r="D891" s="5" t="n">
        <v>442.16</v>
      </c>
      <c r="E891" s="5" t="n">
        <v>0</v>
      </c>
      <c r="F891" s="4" t="inlineStr">
        <is>
          <t>Cadastro sem aprovacao ou aprovado pelo proprio cadastrador</t>
        </is>
      </c>
    </row>
    <row r="892">
      <c r="A892" s="4" t="inlineStr">
        <is>
          <t>T07_MAKER_CHECKER</t>
        </is>
      </c>
      <c r="B892" s="4" t="inlineStr">
        <is>
          <t>IMB-0325527</t>
        </is>
      </c>
      <c r="C892" s="4" t="inlineStr">
        <is>
          <t>ALMOXARIFADO_INVERSOES_FIXAS</t>
        </is>
      </c>
      <c r="D892" s="5" t="n">
        <v>610.59</v>
      </c>
      <c r="E892" s="5" t="n">
        <v>0</v>
      </c>
      <c r="F892" s="4" t="inlineStr">
        <is>
          <t>Cadastro sem aprovacao ou aprovado pelo proprio cadastrador</t>
        </is>
      </c>
    </row>
    <row r="893">
      <c r="A893" s="4" t="inlineStr">
        <is>
          <t>T07_MAKER_CHECKER</t>
        </is>
      </c>
      <c r="B893" s="4" t="inlineStr">
        <is>
          <t>IMB-0326438</t>
        </is>
      </c>
      <c r="C893" s="4" t="inlineStr">
        <is>
          <t>ALMOXARIFADO_INVERSOES_FIXAS</t>
        </is>
      </c>
      <c r="D893" s="5" t="n">
        <v>5717.74</v>
      </c>
      <c r="E893" s="5" t="n">
        <v>0</v>
      </c>
      <c r="F893" s="4" t="inlineStr">
        <is>
          <t>Cadastro sem aprovacao ou aprovado pelo proprio cadastrador</t>
        </is>
      </c>
    </row>
    <row r="894">
      <c r="A894" s="4" t="inlineStr">
        <is>
          <t>T07_MAKER_CHECKER</t>
        </is>
      </c>
      <c r="B894" s="4" t="inlineStr">
        <is>
          <t>IMB-0328755</t>
        </is>
      </c>
      <c r="C894" s="4" t="inlineStr">
        <is>
          <t>OUTROS</t>
        </is>
      </c>
      <c r="D894" s="5" t="n">
        <v>158.56</v>
      </c>
      <c r="E894" s="5" t="n">
        <v>0</v>
      </c>
      <c r="F894" s="4" t="inlineStr">
        <is>
          <t>Cadastro sem aprovacao ou aprovado pelo proprio cadastrador</t>
        </is>
      </c>
    </row>
    <row r="895">
      <c r="A895" s="4" t="inlineStr">
        <is>
          <t>T07_MAKER_CHECKER</t>
        </is>
      </c>
      <c r="B895" s="4" t="inlineStr">
        <is>
          <t>IMB-0329076</t>
        </is>
      </c>
      <c r="C895" s="4" t="inlineStr">
        <is>
          <t>OUTROS</t>
        </is>
      </c>
      <c r="D895" s="5" t="n">
        <v>184.9</v>
      </c>
      <c r="E895" s="5" t="n">
        <v>0</v>
      </c>
      <c r="F895" s="4" t="inlineStr">
        <is>
          <t>Cadastro sem aprovacao ou aprovado pelo proprio cadastrador</t>
        </is>
      </c>
    </row>
    <row r="896">
      <c r="A896" s="4" t="inlineStr">
        <is>
          <t>T07_MAKER_CHECKER</t>
        </is>
      </c>
      <c r="B896" s="4" t="inlineStr">
        <is>
          <t>IMB-0330397</t>
        </is>
      </c>
      <c r="C896" s="4" t="inlineStr">
        <is>
          <t>DESENVOLVIMENTO_CAMPOS</t>
        </is>
      </c>
      <c r="D896" s="5" t="n">
        <v>483.76</v>
      </c>
      <c r="E896" s="5" t="n">
        <v>0</v>
      </c>
      <c r="F896" s="4" t="inlineStr">
        <is>
          <t>Cadastro sem aprovacao ou aprovado pelo proprio cadastrador</t>
        </is>
      </c>
    </row>
    <row r="897">
      <c r="A897" s="4" t="inlineStr">
        <is>
          <t>T07_MAKER_CHECKER</t>
        </is>
      </c>
      <c r="B897" s="4" t="inlineStr">
        <is>
          <t>IMB-0331364</t>
        </is>
      </c>
      <c r="C897" s="4" t="inlineStr">
        <is>
          <t>OUTROS</t>
        </is>
      </c>
      <c r="D897" s="5" t="n">
        <v>1135.79</v>
      </c>
      <c r="E897" s="5" t="n">
        <v>0</v>
      </c>
      <c r="F897" s="4" t="inlineStr">
        <is>
          <t>Cadastro sem aprovacao ou aprovado pelo proprio cadastrador</t>
        </is>
      </c>
    </row>
    <row r="898">
      <c r="A898" s="4" t="inlineStr">
        <is>
          <t>T07_MAKER_CHECKER</t>
        </is>
      </c>
      <c r="B898" s="4" t="inlineStr">
        <is>
          <t>IMB-0331760</t>
        </is>
      </c>
      <c r="C898" s="4" t="inlineStr">
        <is>
          <t>DESENVOLVIMENTO_CAMPOS</t>
        </is>
      </c>
      <c r="D898" s="5" t="n">
        <v>546.42</v>
      </c>
      <c r="E898" s="5" t="n">
        <v>0</v>
      </c>
      <c r="F898" s="4" t="inlineStr">
        <is>
          <t>Cadastro sem aprovacao ou aprovado pelo proprio cadastrador</t>
        </is>
      </c>
    </row>
    <row r="899">
      <c r="A899" s="4" t="inlineStr">
        <is>
          <t>T07_MAKER_CHECKER</t>
        </is>
      </c>
      <c r="B899" s="4" t="inlineStr">
        <is>
          <t>IMB-0333896</t>
        </is>
      </c>
      <c r="C899" s="4" t="inlineStr">
        <is>
          <t>DESENVOLVIMENTO_CAMPOS</t>
        </is>
      </c>
      <c r="D899" s="5" t="n">
        <v>1973.68</v>
      </c>
      <c r="E899" s="5" t="n">
        <v>0</v>
      </c>
      <c r="F899" s="4" t="inlineStr">
        <is>
          <t>Cadastro sem aprovacao ou aprovado pelo proprio cadastrador</t>
        </is>
      </c>
    </row>
    <row r="900">
      <c r="A900" s="4" t="inlineStr">
        <is>
          <t>T07_MAKER_CHECKER</t>
        </is>
      </c>
      <c r="B900" s="4" t="inlineStr">
        <is>
          <t>IMB-0334481</t>
        </is>
      </c>
      <c r="C900" s="4" t="inlineStr">
        <is>
          <t>ALMOXARIFADO_INVERSOES_FIXAS</t>
        </is>
      </c>
      <c r="D900" s="5" t="n">
        <v>6580.32</v>
      </c>
      <c r="E900" s="5" t="n">
        <v>0</v>
      </c>
      <c r="F900" s="4" t="inlineStr">
        <is>
          <t>Cadastro sem aprovacao ou aprovado pelo proprio cadastrador</t>
        </is>
      </c>
    </row>
    <row r="901">
      <c r="A901" s="4" t="inlineStr">
        <is>
          <t>T07_MAKER_CHECKER</t>
        </is>
      </c>
      <c r="B901" s="4" t="inlineStr">
        <is>
          <t>IMB-0336286</t>
        </is>
      </c>
      <c r="C901" s="4" t="inlineStr">
        <is>
          <t>DESENVOLVIMENTO_CAMPOS</t>
        </is>
      </c>
      <c r="D901" s="5" t="n">
        <v>99.84</v>
      </c>
      <c r="E901" s="5" t="n">
        <v>0</v>
      </c>
      <c r="F901" s="4" t="inlineStr">
        <is>
          <t>Cadastro sem aprovacao ou aprovado pelo proprio cadastrador</t>
        </is>
      </c>
    </row>
    <row r="902">
      <c r="A902" s="4" t="inlineStr">
        <is>
          <t>T07_MAKER_CHECKER</t>
        </is>
      </c>
      <c r="B902" s="4" t="inlineStr">
        <is>
          <t>IMB-0336488</t>
        </is>
      </c>
      <c r="C902" s="4" t="inlineStr">
        <is>
          <t>OUTROS</t>
        </is>
      </c>
      <c r="D902" s="5" t="n">
        <v>0</v>
      </c>
      <c r="E902" s="5" t="n">
        <v>0</v>
      </c>
      <c r="F902" s="4" t="inlineStr">
        <is>
          <t>Cadastro sem aprovacao ou aprovado pelo proprio cadastrador</t>
        </is>
      </c>
    </row>
    <row r="903">
      <c r="A903" s="4" t="inlineStr">
        <is>
          <t>T07_MAKER_CHECKER</t>
        </is>
      </c>
      <c r="B903" s="4" t="inlineStr">
        <is>
          <t>IMB-0337538</t>
        </is>
      </c>
      <c r="C903" s="4" t="inlineStr">
        <is>
          <t>MAQUINAS_EQUIPAMENTOS</t>
        </is>
      </c>
      <c r="D903" s="5" t="n">
        <v>3398.02</v>
      </c>
      <c r="E903" s="5" t="n">
        <v>0</v>
      </c>
      <c r="F903" s="4" t="inlineStr">
        <is>
          <t>Cadastro sem aprovacao ou aprovado pelo proprio cadastrador</t>
        </is>
      </c>
    </row>
    <row r="904">
      <c r="A904" s="4" t="inlineStr">
        <is>
          <t>T07_MAKER_CHECKER</t>
        </is>
      </c>
      <c r="B904" s="4" t="inlineStr">
        <is>
          <t>IMB-0338186</t>
        </is>
      </c>
      <c r="C904" s="4" t="inlineStr">
        <is>
          <t>DESENVOLVIMENTO_CAMPOS</t>
        </is>
      </c>
      <c r="D904" s="5" t="n">
        <v>30976.53</v>
      </c>
      <c r="E904" s="5" t="n">
        <v>0</v>
      </c>
      <c r="F904" s="4" t="inlineStr">
        <is>
          <t>Cadastro sem aprovacao ou aprovado pelo proprio cadastrador</t>
        </is>
      </c>
    </row>
    <row r="905">
      <c r="A905" s="4" t="inlineStr">
        <is>
          <t>T07_MAKER_CHECKER</t>
        </is>
      </c>
      <c r="B905" s="4" t="inlineStr">
        <is>
          <t>IMB-0338800</t>
        </is>
      </c>
      <c r="C905" s="4" t="inlineStr">
        <is>
          <t>DESENVOLVIMENTO_CAMPOS</t>
        </is>
      </c>
      <c r="D905" s="5" t="n">
        <v>3367.84</v>
      </c>
      <c r="E905" s="5" t="n">
        <v>0</v>
      </c>
      <c r="F905" s="4" t="inlineStr">
        <is>
          <t>Cadastro sem aprovacao ou aprovado pelo proprio cadastrador</t>
        </is>
      </c>
    </row>
    <row r="906">
      <c r="A906" s="4" t="inlineStr">
        <is>
          <t>T07_MAKER_CHECKER</t>
        </is>
      </c>
      <c r="B906" s="4" t="inlineStr">
        <is>
          <t>IMB-0338943</t>
        </is>
      </c>
      <c r="C906" s="4" t="inlineStr">
        <is>
          <t>OUTROS</t>
        </is>
      </c>
      <c r="D906" s="5" t="n">
        <v>1556.44</v>
      </c>
      <c r="E906" s="5" t="n">
        <v>0</v>
      </c>
      <c r="F906" s="4" t="inlineStr">
        <is>
          <t>Cadastro sem aprovacao ou aprovado pelo proprio cadastrador</t>
        </is>
      </c>
    </row>
    <row r="907">
      <c r="A907" s="4" t="inlineStr">
        <is>
          <t>T07_MAKER_CHECKER</t>
        </is>
      </c>
      <c r="B907" s="4" t="inlineStr">
        <is>
          <t>IMB-0340533</t>
        </is>
      </c>
      <c r="C907" s="4" t="inlineStr">
        <is>
          <t>OUTROS</t>
        </is>
      </c>
      <c r="D907" s="5" t="n">
        <v>483.23</v>
      </c>
      <c r="E907" s="5" t="n">
        <v>0</v>
      </c>
      <c r="F907" s="4" t="inlineStr">
        <is>
          <t>Cadastro sem aprovacao ou aprovado pelo proprio cadastrador</t>
        </is>
      </c>
    </row>
    <row r="908">
      <c r="A908" s="4" t="inlineStr">
        <is>
          <t>T07_MAKER_CHECKER</t>
        </is>
      </c>
      <c r="B908" s="4" t="inlineStr">
        <is>
          <t>IMB-0341160</t>
        </is>
      </c>
      <c r="C908" s="4" t="inlineStr">
        <is>
          <t>ALMOXARIFADO_INVERSOES_FIXAS</t>
        </is>
      </c>
      <c r="D908" s="5" t="n">
        <v>7054.17</v>
      </c>
      <c r="E908" s="5" t="n">
        <v>0</v>
      </c>
      <c r="F908" s="4" t="inlineStr">
        <is>
          <t>Cadastro sem aprovacao ou aprovado pelo proprio cadastrador</t>
        </is>
      </c>
    </row>
    <row r="909">
      <c r="A909" s="4" t="inlineStr">
        <is>
          <t>T07_MAKER_CHECKER</t>
        </is>
      </c>
      <c r="B909" s="4" t="inlineStr">
        <is>
          <t>IMB-0341520</t>
        </is>
      </c>
      <c r="C909" s="4" t="inlineStr">
        <is>
          <t>ALMOXARIFADO_INVERSOES_FIXAS</t>
        </is>
      </c>
      <c r="D909" s="5" t="n">
        <v>95.44</v>
      </c>
      <c r="E909" s="5" t="n">
        <v>0</v>
      </c>
      <c r="F909" s="4" t="inlineStr">
        <is>
          <t>Cadastro sem aprovacao ou aprovado pelo proprio cadastrador</t>
        </is>
      </c>
    </row>
    <row r="910">
      <c r="A910" s="4" t="inlineStr">
        <is>
          <t>T07_MAKER_CHECKER</t>
        </is>
      </c>
      <c r="B910" s="4" t="inlineStr">
        <is>
          <t>IMB-0342452</t>
        </is>
      </c>
      <c r="C910" s="4" t="inlineStr">
        <is>
          <t>ALMOXARIFADO_INVERSOES_FIXAS</t>
        </is>
      </c>
      <c r="D910" s="5" t="n">
        <v>104.35</v>
      </c>
      <c r="E910" s="5" t="n">
        <v>0</v>
      </c>
      <c r="F910" s="4" t="inlineStr">
        <is>
          <t>Cadastro sem aprovacao ou aprovado pelo proprio cadastrador</t>
        </is>
      </c>
    </row>
    <row r="911">
      <c r="A911" s="4" t="inlineStr">
        <is>
          <t>T07_MAKER_CHECKER</t>
        </is>
      </c>
      <c r="B911" s="4" t="inlineStr">
        <is>
          <t>IMB-0342502</t>
        </is>
      </c>
      <c r="C911" s="4" t="inlineStr">
        <is>
          <t>DESENVOLVIMENTO_CAMPOS</t>
        </is>
      </c>
      <c r="D911" s="5" t="n">
        <v>1253.01</v>
      </c>
      <c r="E911" s="5" t="n">
        <v>0</v>
      </c>
      <c r="F911" s="4" t="inlineStr">
        <is>
          <t>Cadastro sem aprovacao ou aprovado pelo proprio cadastrador</t>
        </is>
      </c>
    </row>
    <row r="912">
      <c r="A912" s="4" t="inlineStr">
        <is>
          <t>T07_MAKER_CHECKER</t>
        </is>
      </c>
      <c r="B912" s="4" t="inlineStr">
        <is>
          <t>IMB-0342781</t>
        </is>
      </c>
      <c r="C912" s="4" t="inlineStr">
        <is>
          <t>DESENVOLVIMENTO_CAMPOS</t>
        </is>
      </c>
      <c r="D912" s="5" t="n">
        <v>1318.55</v>
      </c>
      <c r="E912" s="5" t="n">
        <v>0</v>
      </c>
      <c r="F912" s="4" t="inlineStr">
        <is>
          <t>Cadastro sem aprovacao ou aprovado pelo proprio cadastrador</t>
        </is>
      </c>
    </row>
    <row r="913">
      <c r="A913" s="4" t="inlineStr">
        <is>
          <t>T07_MAKER_CHECKER</t>
        </is>
      </c>
      <c r="B913" s="4" t="inlineStr">
        <is>
          <t>IMB-0342815</t>
        </is>
      </c>
      <c r="C913" s="4" t="inlineStr">
        <is>
          <t>MAQUINAS_EQUIPAMENTOS</t>
        </is>
      </c>
      <c r="D913" s="5" t="n">
        <v>316.44</v>
      </c>
      <c r="E913" s="5" t="n">
        <v>0</v>
      </c>
      <c r="F913" s="4" t="inlineStr">
        <is>
          <t>Cadastro sem aprovacao ou aprovado pelo proprio cadastrador</t>
        </is>
      </c>
    </row>
    <row r="914">
      <c r="A914" s="4" t="inlineStr">
        <is>
          <t>T07_MAKER_CHECKER</t>
        </is>
      </c>
      <c r="B914" s="4" t="inlineStr">
        <is>
          <t>IMB-0342825</t>
        </is>
      </c>
      <c r="C914" s="4" t="inlineStr">
        <is>
          <t>DESENVOLVIMENTO_CAMPOS</t>
        </is>
      </c>
      <c r="D914" s="5" t="n">
        <v>5533.65</v>
      </c>
      <c r="E914" s="5" t="n">
        <v>0</v>
      </c>
      <c r="F914" s="4" t="inlineStr">
        <is>
          <t>Cadastro sem aprovacao ou aprovado pelo proprio cadastrador</t>
        </is>
      </c>
    </row>
    <row r="915">
      <c r="A915" s="4" t="inlineStr">
        <is>
          <t>T07_MAKER_CHECKER</t>
        </is>
      </c>
      <c r="B915" s="4" t="inlineStr">
        <is>
          <t>IMB-0343657</t>
        </is>
      </c>
      <c r="C915" s="4" t="inlineStr">
        <is>
          <t>ALMOXARIFADO_INVERSOES_FIXAS</t>
        </is>
      </c>
      <c r="D915" s="5" t="n">
        <v>6175.62</v>
      </c>
      <c r="E915" s="5" t="n">
        <v>0</v>
      </c>
      <c r="F915" s="4" t="inlineStr">
        <is>
          <t>Cadastro sem aprovacao ou aprovado pelo proprio cadastrador</t>
        </is>
      </c>
    </row>
    <row r="916">
      <c r="A916" s="4" t="inlineStr">
        <is>
          <t>T07_MAKER_CHECKER</t>
        </is>
      </c>
      <c r="B916" s="4" t="inlineStr">
        <is>
          <t>IMB-0344015</t>
        </is>
      </c>
      <c r="C916" s="4" t="inlineStr">
        <is>
          <t>DESENVOLVIMENTO_CAMPOS</t>
        </is>
      </c>
      <c r="D916" s="5" t="n">
        <v>15664.09</v>
      </c>
      <c r="E916" s="5" t="n">
        <v>0</v>
      </c>
      <c r="F916" s="4" t="inlineStr">
        <is>
          <t>Cadastro sem aprovacao ou aprovado pelo proprio cadastrador</t>
        </is>
      </c>
    </row>
    <row r="917">
      <c r="A917" s="4" t="inlineStr">
        <is>
          <t>T07_MAKER_CHECKER</t>
        </is>
      </c>
      <c r="B917" s="4" t="inlineStr">
        <is>
          <t>IMB-0344033</t>
        </is>
      </c>
      <c r="C917" s="4" t="inlineStr">
        <is>
          <t>ALMOXARIFADO_INVERSOES_FIXAS</t>
        </is>
      </c>
      <c r="D917" s="5" t="n">
        <v>2385.34</v>
      </c>
      <c r="E917" s="5" t="n">
        <v>0</v>
      </c>
      <c r="F917" s="4" t="inlineStr">
        <is>
          <t>Cadastro sem aprovacao ou aprovado pelo proprio cadastrador</t>
        </is>
      </c>
    </row>
    <row r="918">
      <c r="A918" s="4" t="inlineStr">
        <is>
          <t>T07_MAKER_CHECKER</t>
        </is>
      </c>
      <c r="B918" s="4" t="inlineStr">
        <is>
          <t>IMB-0344377</t>
        </is>
      </c>
      <c r="C918" s="4" t="inlineStr">
        <is>
          <t>MAQUINAS_EQUIPAMENTOS</t>
        </is>
      </c>
      <c r="D918" s="5" t="n">
        <v>2035.84</v>
      </c>
      <c r="E918" s="5" t="n">
        <v>0</v>
      </c>
      <c r="F918" s="4" t="inlineStr">
        <is>
          <t>Cadastro sem aprovacao ou aprovado pelo proprio cadastrador</t>
        </is>
      </c>
    </row>
    <row r="919">
      <c r="A919" s="4" t="inlineStr">
        <is>
          <t>T07_MAKER_CHECKER</t>
        </is>
      </c>
      <c r="B919" s="4" t="inlineStr">
        <is>
          <t>IMB-0344996</t>
        </is>
      </c>
      <c r="C919" s="4" t="inlineStr">
        <is>
          <t>ALMOXARIFADO_INVERSOES_FIXAS</t>
        </is>
      </c>
      <c r="D919" s="5" t="n">
        <v>95.70999999999999</v>
      </c>
      <c r="E919" s="5" t="n">
        <v>0</v>
      </c>
      <c r="F919" s="4" t="inlineStr">
        <is>
          <t>Cadastro sem aprovacao ou aprovado pelo proprio cadastrador</t>
        </is>
      </c>
    </row>
    <row r="920">
      <c r="A920" s="4" t="inlineStr">
        <is>
          <t>T07_MAKER_CHECKER</t>
        </is>
      </c>
      <c r="B920" s="4" t="inlineStr">
        <is>
          <t>IMB-0346817</t>
        </is>
      </c>
      <c r="C920" s="4" t="inlineStr">
        <is>
          <t>DESENVOLVIMENTO_CAMPOS</t>
        </is>
      </c>
      <c r="D920" s="5" t="n">
        <v>37.32</v>
      </c>
      <c r="E920" s="5" t="n">
        <v>0</v>
      </c>
      <c r="F920" s="4" t="inlineStr">
        <is>
          <t>Cadastro sem aprovacao ou aprovado pelo proprio cadastrador</t>
        </is>
      </c>
    </row>
    <row r="921">
      <c r="A921" s="4" t="inlineStr">
        <is>
          <t>T07_MAKER_CHECKER</t>
        </is>
      </c>
      <c r="B921" s="4" t="inlineStr">
        <is>
          <t>IMB-0347252</t>
        </is>
      </c>
      <c r="C921" s="4" t="inlineStr">
        <is>
          <t>DESENVOLVIMENTO_CAMPOS</t>
        </is>
      </c>
      <c r="D921" s="5" t="n">
        <v>810.09</v>
      </c>
      <c r="E921" s="5" t="n">
        <v>0</v>
      </c>
      <c r="F921" s="4" t="inlineStr">
        <is>
          <t>Cadastro sem aprovacao ou aprovado pelo proprio cadastrador</t>
        </is>
      </c>
    </row>
    <row r="922">
      <c r="A922" s="4" t="inlineStr">
        <is>
          <t>T07_MAKER_CHECKER</t>
        </is>
      </c>
      <c r="B922" s="4" t="inlineStr">
        <is>
          <t>IMB-0347775</t>
        </is>
      </c>
      <c r="C922" s="4" t="inlineStr">
        <is>
          <t>ABANDONO_POCO_ARO</t>
        </is>
      </c>
      <c r="D922" s="5" t="n">
        <v>3195.03</v>
      </c>
      <c r="E922" s="5" t="n">
        <v>0</v>
      </c>
      <c r="F922" s="4" t="inlineStr">
        <is>
          <t>Cadastro sem aprovacao ou aprovado pelo proprio cadastrador</t>
        </is>
      </c>
    </row>
    <row r="923">
      <c r="A923" s="4" t="inlineStr">
        <is>
          <t>T07_MAKER_CHECKER</t>
        </is>
      </c>
      <c r="B923" s="4" t="inlineStr">
        <is>
          <t>IMB-0348213</t>
        </is>
      </c>
      <c r="C923" s="4" t="inlineStr">
        <is>
          <t>DESENVOLVIMENTO_CAMPOS</t>
        </is>
      </c>
      <c r="D923" s="5" t="n">
        <v>34.4</v>
      </c>
      <c r="E923" s="5" t="n">
        <v>0</v>
      </c>
      <c r="F923" s="4" t="inlineStr">
        <is>
          <t>Cadastro sem aprovacao ou aprovado pelo proprio cadastrador</t>
        </is>
      </c>
    </row>
    <row r="924">
      <c r="A924" s="4" t="inlineStr">
        <is>
          <t>T07_MAKER_CHECKER</t>
        </is>
      </c>
      <c r="B924" s="4" t="inlineStr">
        <is>
          <t>IMB-0348324</t>
        </is>
      </c>
      <c r="C924" s="4" t="inlineStr">
        <is>
          <t>ALMOXARIFADO_INVERSOES_FIXAS</t>
        </is>
      </c>
      <c r="D924" s="5" t="n">
        <v>1082.14</v>
      </c>
      <c r="E924" s="5" t="n">
        <v>0</v>
      </c>
      <c r="F924" s="4" t="inlineStr">
        <is>
          <t>Cadastro sem aprovacao ou aprovado pelo proprio cadastrador</t>
        </is>
      </c>
    </row>
    <row r="925">
      <c r="A925" s="4" t="inlineStr">
        <is>
          <t>T07_MAKER_CHECKER</t>
        </is>
      </c>
      <c r="B925" s="4" t="inlineStr">
        <is>
          <t>IMB-0350351</t>
        </is>
      </c>
      <c r="C925" s="4" t="inlineStr">
        <is>
          <t>OUTROS</t>
        </is>
      </c>
      <c r="D925" s="5" t="n">
        <v>0</v>
      </c>
      <c r="E925" s="5" t="n">
        <v>0</v>
      </c>
      <c r="F925" s="4" t="inlineStr">
        <is>
          <t>Cadastro sem aprovacao ou aprovado pelo proprio cadastrador</t>
        </is>
      </c>
    </row>
    <row r="926">
      <c r="A926" s="4" t="inlineStr">
        <is>
          <t>T07_MAKER_CHECKER</t>
        </is>
      </c>
      <c r="B926" s="4" t="inlineStr">
        <is>
          <t>IMB-0351379</t>
        </is>
      </c>
      <c r="C926" s="4" t="inlineStr">
        <is>
          <t>MAQUINAS_EQUIPAMENTOS</t>
        </is>
      </c>
      <c r="D926" s="5" t="n">
        <v>2394.63</v>
      </c>
      <c r="E926" s="5" t="n">
        <v>0</v>
      </c>
      <c r="F926" s="4" t="inlineStr">
        <is>
          <t>Cadastro sem aprovacao ou aprovado pelo proprio cadastrador</t>
        </is>
      </c>
    </row>
    <row r="927">
      <c r="A927" s="4" t="inlineStr">
        <is>
          <t>T07_MAKER_CHECKER</t>
        </is>
      </c>
      <c r="B927" s="4" t="inlineStr">
        <is>
          <t>IMB-0351499</t>
        </is>
      </c>
      <c r="C927" s="4" t="inlineStr">
        <is>
          <t>DESENVOLVIMENTO_CAMPOS</t>
        </is>
      </c>
      <c r="D927" s="5" t="n">
        <v>548.84</v>
      </c>
      <c r="E927" s="5" t="n">
        <v>0</v>
      </c>
      <c r="F927" s="4" t="inlineStr">
        <is>
          <t>Cadastro sem aprovacao ou aprovado pelo proprio cadastrador</t>
        </is>
      </c>
    </row>
    <row r="928">
      <c r="A928" s="4" t="inlineStr">
        <is>
          <t>T07_MAKER_CHECKER</t>
        </is>
      </c>
      <c r="B928" s="4" t="inlineStr">
        <is>
          <t>IMB-0354179</t>
        </is>
      </c>
      <c r="C928" s="4" t="inlineStr">
        <is>
          <t>MAQUINAS_EQUIPAMENTOS</t>
        </is>
      </c>
      <c r="D928" s="5" t="n">
        <v>5644.42</v>
      </c>
      <c r="E928" s="5" t="n">
        <v>0</v>
      </c>
      <c r="F928" s="4" t="inlineStr">
        <is>
          <t>Cadastro sem aprovacao ou aprovado pelo proprio cadastrador</t>
        </is>
      </c>
    </row>
    <row r="929">
      <c r="A929" s="4" t="inlineStr">
        <is>
          <t>T07_MAKER_CHECKER</t>
        </is>
      </c>
      <c r="B929" s="4" t="inlineStr">
        <is>
          <t>IMB-0354912</t>
        </is>
      </c>
      <c r="C929" s="4" t="inlineStr">
        <is>
          <t>DESENVOLVIMENTO_CAMPOS</t>
        </is>
      </c>
      <c r="D929" s="5" t="n">
        <v>328.06</v>
      </c>
      <c r="E929" s="5" t="n">
        <v>0</v>
      </c>
      <c r="F929" s="4" t="inlineStr">
        <is>
          <t>Cadastro sem aprovacao ou aprovado pelo proprio cadastrador</t>
        </is>
      </c>
    </row>
    <row r="930">
      <c r="A930" s="4" t="inlineStr">
        <is>
          <t>T07_MAKER_CHECKER</t>
        </is>
      </c>
      <c r="B930" s="4" t="inlineStr">
        <is>
          <t>IMB-0355111</t>
        </is>
      </c>
      <c r="C930" s="4" t="inlineStr">
        <is>
          <t>ALMOXARIFADO_INVERSOES_FIXAS</t>
        </is>
      </c>
      <c r="D930" s="5" t="n">
        <v>1535.2</v>
      </c>
      <c r="E930" s="5" t="n">
        <v>0</v>
      </c>
      <c r="F930" s="4" t="inlineStr">
        <is>
          <t>Cadastro sem aprovacao ou aprovado pelo proprio cadastrador</t>
        </is>
      </c>
    </row>
    <row r="931">
      <c r="A931" s="4" t="inlineStr">
        <is>
          <t>T07_MAKER_CHECKER</t>
        </is>
      </c>
      <c r="B931" s="4" t="inlineStr">
        <is>
          <t>IMB-0356938</t>
        </is>
      </c>
      <c r="C931" s="4" t="inlineStr">
        <is>
          <t>ALMOXARIFADO_INVERSOES_FIXAS</t>
        </is>
      </c>
      <c r="D931" s="5" t="n">
        <v>144.05</v>
      </c>
      <c r="E931" s="5" t="n">
        <v>0</v>
      </c>
      <c r="F931" s="4" t="inlineStr">
        <is>
          <t>Cadastro sem aprovacao ou aprovado pelo proprio cadastrador</t>
        </is>
      </c>
    </row>
    <row r="932">
      <c r="A932" s="4" t="inlineStr">
        <is>
          <t>T07_MAKER_CHECKER</t>
        </is>
      </c>
      <c r="B932" s="4" t="inlineStr">
        <is>
          <t>IMB-0357085</t>
        </is>
      </c>
      <c r="C932" s="4" t="inlineStr">
        <is>
          <t>OUTROS</t>
        </is>
      </c>
      <c r="D932" s="5" t="n">
        <v>59.51</v>
      </c>
      <c r="E932" s="5" t="n">
        <v>0</v>
      </c>
      <c r="F932" s="4" t="inlineStr">
        <is>
          <t>Cadastro sem aprovacao ou aprovado pelo proprio cadastrador</t>
        </is>
      </c>
    </row>
    <row r="933">
      <c r="A933" s="4" t="inlineStr">
        <is>
          <t>T07_MAKER_CHECKER</t>
        </is>
      </c>
      <c r="B933" s="4" t="inlineStr">
        <is>
          <t>IMB-0357475</t>
        </is>
      </c>
      <c r="C933" s="4" t="inlineStr">
        <is>
          <t>ALMOXARIFADO_INVERSOES_FIXAS</t>
        </is>
      </c>
      <c r="D933" s="5" t="n">
        <v>7185.07</v>
      </c>
      <c r="E933" s="5" t="n">
        <v>0</v>
      </c>
      <c r="F933" s="4" t="inlineStr">
        <is>
          <t>Cadastro sem aprovacao ou aprovado pelo proprio cadastrador</t>
        </is>
      </c>
    </row>
    <row r="934">
      <c r="A934" s="4" t="inlineStr">
        <is>
          <t>T07_MAKER_CHECKER</t>
        </is>
      </c>
      <c r="B934" s="4" t="inlineStr">
        <is>
          <t>IMB-0358192</t>
        </is>
      </c>
      <c r="C934" s="4" t="inlineStr">
        <is>
          <t>ALMOXARIFADO_INVERSOES_FIXAS</t>
        </is>
      </c>
      <c r="D934" s="5" t="n">
        <v>2214.06</v>
      </c>
      <c r="E934" s="5" t="n">
        <v>0</v>
      </c>
      <c r="F934" s="4" t="inlineStr">
        <is>
          <t>Cadastro sem aprovacao ou aprovado pelo proprio cadastrador</t>
        </is>
      </c>
    </row>
    <row r="935">
      <c r="A935" s="4" t="inlineStr">
        <is>
          <t>T07_MAKER_CHECKER</t>
        </is>
      </c>
      <c r="B935" s="4" t="inlineStr">
        <is>
          <t>IMB-0359636</t>
        </is>
      </c>
      <c r="C935" s="4" t="inlineStr">
        <is>
          <t>OUTROS</t>
        </is>
      </c>
      <c r="D935" s="5" t="n">
        <v>179.55</v>
      </c>
      <c r="E935" s="5" t="n">
        <v>0</v>
      </c>
      <c r="F935" s="4" t="inlineStr">
        <is>
          <t>Cadastro sem aprovacao ou aprovado pelo proprio cadastrador</t>
        </is>
      </c>
    </row>
    <row r="936">
      <c r="A936" s="4" t="inlineStr">
        <is>
          <t>T07_MAKER_CHECKER</t>
        </is>
      </c>
      <c r="B936" s="4" t="inlineStr">
        <is>
          <t>IMB-0359660</t>
        </is>
      </c>
      <c r="C936" s="4" t="inlineStr">
        <is>
          <t>DESENVOLVIMENTO_CAMPOS</t>
        </is>
      </c>
      <c r="D936" s="5" t="n">
        <v>3504.09</v>
      </c>
      <c r="E936" s="5" t="n">
        <v>0</v>
      </c>
      <c r="F936" s="4" t="inlineStr">
        <is>
          <t>Cadastro sem aprovacao ou aprovado pelo proprio cadastrador</t>
        </is>
      </c>
    </row>
    <row r="937">
      <c r="A937" s="4" t="inlineStr">
        <is>
          <t>T07_MAKER_CHECKER</t>
        </is>
      </c>
      <c r="B937" s="4" t="inlineStr">
        <is>
          <t>IMB-0360917</t>
        </is>
      </c>
      <c r="C937" s="4" t="inlineStr">
        <is>
          <t>ALMOXARIFADO_INVERSOES_FIXAS</t>
        </is>
      </c>
      <c r="D937" s="5" t="n">
        <v>41.12</v>
      </c>
      <c r="E937" s="5" t="n">
        <v>0</v>
      </c>
      <c r="F937" s="4" t="inlineStr">
        <is>
          <t>Cadastro sem aprovacao ou aprovado pelo proprio cadastrador</t>
        </is>
      </c>
    </row>
    <row r="938">
      <c r="A938" s="4" t="inlineStr">
        <is>
          <t>T07_MAKER_CHECKER</t>
        </is>
      </c>
      <c r="B938" s="4" t="inlineStr">
        <is>
          <t>IMB-0361309</t>
        </is>
      </c>
      <c r="C938" s="4" t="inlineStr">
        <is>
          <t>ADIANTAMENTOS</t>
        </is>
      </c>
      <c r="D938" s="5" t="n">
        <v>21593.71</v>
      </c>
      <c r="E938" s="5" t="n">
        <v>0</v>
      </c>
      <c r="F938" s="4" t="inlineStr">
        <is>
          <t>Cadastro sem aprovacao ou aprovado pelo proprio cadastrador</t>
        </is>
      </c>
    </row>
    <row r="939">
      <c r="A939" s="4" t="inlineStr">
        <is>
          <t>T07_MAKER_CHECKER</t>
        </is>
      </c>
      <c r="B939" s="4" t="inlineStr">
        <is>
          <t>IMB-0363422</t>
        </is>
      </c>
      <c r="C939" s="4" t="inlineStr">
        <is>
          <t>MAQUINAS_EQUIPAMENTOS</t>
        </is>
      </c>
      <c r="D939" s="5" t="n">
        <v>95.48</v>
      </c>
      <c r="E939" s="5" t="n">
        <v>0</v>
      </c>
      <c r="F939" s="4" t="inlineStr">
        <is>
          <t>Cadastro sem aprovacao ou aprovado pelo proprio cadastrador</t>
        </is>
      </c>
    </row>
    <row r="940">
      <c r="A940" s="4" t="inlineStr">
        <is>
          <t>T07_MAKER_CHECKER</t>
        </is>
      </c>
      <c r="B940" s="4" t="inlineStr">
        <is>
          <t>IMB-0363815</t>
        </is>
      </c>
      <c r="C940" s="4" t="inlineStr">
        <is>
          <t>DESENVOLVIMENTO_CAMPOS</t>
        </is>
      </c>
      <c r="D940" s="5" t="n">
        <v>80165.87</v>
      </c>
      <c r="E940" s="5" t="n">
        <v>0</v>
      </c>
      <c r="F940" s="4" t="inlineStr">
        <is>
          <t>Cadastro sem aprovacao ou aprovado pelo proprio cadastrador</t>
        </is>
      </c>
    </row>
    <row r="941">
      <c r="A941" s="4" t="inlineStr">
        <is>
          <t>T07_MAKER_CHECKER</t>
        </is>
      </c>
      <c r="B941" s="4" t="inlineStr">
        <is>
          <t>IMB-0365318</t>
        </is>
      </c>
      <c r="C941" s="4" t="inlineStr">
        <is>
          <t>DESENVOLVIMENTO_CAMPOS</t>
        </is>
      </c>
      <c r="D941" s="5" t="n">
        <v>20043.01</v>
      </c>
      <c r="E941" s="5" t="n">
        <v>0</v>
      </c>
      <c r="F941" s="4" t="inlineStr">
        <is>
          <t>Cadastro sem aprovacao ou aprovado pelo proprio cadastrador</t>
        </is>
      </c>
    </row>
    <row r="942">
      <c r="A942" s="4" t="inlineStr">
        <is>
          <t>T07_MAKER_CHECKER</t>
        </is>
      </c>
      <c r="B942" s="4" t="inlineStr">
        <is>
          <t>IMB-0366629</t>
        </is>
      </c>
      <c r="C942" s="4" t="inlineStr">
        <is>
          <t>MAQUINAS_EQUIPAMENTOS</t>
        </is>
      </c>
      <c r="D942" s="5" t="n">
        <v>4567.91</v>
      </c>
      <c r="E942" s="5" t="n">
        <v>0</v>
      </c>
      <c r="F942" s="4" t="inlineStr">
        <is>
          <t>Cadastro sem aprovacao ou aprovado pelo proprio cadastrador</t>
        </is>
      </c>
    </row>
    <row r="943">
      <c r="A943" s="4" t="inlineStr">
        <is>
          <t>T07_MAKER_CHECKER</t>
        </is>
      </c>
      <c r="B943" s="4" t="inlineStr">
        <is>
          <t>IMB-0367085</t>
        </is>
      </c>
      <c r="C943" s="4" t="inlineStr">
        <is>
          <t>DESENVOLVIMENTO_CAMPOS</t>
        </is>
      </c>
      <c r="D943" s="5" t="n">
        <v>1970.69</v>
      </c>
      <c r="E943" s="5" t="n">
        <v>0</v>
      </c>
      <c r="F943" s="4" t="inlineStr">
        <is>
          <t>Cadastro sem aprovacao ou aprovado pelo proprio cadastrador</t>
        </is>
      </c>
    </row>
    <row r="944">
      <c r="A944" s="4" t="inlineStr">
        <is>
          <t>T07_MAKER_CHECKER</t>
        </is>
      </c>
      <c r="B944" s="4" t="inlineStr">
        <is>
          <t>IMB-0368053</t>
        </is>
      </c>
      <c r="C944" s="4" t="inlineStr">
        <is>
          <t>DESENVOLVIMENTO_CAMPOS</t>
        </is>
      </c>
      <c r="D944" s="5" t="n">
        <v>236.29</v>
      </c>
      <c r="E944" s="5" t="n">
        <v>0</v>
      </c>
      <c r="F944" s="4" t="inlineStr">
        <is>
          <t>Cadastro sem aprovacao ou aprovado pelo proprio cadastrador</t>
        </is>
      </c>
    </row>
    <row r="945">
      <c r="A945" s="4" t="inlineStr">
        <is>
          <t>T07_MAKER_CHECKER</t>
        </is>
      </c>
      <c r="B945" s="4" t="inlineStr">
        <is>
          <t>IMB-0368703</t>
        </is>
      </c>
      <c r="C945" s="4" t="inlineStr">
        <is>
          <t>ALMOXARIFADO_INVERSOES_FIXAS</t>
        </is>
      </c>
      <c r="D945" s="5" t="n">
        <v>1873</v>
      </c>
      <c r="E945" s="5" t="n">
        <v>0</v>
      </c>
      <c r="F945" s="4" t="inlineStr">
        <is>
          <t>Cadastro sem aprovacao ou aprovado pelo proprio cadastrador</t>
        </is>
      </c>
    </row>
    <row r="946">
      <c r="A946" s="4" t="inlineStr">
        <is>
          <t>T07_MAKER_CHECKER</t>
        </is>
      </c>
      <c r="B946" s="4" t="inlineStr">
        <is>
          <t>IMB-0368795</t>
        </is>
      </c>
      <c r="C946" s="4" t="inlineStr">
        <is>
          <t>ALMOXARIFADO_INVERSOES_FIXAS</t>
        </is>
      </c>
      <c r="D946" s="5" t="n">
        <v>1514.86</v>
      </c>
      <c r="E946" s="5" t="n">
        <v>0</v>
      </c>
      <c r="F946" s="4" t="inlineStr">
        <is>
          <t>Cadastro sem aprovacao ou aprovado pelo proprio cadastrador</t>
        </is>
      </c>
    </row>
    <row r="947">
      <c r="A947" s="4" t="inlineStr">
        <is>
          <t>T07_MAKER_CHECKER</t>
        </is>
      </c>
      <c r="B947" s="4" t="inlineStr">
        <is>
          <t>IMB-0369571</t>
        </is>
      </c>
      <c r="C947" s="4" t="inlineStr">
        <is>
          <t>ALMOXARIFADO_INVERSOES_FIXAS</t>
        </is>
      </c>
      <c r="D947" s="5" t="n">
        <v>370.26</v>
      </c>
      <c r="E947" s="5" t="n">
        <v>0</v>
      </c>
      <c r="F947" s="4" t="inlineStr">
        <is>
          <t>Cadastro sem aprovacao ou aprovado pelo proprio cadastrador</t>
        </is>
      </c>
    </row>
    <row r="948">
      <c r="A948" s="4" t="inlineStr">
        <is>
          <t>T07_MAKER_CHECKER</t>
        </is>
      </c>
      <c r="B948" s="4" t="inlineStr">
        <is>
          <t>IMB-0370236</t>
        </is>
      </c>
      <c r="C948" s="4" t="inlineStr">
        <is>
          <t>DESENVOLVIMENTO_CAMPOS</t>
        </is>
      </c>
      <c r="D948" s="5" t="n">
        <v>5153.15</v>
      </c>
      <c r="E948" s="5" t="n">
        <v>0</v>
      </c>
      <c r="F948" s="4" t="inlineStr">
        <is>
          <t>Cadastro sem aprovacao ou aprovado pelo proprio cadastrador</t>
        </is>
      </c>
    </row>
    <row r="949">
      <c r="A949" s="4" t="inlineStr">
        <is>
          <t>T07_MAKER_CHECKER</t>
        </is>
      </c>
      <c r="B949" s="4" t="inlineStr">
        <is>
          <t>IMB-0370335</t>
        </is>
      </c>
      <c r="C949" s="4" t="inlineStr">
        <is>
          <t>ALMOXARIFADO_INVERSOES_FIXAS</t>
        </is>
      </c>
      <c r="D949" s="5" t="n">
        <v>7648.06</v>
      </c>
      <c r="E949" s="5" t="n">
        <v>0</v>
      </c>
      <c r="F949" s="4" t="inlineStr">
        <is>
          <t>Cadastro sem aprovacao ou aprovado pelo proprio cadastrador</t>
        </is>
      </c>
    </row>
    <row r="950">
      <c r="A950" s="4" t="inlineStr">
        <is>
          <t>T07_MAKER_CHECKER</t>
        </is>
      </c>
      <c r="B950" s="4" t="inlineStr">
        <is>
          <t>IMB-0370488</t>
        </is>
      </c>
      <c r="C950" s="4" t="inlineStr">
        <is>
          <t>ALMOXARIFADO_INVERSOES_FIXAS</t>
        </is>
      </c>
      <c r="D950" s="5" t="n">
        <v>206.56</v>
      </c>
      <c r="E950" s="5" t="n">
        <v>0</v>
      </c>
      <c r="F950" s="4" t="inlineStr">
        <is>
          <t>Cadastro sem aprovacao ou aprovado pelo proprio cadastrador</t>
        </is>
      </c>
    </row>
    <row r="951">
      <c r="A951" s="4" t="inlineStr">
        <is>
          <t>T07_MAKER_CHECKER</t>
        </is>
      </c>
      <c r="B951" s="4" t="inlineStr">
        <is>
          <t>IMB-0370832</t>
        </is>
      </c>
      <c r="C951" s="4" t="inlineStr">
        <is>
          <t>ABANDONO_POCO_ARO</t>
        </is>
      </c>
      <c r="D951" s="5" t="n">
        <v>6786.89</v>
      </c>
      <c r="E951" s="5" t="n">
        <v>0</v>
      </c>
      <c r="F951" s="4" t="inlineStr">
        <is>
          <t>Cadastro sem aprovacao ou aprovado pelo proprio cadastrador</t>
        </is>
      </c>
    </row>
    <row r="952">
      <c r="A952" s="4" t="inlineStr">
        <is>
          <t>T07_MAKER_CHECKER</t>
        </is>
      </c>
      <c r="B952" s="4" t="inlineStr">
        <is>
          <t>IMB-0370845</t>
        </is>
      </c>
      <c r="C952" s="4" t="inlineStr">
        <is>
          <t>OUTROS</t>
        </is>
      </c>
      <c r="D952" s="5" t="n">
        <v>245.74</v>
      </c>
      <c r="E952" s="5" t="n">
        <v>0</v>
      </c>
      <c r="F952" s="4" t="inlineStr">
        <is>
          <t>Cadastro sem aprovacao ou aprovado pelo proprio cadastrador</t>
        </is>
      </c>
    </row>
    <row r="953">
      <c r="A953" s="4" t="inlineStr">
        <is>
          <t>T07_MAKER_CHECKER</t>
        </is>
      </c>
      <c r="B953" s="4" t="inlineStr">
        <is>
          <t>IMB-0370875</t>
        </is>
      </c>
      <c r="C953" s="4" t="inlineStr">
        <is>
          <t>ALMOXARIFADO_INVERSOES_FIXAS</t>
        </is>
      </c>
      <c r="D953" s="5" t="n">
        <v>318.3</v>
      </c>
      <c r="E953" s="5" t="n">
        <v>0</v>
      </c>
      <c r="F953" s="4" t="inlineStr">
        <is>
          <t>Cadastro sem aprovacao ou aprovado pelo proprio cadastrador</t>
        </is>
      </c>
    </row>
    <row r="954">
      <c r="A954" s="4" t="inlineStr">
        <is>
          <t>T07_MAKER_CHECKER</t>
        </is>
      </c>
      <c r="B954" s="4" t="inlineStr">
        <is>
          <t>IMB-0371162</t>
        </is>
      </c>
      <c r="C954" s="4" t="inlineStr">
        <is>
          <t>ABANDONO_POCO_ARO</t>
        </is>
      </c>
      <c r="D954" s="5" t="n">
        <v>2779</v>
      </c>
      <c r="E954" s="5" t="n">
        <v>0</v>
      </c>
      <c r="F954" s="4" t="inlineStr">
        <is>
          <t>Cadastro sem aprovacao ou aprovado pelo proprio cadastrador</t>
        </is>
      </c>
    </row>
    <row r="955">
      <c r="A955" s="4" t="inlineStr">
        <is>
          <t>T07_MAKER_CHECKER</t>
        </is>
      </c>
      <c r="B955" s="4" t="inlineStr">
        <is>
          <t>IMB-0372329</t>
        </is>
      </c>
      <c r="C955" s="4" t="inlineStr">
        <is>
          <t>ALMOXARIFADO_INVERSOES_FIXAS</t>
        </is>
      </c>
      <c r="D955" s="5" t="n">
        <v>682.36</v>
      </c>
      <c r="E955" s="5" t="n">
        <v>0</v>
      </c>
      <c r="F955" s="4" t="inlineStr">
        <is>
          <t>Cadastro sem aprovacao ou aprovado pelo proprio cadastrador</t>
        </is>
      </c>
    </row>
    <row r="956">
      <c r="A956" s="4" t="inlineStr">
        <is>
          <t>T07_MAKER_CHECKER</t>
        </is>
      </c>
      <c r="B956" s="4" t="inlineStr">
        <is>
          <t>IMB-0372584</t>
        </is>
      </c>
      <c r="C956" s="4" t="inlineStr">
        <is>
          <t>ALMOXARIFADO_INVERSOES_FIXAS</t>
        </is>
      </c>
      <c r="D956" s="5" t="n">
        <v>1056.26</v>
      </c>
      <c r="E956" s="5" t="n">
        <v>0</v>
      </c>
      <c r="F956" s="4" t="inlineStr">
        <is>
          <t>Cadastro sem aprovacao ou aprovado pelo proprio cadastrador</t>
        </is>
      </c>
    </row>
    <row r="957">
      <c r="A957" s="4" t="inlineStr">
        <is>
          <t>T07_MAKER_CHECKER</t>
        </is>
      </c>
      <c r="B957" s="4" t="inlineStr">
        <is>
          <t>IMB-0374059</t>
        </is>
      </c>
      <c r="C957" s="4" t="inlineStr">
        <is>
          <t>ALMOXARIFADO_INVERSOES_FIXAS</t>
        </is>
      </c>
      <c r="D957" s="5" t="n">
        <v>943.54</v>
      </c>
      <c r="E957" s="5" t="n">
        <v>0</v>
      </c>
      <c r="F957" s="4" t="inlineStr">
        <is>
          <t>Cadastro sem aprovacao ou aprovado pelo proprio cadastrador</t>
        </is>
      </c>
    </row>
    <row r="958">
      <c r="A958" s="4" t="inlineStr">
        <is>
          <t>T07_MAKER_CHECKER</t>
        </is>
      </c>
      <c r="B958" s="4" t="inlineStr">
        <is>
          <t>IMB-0374936</t>
        </is>
      </c>
      <c r="C958" s="4" t="inlineStr">
        <is>
          <t>OUTROS</t>
        </is>
      </c>
      <c r="D958" s="5" t="n">
        <v>0</v>
      </c>
      <c r="E958" s="5" t="n">
        <v>0</v>
      </c>
      <c r="F958" s="4" t="inlineStr">
        <is>
          <t>Cadastro sem aprovacao ou aprovado pelo proprio cadastrador</t>
        </is>
      </c>
    </row>
    <row r="959">
      <c r="A959" s="4" t="inlineStr">
        <is>
          <t>T07_MAKER_CHECKER</t>
        </is>
      </c>
      <c r="B959" s="4" t="inlineStr">
        <is>
          <t>IMB-0375329</t>
        </is>
      </c>
      <c r="C959" s="4" t="inlineStr">
        <is>
          <t>DESENVOLVIMENTO_CAMPOS</t>
        </is>
      </c>
      <c r="D959" s="5" t="n">
        <v>7987.96</v>
      </c>
      <c r="E959" s="5" t="n">
        <v>0</v>
      </c>
      <c r="F959" s="4" t="inlineStr">
        <is>
          <t>Cadastro sem aprovacao ou aprovado pelo proprio cadastrador</t>
        </is>
      </c>
    </row>
    <row r="960">
      <c r="A960" s="4" t="inlineStr">
        <is>
          <t>T07_MAKER_CHECKER</t>
        </is>
      </c>
      <c r="B960" s="4" t="inlineStr">
        <is>
          <t>IMB-0376127</t>
        </is>
      </c>
      <c r="C960" s="4" t="inlineStr">
        <is>
          <t>ALMOXARIFADO_INVERSOES_FIXAS</t>
        </is>
      </c>
      <c r="D960" s="5" t="n">
        <v>836.89</v>
      </c>
      <c r="E960" s="5" t="n">
        <v>0</v>
      </c>
      <c r="F960" s="4" t="inlineStr">
        <is>
          <t>Cadastro sem aprovacao ou aprovado pelo proprio cadastrador</t>
        </is>
      </c>
    </row>
    <row r="961">
      <c r="A961" s="4" t="inlineStr">
        <is>
          <t>T07_MAKER_CHECKER</t>
        </is>
      </c>
      <c r="B961" s="4" t="inlineStr">
        <is>
          <t>IMB-0377225</t>
        </is>
      </c>
      <c r="C961" s="4" t="inlineStr">
        <is>
          <t>ALMOXARIFADO_INVERSOES_FIXAS</t>
        </is>
      </c>
      <c r="D961" s="5" t="n">
        <v>982.03</v>
      </c>
      <c r="E961" s="5" t="n">
        <v>0</v>
      </c>
      <c r="F961" s="4" t="inlineStr">
        <is>
          <t>Cadastro sem aprovacao ou aprovado pelo proprio cadastrador</t>
        </is>
      </c>
    </row>
    <row r="962">
      <c r="A962" s="4" t="inlineStr">
        <is>
          <t>T07_MAKER_CHECKER</t>
        </is>
      </c>
      <c r="B962" s="4" t="inlineStr">
        <is>
          <t>IMB-0378572</t>
        </is>
      </c>
      <c r="C962" s="4" t="inlineStr">
        <is>
          <t>DESENVOLVIMENTO_CAMPOS</t>
        </is>
      </c>
      <c r="D962" s="5" t="n">
        <v>2210.67</v>
      </c>
      <c r="E962" s="5" t="n">
        <v>0</v>
      </c>
      <c r="F962" s="4" t="inlineStr">
        <is>
          <t>Cadastro sem aprovacao ou aprovado pelo proprio cadastrador</t>
        </is>
      </c>
    </row>
    <row r="963">
      <c r="A963" s="4" t="inlineStr">
        <is>
          <t>T07_MAKER_CHECKER</t>
        </is>
      </c>
      <c r="B963" s="4" t="inlineStr">
        <is>
          <t>IMB-0378774</t>
        </is>
      </c>
      <c r="C963" s="4" t="inlineStr">
        <is>
          <t>DESENVOLVIMENTO_CAMPOS</t>
        </is>
      </c>
      <c r="D963" s="5" t="n">
        <v>19.34</v>
      </c>
      <c r="E963" s="5" t="n">
        <v>0</v>
      </c>
      <c r="F963" s="4" t="inlineStr">
        <is>
          <t>Cadastro sem aprovacao ou aprovado pelo proprio cadastrador</t>
        </is>
      </c>
    </row>
    <row r="964">
      <c r="A964" s="4" t="inlineStr">
        <is>
          <t>T07_MAKER_CHECKER</t>
        </is>
      </c>
      <c r="B964" s="4" t="inlineStr">
        <is>
          <t>IMB-0379923</t>
        </is>
      </c>
      <c r="C964" s="4" t="inlineStr">
        <is>
          <t>ALMOXARIFADO_INVERSOES_FIXAS</t>
        </is>
      </c>
      <c r="D964" s="5" t="n">
        <v>24934.22</v>
      </c>
      <c r="E964" s="5" t="n">
        <v>0</v>
      </c>
      <c r="F964" s="4" t="inlineStr">
        <is>
          <t>Cadastro sem aprovacao ou aprovado pelo proprio cadastrador</t>
        </is>
      </c>
    </row>
    <row r="965">
      <c r="A965" s="4" t="inlineStr">
        <is>
          <t>T07_MAKER_CHECKER</t>
        </is>
      </c>
      <c r="B965" s="4" t="inlineStr">
        <is>
          <t>IMB-0380121</t>
        </is>
      </c>
      <c r="C965" s="4" t="inlineStr">
        <is>
          <t>MAQUINAS_EQUIPAMENTOS</t>
        </is>
      </c>
      <c r="D965" s="5" t="n">
        <v>28748.18</v>
      </c>
      <c r="E965" s="5" t="n">
        <v>0</v>
      </c>
      <c r="F965" s="4" t="inlineStr">
        <is>
          <t>Cadastro sem aprovacao ou aprovado pelo proprio cadastrador</t>
        </is>
      </c>
    </row>
    <row r="966">
      <c r="A966" s="4" t="inlineStr">
        <is>
          <t>T07_MAKER_CHECKER</t>
        </is>
      </c>
      <c r="B966" s="4" t="inlineStr">
        <is>
          <t>IMB-0386420</t>
        </is>
      </c>
      <c r="C966" s="4" t="inlineStr">
        <is>
          <t>ALMOXARIFADO_INVERSOES_FIXAS</t>
        </is>
      </c>
      <c r="D966" s="5" t="n">
        <v>849.23</v>
      </c>
      <c r="E966" s="5" t="n">
        <v>0</v>
      </c>
      <c r="F966" s="4" t="inlineStr">
        <is>
          <t>Cadastro sem aprovacao ou aprovado pelo proprio cadastrador</t>
        </is>
      </c>
    </row>
    <row r="967">
      <c r="A967" s="4" t="inlineStr">
        <is>
          <t>T07_MAKER_CHECKER</t>
        </is>
      </c>
      <c r="B967" s="4" t="inlineStr">
        <is>
          <t>IMB-0386979</t>
        </is>
      </c>
      <c r="C967" s="4" t="inlineStr">
        <is>
          <t>MAQUINAS_EQUIPAMENTOS</t>
        </is>
      </c>
      <c r="D967" s="5" t="n">
        <v>29023.08</v>
      </c>
      <c r="E967" s="5" t="n">
        <v>0</v>
      </c>
      <c r="F967" s="4" t="inlineStr">
        <is>
          <t>Cadastro sem aprovacao ou aprovado pelo proprio cadastrador</t>
        </is>
      </c>
    </row>
    <row r="968">
      <c r="A968" s="4" t="inlineStr">
        <is>
          <t>T07_MAKER_CHECKER</t>
        </is>
      </c>
      <c r="B968" s="4" t="inlineStr">
        <is>
          <t>IMB-0387428</t>
        </is>
      </c>
      <c r="C968" s="4" t="inlineStr">
        <is>
          <t>ALMOXARIFADO_INVERSOES_FIXAS</t>
        </is>
      </c>
      <c r="D968" s="5" t="n">
        <v>344.06</v>
      </c>
      <c r="E968" s="5" t="n">
        <v>0</v>
      </c>
      <c r="F968" s="4" t="inlineStr">
        <is>
          <t>Cadastro sem aprovacao ou aprovado pelo proprio cadastrador</t>
        </is>
      </c>
    </row>
    <row r="969">
      <c r="A969" s="4" t="inlineStr">
        <is>
          <t>T07_MAKER_CHECKER</t>
        </is>
      </c>
      <c r="B969" s="4" t="inlineStr">
        <is>
          <t>IMB-0388067</t>
        </is>
      </c>
      <c r="C969" s="4" t="inlineStr">
        <is>
          <t>DESENVOLVIMENTO_CAMPOS</t>
        </is>
      </c>
      <c r="D969" s="5" t="n">
        <v>660.2</v>
      </c>
      <c r="E969" s="5" t="n">
        <v>0</v>
      </c>
      <c r="F969" s="4" t="inlineStr">
        <is>
          <t>Cadastro sem aprovacao ou aprovado pelo proprio cadastrador</t>
        </is>
      </c>
    </row>
    <row r="970">
      <c r="A970" s="4" t="inlineStr">
        <is>
          <t>T07_MAKER_CHECKER</t>
        </is>
      </c>
      <c r="B970" s="4" t="inlineStr">
        <is>
          <t>IMB-0388537</t>
        </is>
      </c>
      <c r="C970" s="4" t="inlineStr">
        <is>
          <t>ALMOXARIFADO_INVERSOES_FIXAS</t>
        </is>
      </c>
      <c r="D970" s="5" t="n">
        <v>3675.9</v>
      </c>
      <c r="E970" s="5" t="n">
        <v>0</v>
      </c>
      <c r="F970" s="4" t="inlineStr">
        <is>
          <t>Cadastro sem aprovacao ou aprovado pelo proprio cadastrador</t>
        </is>
      </c>
    </row>
    <row r="971">
      <c r="A971" s="4" t="inlineStr">
        <is>
          <t>T07_MAKER_CHECKER</t>
        </is>
      </c>
      <c r="B971" s="4" t="inlineStr">
        <is>
          <t>IMB-0388616</t>
        </is>
      </c>
      <c r="C971" s="4" t="inlineStr">
        <is>
          <t>DESENVOLVIMENTO_CAMPOS</t>
        </is>
      </c>
      <c r="D971" s="5" t="n">
        <v>831.97</v>
      </c>
      <c r="E971" s="5" t="n">
        <v>0</v>
      </c>
      <c r="F971" s="4" t="inlineStr">
        <is>
          <t>Cadastro sem aprovacao ou aprovado pelo proprio cadastrador</t>
        </is>
      </c>
    </row>
    <row r="972">
      <c r="A972" s="4" t="inlineStr">
        <is>
          <t>T07_MAKER_CHECKER</t>
        </is>
      </c>
      <c r="B972" s="4" t="inlineStr">
        <is>
          <t>IMB-0389902</t>
        </is>
      </c>
      <c r="C972" s="4" t="inlineStr">
        <is>
          <t>ALMOXARIFADO_INVERSOES_FIXAS</t>
        </is>
      </c>
      <c r="D972" s="5" t="n">
        <v>138.76</v>
      </c>
      <c r="E972" s="5" t="n">
        <v>0</v>
      </c>
      <c r="F972" s="4" t="inlineStr">
        <is>
          <t>Cadastro sem aprovacao ou aprovado pelo proprio cadastrador</t>
        </is>
      </c>
    </row>
    <row r="973">
      <c r="A973" s="4" t="inlineStr">
        <is>
          <t>T07_MAKER_CHECKER</t>
        </is>
      </c>
      <c r="B973" s="4" t="inlineStr">
        <is>
          <t>IMB-0394398</t>
        </is>
      </c>
      <c r="C973" s="4" t="inlineStr">
        <is>
          <t>DESENVOLVIMENTO_CAMPOS</t>
        </is>
      </c>
      <c r="D973" s="5" t="n">
        <v>633.04</v>
      </c>
      <c r="E973" s="5" t="n">
        <v>0</v>
      </c>
      <c r="F973" s="4" t="inlineStr">
        <is>
          <t>Cadastro sem aprovacao ou aprovado pelo proprio cadastrador</t>
        </is>
      </c>
    </row>
    <row r="974">
      <c r="A974" s="4" t="inlineStr">
        <is>
          <t>T07_MAKER_CHECKER</t>
        </is>
      </c>
      <c r="B974" s="4" t="inlineStr">
        <is>
          <t>IMB-0394499</t>
        </is>
      </c>
      <c r="C974" s="4" t="inlineStr">
        <is>
          <t>ALMOXARIFADO_INVERSOES_FIXAS</t>
        </is>
      </c>
      <c r="D974" s="5" t="n">
        <v>1065.38</v>
      </c>
      <c r="E974" s="5" t="n">
        <v>0</v>
      </c>
      <c r="F974" s="4" t="inlineStr">
        <is>
          <t>Cadastro sem aprovacao ou aprovado pelo proprio cadastrador</t>
        </is>
      </c>
    </row>
    <row r="975">
      <c r="A975" s="4" t="inlineStr">
        <is>
          <t>T07_MAKER_CHECKER</t>
        </is>
      </c>
      <c r="B975" s="4" t="inlineStr">
        <is>
          <t>IMB-0394916</t>
        </is>
      </c>
      <c r="C975" s="4" t="inlineStr">
        <is>
          <t>ALMOXARIFADO_INVERSOES_FIXAS</t>
        </is>
      </c>
      <c r="D975" s="5" t="n">
        <v>209.34</v>
      </c>
      <c r="E975" s="5" t="n">
        <v>0</v>
      </c>
      <c r="F975" s="4" t="inlineStr">
        <is>
          <t>Cadastro sem aprovacao ou aprovado pelo proprio cadastrador</t>
        </is>
      </c>
    </row>
    <row r="976">
      <c r="A976" s="4" t="inlineStr">
        <is>
          <t>T07_MAKER_CHECKER</t>
        </is>
      </c>
      <c r="B976" s="4" t="inlineStr">
        <is>
          <t>IMB-0395321</t>
        </is>
      </c>
      <c r="C976" s="4" t="inlineStr">
        <is>
          <t>DESENVOLVIMENTO_CAMPOS</t>
        </is>
      </c>
      <c r="D976" s="5" t="n">
        <v>408.5</v>
      </c>
      <c r="E976" s="5" t="n">
        <v>0</v>
      </c>
      <c r="F976" s="4" t="inlineStr">
        <is>
          <t>Cadastro sem aprovacao ou aprovado pelo proprio cadastrador</t>
        </is>
      </c>
    </row>
    <row r="977">
      <c r="A977" s="4" t="inlineStr">
        <is>
          <t>T07_MAKER_CHECKER</t>
        </is>
      </c>
      <c r="B977" s="4" t="inlineStr">
        <is>
          <t>IMB-0396126</t>
        </is>
      </c>
      <c r="C977" s="4" t="inlineStr">
        <is>
          <t>DESENVOLVIMENTO_CAMPOS</t>
        </is>
      </c>
      <c r="D977" s="5" t="n">
        <v>155.86</v>
      </c>
      <c r="E977" s="5" t="n">
        <v>0</v>
      </c>
      <c r="F977" s="4" t="inlineStr">
        <is>
          <t>Cadastro sem aprovacao ou aprovado pelo proprio cadastrador</t>
        </is>
      </c>
    </row>
    <row r="978">
      <c r="A978" s="4" t="inlineStr">
        <is>
          <t>T07_MAKER_CHECKER</t>
        </is>
      </c>
      <c r="B978" s="4" t="inlineStr">
        <is>
          <t>IMB-0397007</t>
        </is>
      </c>
      <c r="C978" s="4" t="inlineStr">
        <is>
          <t>ALMOXARIFADO_INVERSOES_FIXAS</t>
        </is>
      </c>
      <c r="D978" s="5" t="n">
        <v>12066.43</v>
      </c>
      <c r="E978" s="5" t="n">
        <v>0</v>
      </c>
      <c r="F978" s="4" t="inlineStr">
        <is>
          <t>Cadastro sem aprovacao ou aprovado pelo proprio cadastrador</t>
        </is>
      </c>
    </row>
    <row r="979">
      <c r="A979" s="4" t="inlineStr">
        <is>
          <t>T07_MAKER_CHECKER</t>
        </is>
      </c>
      <c r="B979" s="4" t="inlineStr">
        <is>
          <t>IMB-0397304</t>
        </is>
      </c>
      <c r="C979" s="4" t="inlineStr">
        <is>
          <t>ALMOXARIFADO_INVERSOES_FIXAS</t>
        </is>
      </c>
      <c r="D979" s="5" t="n">
        <v>1702.16</v>
      </c>
      <c r="E979" s="5" t="n">
        <v>0</v>
      </c>
      <c r="F979" s="4" t="inlineStr">
        <is>
          <t>Cadastro sem aprovacao ou aprovado pelo proprio cadastrador</t>
        </is>
      </c>
    </row>
    <row r="980">
      <c r="A980" s="4" t="inlineStr">
        <is>
          <t>T07_MAKER_CHECKER</t>
        </is>
      </c>
      <c r="B980" s="4" t="inlineStr">
        <is>
          <t>IMB-0397580</t>
        </is>
      </c>
      <c r="C980" s="4" t="inlineStr">
        <is>
          <t>MAQUINAS_EQUIPAMENTOS</t>
        </is>
      </c>
      <c r="D980" s="5" t="n">
        <v>1797.69</v>
      </c>
      <c r="E980" s="5" t="n">
        <v>0</v>
      </c>
      <c r="F980" s="4" t="inlineStr">
        <is>
          <t>Cadastro sem aprovacao ou aprovado pelo proprio cadastrador</t>
        </is>
      </c>
    </row>
    <row r="981">
      <c r="A981" s="4" t="inlineStr">
        <is>
          <t>T07_MAKER_CHECKER</t>
        </is>
      </c>
      <c r="B981" s="4" t="inlineStr">
        <is>
          <t>IMB-0398662</t>
        </is>
      </c>
      <c r="C981" s="4" t="inlineStr">
        <is>
          <t>ALMOXARIFADO_INVERSOES_FIXAS</t>
        </is>
      </c>
      <c r="D981" s="5" t="n">
        <v>7877.17</v>
      </c>
      <c r="E981" s="5" t="n">
        <v>0</v>
      </c>
      <c r="F981" s="4" t="inlineStr">
        <is>
          <t>Cadastro sem aprovacao ou aprovado pelo proprio cadastrador</t>
        </is>
      </c>
    </row>
    <row r="982">
      <c r="A982" s="4" t="inlineStr">
        <is>
          <t>T07_MAKER_CHECKER</t>
        </is>
      </c>
      <c r="B982" s="4" t="inlineStr">
        <is>
          <t>IMB-0399236</t>
        </is>
      </c>
      <c r="C982" s="4" t="inlineStr">
        <is>
          <t>OUTROS</t>
        </is>
      </c>
      <c r="D982" s="5" t="n">
        <v>628.6</v>
      </c>
      <c r="E982" s="5" t="n">
        <v>0</v>
      </c>
      <c r="F982" s="4" t="inlineStr">
        <is>
          <t>Cadastro sem aprovacao ou aprovado pelo proprio cadastrador</t>
        </is>
      </c>
    </row>
    <row r="983">
      <c r="A983" s="4" t="inlineStr">
        <is>
          <t>T07_MAKER_CHECKER</t>
        </is>
      </c>
      <c r="B983" s="4" t="inlineStr">
        <is>
          <t>IMB-0399382</t>
        </is>
      </c>
      <c r="C983" s="4" t="inlineStr">
        <is>
          <t>DESENVOLVIMENTO_CAMPOS</t>
        </is>
      </c>
      <c r="D983" s="5" t="n">
        <v>30.46</v>
      </c>
      <c r="E983" s="5" t="n">
        <v>0</v>
      </c>
      <c r="F983" s="4" t="inlineStr">
        <is>
          <t>Cadastro sem aprovacao ou aprovado pelo proprio cadastrador</t>
        </is>
      </c>
    </row>
    <row r="984">
      <c r="A984" s="4" t="inlineStr">
        <is>
          <t>T07_MAKER_CHECKER</t>
        </is>
      </c>
      <c r="B984" s="4" t="inlineStr">
        <is>
          <t>IMB-0399583</t>
        </is>
      </c>
      <c r="C984" s="4" t="inlineStr">
        <is>
          <t>ALMOXARIFADO_INVERSOES_FIXAS</t>
        </is>
      </c>
      <c r="D984" s="5" t="n">
        <v>3085.17</v>
      </c>
      <c r="E984" s="5" t="n">
        <v>0</v>
      </c>
      <c r="F984" s="4" t="inlineStr">
        <is>
          <t>Cadastro sem aprovacao ou aprovado pelo proprio cadastrador</t>
        </is>
      </c>
    </row>
    <row r="985">
      <c r="A985" s="4" t="inlineStr">
        <is>
          <t>T07_MAKER_CHECKER</t>
        </is>
      </c>
      <c r="B985" s="4" t="inlineStr">
        <is>
          <t>IMB-0399997</t>
        </is>
      </c>
      <c r="C985" s="4" t="inlineStr">
        <is>
          <t>ALMOXARIFADO_INVERSOES_FIXAS</t>
        </is>
      </c>
      <c r="D985" s="5" t="n">
        <v>886.05</v>
      </c>
      <c r="E985" s="5" t="n">
        <v>0</v>
      </c>
      <c r="F985" s="4" t="inlineStr">
        <is>
          <t>Cadastro sem aprovacao ou aprovado pelo proprio cadastrador</t>
        </is>
      </c>
    </row>
    <row r="986">
      <c r="A986" s="4" t="inlineStr">
        <is>
          <t>T07_MAKER_CHECKER</t>
        </is>
      </c>
      <c r="B986" s="4" t="inlineStr">
        <is>
          <t>IMB-0400614</t>
        </is>
      </c>
      <c r="C986" s="4" t="inlineStr">
        <is>
          <t>ALMOXARIFADO_INVERSOES_FIXAS</t>
        </is>
      </c>
      <c r="D986" s="5" t="n">
        <v>1853.31</v>
      </c>
      <c r="E986" s="5" t="n">
        <v>0</v>
      </c>
      <c r="F986" s="4" t="inlineStr">
        <is>
          <t>Cadastro sem aprovacao ou aprovado pelo proprio cadastrador</t>
        </is>
      </c>
    </row>
    <row r="987">
      <c r="A987" s="4" t="inlineStr">
        <is>
          <t>T07_MAKER_CHECKER</t>
        </is>
      </c>
      <c r="B987" s="4" t="inlineStr">
        <is>
          <t>IMB-0400753</t>
        </is>
      </c>
      <c r="C987" s="4" t="inlineStr">
        <is>
          <t>ALMOXARIFADO_INVERSOES_FIXAS</t>
        </is>
      </c>
      <c r="D987" s="5" t="n">
        <v>1076.23</v>
      </c>
      <c r="E987" s="5" t="n">
        <v>0</v>
      </c>
      <c r="F987" s="4" t="inlineStr">
        <is>
          <t>Cadastro sem aprovacao ou aprovado pelo proprio cadastrador</t>
        </is>
      </c>
    </row>
    <row r="988">
      <c r="A988" s="4" t="inlineStr">
        <is>
          <t>T07_MAKER_CHECKER</t>
        </is>
      </c>
      <c r="B988" s="4" t="inlineStr">
        <is>
          <t>IMB-0401435</t>
        </is>
      </c>
      <c r="C988" s="4" t="inlineStr">
        <is>
          <t>ALMOXARIFADO_INVERSOES_FIXAS</t>
        </is>
      </c>
      <c r="D988" s="5" t="n">
        <v>126.11</v>
      </c>
      <c r="E988" s="5" t="n">
        <v>0</v>
      </c>
      <c r="F988" s="4" t="inlineStr">
        <is>
          <t>Cadastro sem aprovacao ou aprovado pelo proprio cadastrador</t>
        </is>
      </c>
    </row>
    <row r="989">
      <c r="A989" s="4" t="inlineStr">
        <is>
          <t>T07_MAKER_CHECKER</t>
        </is>
      </c>
      <c r="B989" s="4" t="inlineStr">
        <is>
          <t>IMB-0401773</t>
        </is>
      </c>
      <c r="C989" s="4" t="inlineStr">
        <is>
          <t>DESENVOLVIMENTO_CAMPOS</t>
        </is>
      </c>
      <c r="D989" s="5" t="n">
        <v>1078.69</v>
      </c>
      <c r="E989" s="5" t="n">
        <v>0</v>
      </c>
      <c r="F989" s="4" t="inlineStr">
        <is>
          <t>Cadastro sem aprovacao ou aprovado pelo proprio cadastrador</t>
        </is>
      </c>
    </row>
    <row r="990">
      <c r="A990" s="4" t="inlineStr">
        <is>
          <t>T07_MAKER_CHECKER</t>
        </is>
      </c>
      <c r="B990" s="4" t="inlineStr">
        <is>
          <t>IMB-0401925</t>
        </is>
      </c>
      <c r="C990" s="4" t="inlineStr">
        <is>
          <t>OUTROS</t>
        </is>
      </c>
      <c r="D990" s="5" t="n">
        <v>175.99</v>
      </c>
      <c r="E990" s="5" t="n">
        <v>0</v>
      </c>
      <c r="F990" s="4" t="inlineStr">
        <is>
          <t>Cadastro sem aprovacao ou aprovado pelo proprio cadastrador</t>
        </is>
      </c>
    </row>
    <row r="991">
      <c r="A991" s="4" t="inlineStr">
        <is>
          <t>T07_MAKER_CHECKER</t>
        </is>
      </c>
      <c r="B991" s="4" t="inlineStr">
        <is>
          <t>IMB-0403006</t>
        </is>
      </c>
      <c r="C991" s="4" t="inlineStr">
        <is>
          <t>DESENVOLVIMENTO_CAMPOS</t>
        </is>
      </c>
      <c r="D991" s="5" t="n">
        <v>132.84</v>
      </c>
      <c r="E991" s="5" t="n">
        <v>0</v>
      </c>
      <c r="F991" s="4" t="inlineStr">
        <is>
          <t>Cadastro sem aprovacao ou aprovado pelo proprio cadastrador</t>
        </is>
      </c>
    </row>
    <row r="992">
      <c r="A992" s="4" t="inlineStr">
        <is>
          <t>T07_MAKER_CHECKER</t>
        </is>
      </c>
      <c r="B992" s="4" t="inlineStr">
        <is>
          <t>IMB-0403444</t>
        </is>
      </c>
      <c r="C992" s="4" t="inlineStr">
        <is>
          <t>DESENVOLVIMENTO_CAMPOS</t>
        </is>
      </c>
      <c r="D992" s="5" t="n">
        <v>2491.05</v>
      </c>
      <c r="E992" s="5" t="n">
        <v>0</v>
      </c>
      <c r="F992" s="4" t="inlineStr">
        <is>
          <t>Cadastro sem aprovacao ou aprovado pelo proprio cadastrador</t>
        </is>
      </c>
    </row>
    <row r="993">
      <c r="A993" s="4" t="inlineStr">
        <is>
          <t>T07_MAKER_CHECKER</t>
        </is>
      </c>
      <c r="B993" s="4" t="inlineStr">
        <is>
          <t>IMB-0404153</t>
        </is>
      </c>
      <c r="C993" s="4" t="inlineStr">
        <is>
          <t>OUTROS</t>
        </is>
      </c>
      <c r="D993" s="5" t="n">
        <v>144.57</v>
      </c>
      <c r="E993" s="5" t="n">
        <v>0</v>
      </c>
      <c r="F993" s="4" t="inlineStr">
        <is>
          <t>Cadastro sem aprovacao ou aprovado pelo proprio cadastrador</t>
        </is>
      </c>
    </row>
    <row r="994">
      <c r="A994" s="4" t="inlineStr">
        <is>
          <t>T07_MAKER_CHECKER</t>
        </is>
      </c>
      <c r="B994" s="4" t="inlineStr">
        <is>
          <t>IMB-0404581</t>
        </is>
      </c>
      <c r="C994" s="4" t="inlineStr">
        <is>
          <t>DESENVOLVIMENTO_CAMPOS</t>
        </is>
      </c>
      <c r="D994" s="5" t="n">
        <v>4.01</v>
      </c>
      <c r="E994" s="5" t="n">
        <v>0</v>
      </c>
      <c r="F994" s="4" t="inlineStr">
        <is>
          <t>Cadastro sem aprovacao ou aprovado pelo proprio cadastrador</t>
        </is>
      </c>
    </row>
    <row r="995">
      <c r="A995" s="4" t="inlineStr">
        <is>
          <t>T07_MAKER_CHECKER</t>
        </is>
      </c>
      <c r="B995" s="4" t="inlineStr">
        <is>
          <t>IMB-0405596</t>
        </is>
      </c>
      <c r="C995" s="4" t="inlineStr">
        <is>
          <t>DESENVOLVIMENTO_CAMPOS</t>
        </is>
      </c>
      <c r="D995" s="5" t="n">
        <v>4006.34</v>
      </c>
      <c r="E995" s="5" t="n">
        <v>0</v>
      </c>
      <c r="F995" s="4" t="inlineStr">
        <is>
          <t>Cadastro sem aprovacao ou aprovado pelo proprio cadastrador</t>
        </is>
      </c>
    </row>
    <row r="996">
      <c r="A996" s="4" t="inlineStr">
        <is>
          <t>T07_MAKER_CHECKER</t>
        </is>
      </c>
      <c r="B996" s="4" t="inlineStr">
        <is>
          <t>IMB-0406527</t>
        </is>
      </c>
      <c r="C996" s="4" t="inlineStr">
        <is>
          <t>DESENVOLVIMENTO_CAMPOS</t>
        </is>
      </c>
      <c r="D996" s="5" t="n">
        <v>1423.83</v>
      </c>
      <c r="E996" s="5" t="n">
        <v>0</v>
      </c>
      <c r="F996" s="4" t="inlineStr">
        <is>
          <t>Cadastro sem aprovacao ou aprovado pelo proprio cadastrador</t>
        </is>
      </c>
    </row>
    <row r="997">
      <c r="A997" s="4" t="inlineStr">
        <is>
          <t>T07_MAKER_CHECKER</t>
        </is>
      </c>
      <c r="B997" s="4" t="inlineStr">
        <is>
          <t>IMB-0406720</t>
        </is>
      </c>
      <c r="C997" s="4" t="inlineStr">
        <is>
          <t>ALMOXARIFADO_INVERSOES_FIXAS</t>
        </is>
      </c>
      <c r="D997" s="5" t="n">
        <v>155.56</v>
      </c>
      <c r="E997" s="5" t="n">
        <v>0</v>
      </c>
      <c r="F997" s="4" t="inlineStr">
        <is>
          <t>Cadastro sem aprovacao ou aprovado pelo proprio cadastrador</t>
        </is>
      </c>
    </row>
    <row r="998">
      <c r="A998" s="4" t="inlineStr">
        <is>
          <t>T07_MAKER_CHECKER</t>
        </is>
      </c>
      <c r="B998" s="4" t="inlineStr">
        <is>
          <t>IMB-0408739</t>
        </is>
      </c>
      <c r="C998" s="4" t="inlineStr">
        <is>
          <t>OUTROS</t>
        </is>
      </c>
      <c r="D998" s="5" t="n">
        <v>2045.91</v>
      </c>
      <c r="E998" s="5" t="n">
        <v>0</v>
      </c>
      <c r="F998" s="4" t="inlineStr">
        <is>
          <t>Cadastro sem aprovacao ou aprovado pelo proprio cadastrador</t>
        </is>
      </c>
    </row>
    <row r="999">
      <c r="A999" s="4" t="inlineStr">
        <is>
          <t>T07_MAKER_CHECKER</t>
        </is>
      </c>
      <c r="B999" s="4" t="inlineStr">
        <is>
          <t>IMB-0408972</t>
        </is>
      </c>
      <c r="C999" s="4" t="inlineStr">
        <is>
          <t>ALMOXARIFADO_INVERSOES_FIXAS</t>
        </is>
      </c>
      <c r="D999" s="5" t="n">
        <v>1166.59</v>
      </c>
      <c r="E999" s="5" t="n">
        <v>0</v>
      </c>
      <c r="F999" s="4" t="inlineStr">
        <is>
          <t>Cadastro sem aprovacao ou aprovado pelo proprio cadastrador</t>
        </is>
      </c>
    </row>
    <row r="1000">
      <c r="A1000" s="4" t="inlineStr">
        <is>
          <t>T07_MAKER_CHECKER</t>
        </is>
      </c>
      <c r="B1000" s="4" t="inlineStr">
        <is>
          <t>IMB-0409197</t>
        </is>
      </c>
      <c r="C1000" s="4" t="inlineStr">
        <is>
          <t>OUTROS</t>
        </is>
      </c>
      <c r="D1000" s="5" t="n">
        <v>420.37</v>
      </c>
      <c r="E1000" s="5" t="n">
        <v>0</v>
      </c>
      <c r="F1000" s="4" t="inlineStr">
        <is>
          <t>Cadastro sem aprovacao ou aprovado pelo proprio cadastrador</t>
        </is>
      </c>
    </row>
    <row r="1001">
      <c r="A1001" s="4" t="inlineStr">
        <is>
          <t>T07_MAKER_CHECKER</t>
        </is>
      </c>
      <c r="B1001" s="4" t="inlineStr">
        <is>
          <t>IMB-0410713</t>
        </is>
      </c>
      <c r="C1001" s="4" t="inlineStr">
        <is>
          <t>ALMOXARIFADO_INVERSOES_FIXAS</t>
        </is>
      </c>
      <c r="D1001" s="5" t="n">
        <v>484.52</v>
      </c>
      <c r="E1001" s="5" t="n">
        <v>0</v>
      </c>
      <c r="F1001" s="4" t="inlineStr">
        <is>
          <t>Cadastro sem aprovacao ou aprovado pelo proprio cadastrador</t>
        </is>
      </c>
    </row>
    <row r="1002">
      <c r="A1002" s="4" t="inlineStr">
        <is>
          <t>T07_MAKER_CHECKER</t>
        </is>
      </c>
      <c r="B1002" s="4" t="inlineStr">
        <is>
          <t>IMB-0410917</t>
        </is>
      </c>
      <c r="C1002" s="4" t="inlineStr">
        <is>
          <t>DESENVOLVIMENTO_CAMPOS</t>
        </is>
      </c>
      <c r="D1002" s="5" t="n">
        <v>736.49</v>
      </c>
      <c r="E1002" s="5" t="n">
        <v>0</v>
      </c>
      <c r="F1002" s="4" t="inlineStr">
        <is>
          <t>Cadastro sem aprovacao ou aprovado pelo proprio cadastrador</t>
        </is>
      </c>
    </row>
    <row r="1003">
      <c r="A1003" s="4" t="inlineStr">
        <is>
          <t>T07_MAKER_CHECKER</t>
        </is>
      </c>
      <c r="B1003" s="4" t="inlineStr">
        <is>
          <t>IMB-0410997</t>
        </is>
      </c>
      <c r="C1003" s="4" t="inlineStr">
        <is>
          <t>MAQUINAS_EQUIPAMENTOS</t>
        </is>
      </c>
      <c r="D1003" s="5" t="n">
        <v>14930.64</v>
      </c>
      <c r="E1003" s="5" t="n">
        <v>0</v>
      </c>
      <c r="F1003" s="4" t="inlineStr">
        <is>
          <t>Cadastro sem aprovacao ou aprovado pelo proprio cadastrador</t>
        </is>
      </c>
    </row>
    <row r="1004">
      <c r="A1004" s="4" t="inlineStr">
        <is>
          <t>T07_MAKER_CHECKER</t>
        </is>
      </c>
      <c r="B1004" s="4" t="inlineStr">
        <is>
          <t>IMB-0411817</t>
        </is>
      </c>
      <c r="C1004" s="4" t="inlineStr">
        <is>
          <t>DESENVOLVIMENTO_CAMPOS</t>
        </is>
      </c>
      <c r="D1004" s="5" t="n">
        <v>102.93</v>
      </c>
      <c r="E1004" s="5" t="n">
        <v>0</v>
      </c>
      <c r="F1004" s="4" t="inlineStr">
        <is>
          <t>Cadastro sem aprovacao ou aprovado pelo proprio cadastrador</t>
        </is>
      </c>
    </row>
    <row r="1005">
      <c r="A1005" s="4" t="inlineStr">
        <is>
          <t>T07_MAKER_CHECKER</t>
        </is>
      </c>
      <c r="B1005" s="4" t="inlineStr">
        <is>
          <t>IMB-0412665</t>
        </is>
      </c>
      <c r="C1005" s="4" t="inlineStr">
        <is>
          <t>DESENVOLVIMENTO_CAMPOS</t>
        </is>
      </c>
      <c r="D1005" s="5" t="n">
        <v>1036.07</v>
      </c>
      <c r="E1005" s="5" t="n">
        <v>0</v>
      </c>
      <c r="F1005" s="4" t="inlineStr">
        <is>
          <t>Cadastro sem aprovacao ou aprovado pelo proprio cadastrador</t>
        </is>
      </c>
    </row>
    <row r="1006">
      <c r="A1006" s="4" t="inlineStr">
        <is>
          <t>T07_MAKER_CHECKER</t>
        </is>
      </c>
      <c r="B1006" s="4" t="inlineStr">
        <is>
          <t>IMB-0413670</t>
        </is>
      </c>
      <c r="C1006" s="4" t="inlineStr">
        <is>
          <t>ALMOXARIFADO_INVERSOES_FIXAS</t>
        </is>
      </c>
      <c r="D1006" s="5" t="n">
        <v>604.59</v>
      </c>
      <c r="E1006" s="5" t="n">
        <v>0</v>
      </c>
      <c r="F1006" s="4" t="inlineStr">
        <is>
          <t>Cadastro sem aprovacao ou aprovado pelo proprio cadastrador</t>
        </is>
      </c>
    </row>
    <row r="1007">
      <c r="A1007" s="4" t="inlineStr">
        <is>
          <t>T07_MAKER_CHECKER</t>
        </is>
      </c>
      <c r="B1007" s="4" t="inlineStr">
        <is>
          <t>IMB-0415420</t>
        </is>
      </c>
      <c r="C1007" s="4" t="inlineStr">
        <is>
          <t>DESENVOLVIMENTO_CAMPOS</t>
        </is>
      </c>
      <c r="D1007" s="5" t="n">
        <v>311.25</v>
      </c>
      <c r="E1007" s="5" t="n">
        <v>0</v>
      </c>
      <c r="F1007" s="4" t="inlineStr">
        <is>
          <t>Cadastro sem aprovacao ou aprovado pelo proprio cadastrador</t>
        </is>
      </c>
    </row>
    <row r="1008">
      <c r="A1008" s="4" t="inlineStr">
        <is>
          <t>T07_MAKER_CHECKER</t>
        </is>
      </c>
      <c r="B1008" s="4" t="inlineStr">
        <is>
          <t>IMB-0415446</t>
        </is>
      </c>
      <c r="C1008" s="4" t="inlineStr">
        <is>
          <t>DESENVOLVIMENTO_CAMPOS</t>
        </is>
      </c>
      <c r="D1008" s="5" t="n">
        <v>1452.78</v>
      </c>
      <c r="E1008" s="5" t="n">
        <v>0</v>
      </c>
      <c r="F1008" s="4" t="inlineStr">
        <is>
          <t>Cadastro sem aprovacao ou aprovado pelo proprio cadastrador</t>
        </is>
      </c>
    </row>
    <row r="1009">
      <c r="A1009" s="4" t="inlineStr">
        <is>
          <t>T07_MAKER_CHECKER</t>
        </is>
      </c>
      <c r="B1009" s="4" t="inlineStr">
        <is>
          <t>IMB-0415781</t>
        </is>
      </c>
      <c r="C1009" s="4" t="inlineStr">
        <is>
          <t>ALMOXARIFADO_INVERSOES_FIXAS</t>
        </is>
      </c>
      <c r="D1009" s="5" t="n">
        <v>3996.02</v>
      </c>
      <c r="E1009" s="5" t="n">
        <v>0</v>
      </c>
      <c r="F1009" s="4" t="inlineStr">
        <is>
          <t>Cadastro sem aprovacao ou aprovado pelo proprio cadastrador</t>
        </is>
      </c>
    </row>
    <row r="1010">
      <c r="A1010" s="4" t="inlineStr">
        <is>
          <t>T07_MAKER_CHECKER</t>
        </is>
      </c>
      <c r="B1010" s="4" t="inlineStr">
        <is>
          <t>IMB-0415970</t>
        </is>
      </c>
      <c r="C1010" s="4" t="inlineStr">
        <is>
          <t>ALMOXARIFADO_INVERSOES_FIXAS</t>
        </is>
      </c>
      <c r="D1010" s="5" t="n">
        <v>1013.06</v>
      </c>
      <c r="E1010" s="5" t="n">
        <v>0</v>
      </c>
      <c r="F1010" s="4" t="inlineStr">
        <is>
          <t>Cadastro sem aprovacao ou aprovado pelo proprio cadastrador</t>
        </is>
      </c>
    </row>
    <row r="1011">
      <c r="A1011" s="4" t="inlineStr">
        <is>
          <t>T07_MAKER_CHECKER</t>
        </is>
      </c>
      <c r="B1011" s="4" t="inlineStr">
        <is>
          <t>IMB-0416874</t>
        </is>
      </c>
      <c r="C1011" s="4" t="inlineStr">
        <is>
          <t>DESENVOLVIMENTO_CAMPOS</t>
        </is>
      </c>
      <c r="D1011" s="5" t="n">
        <v>230.98</v>
      </c>
      <c r="E1011" s="5" t="n">
        <v>0</v>
      </c>
      <c r="F1011" s="4" t="inlineStr">
        <is>
          <t>Cadastro sem aprovacao ou aprovado pelo proprio cadastrador</t>
        </is>
      </c>
    </row>
    <row r="1012">
      <c r="A1012" s="4" t="inlineStr">
        <is>
          <t>T07_MAKER_CHECKER</t>
        </is>
      </c>
      <c r="B1012" s="4" t="inlineStr">
        <is>
          <t>IMB-0417017</t>
        </is>
      </c>
      <c r="C1012" s="4" t="inlineStr">
        <is>
          <t>DESENVOLVIMENTO_CAMPOS</t>
        </is>
      </c>
      <c r="D1012" s="5" t="n">
        <v>255.75</v>
      </c>
      <c r="E1012" s="5" t="n">
        <v>0</v>
      </c>
      <c r="F1012" s="4" t="inlineStr">
        <is>
          <t>Cadastro sem aprovacao ou aprovado pelo proprio cadastrador</t>
        </is>
      </c>
    </row>
    <row r="1013">
      <c r="A1013" s="4" t="inlineStr">
        <is>
          <t>T07_MAKER_CHECKER</t>
        </is>
      </c>
      <c r="B1013" s="4" t="inlineStr">
        <is>
          <t>IMB-0417639</t>
        </is>
      </c>
      <c r="C1013" s="4" t="inlineStr">
        <is>
          <t>DESENVOLVIMENTO_CAMPOS</t>
        </is>
      </c>
      <c r="D1013" s="5" t="n">
        <v>25.04</v>
      </c>
      <c r="E1013" s="5" t="n">
        <v>0</v>
      </c>
      <c r="F1013" s="4" t="inlineStr">
        <is>
          <t>Cadastro sem aprovacao ou aprovado pelo proprio cadastrador</t>
        </is>
      </c>
    </row>
    <row r="1014">
      <c r="A1014" s="4" t="inlineStr">
        <is>
          <t>T07_MAKER_CHECKER</t>
        </is>
      </c>
      <c r="B1014" s="4" t="inlineStr">
        <is>
          <t>IMB-0417649</t>
        </is>
      </c>
      <c r="C1014" s="4" t="inlineStr">
        <is>
          <t>ALMOXARIFADO_INVERSOES_FIXAS</t>
        </is>
      </c>
      <c r="D1014" s="5" t="n">
        <v>884.61</v>
      </c>
      <c r="E1014" s="5" t="n">
        <v>0</v>
      </c>
      <c r="F1014" s="4" t="inlineStr">
        <is>
          <t>Cadastro sem aprovacao ou aprovado pelo proprio cadastrador</t>
        </is>
      </c>
    </row>
    <row r="1015">
      <c r="A1015" s="4" t="inlineStr">
        <is>
          <t>T07_MAKER_CHECKER</t>
        </is>
      </c>
      <c r="B1015" s="4" t="inlineStr">
        <is>
          <t>IMB-0418262</t>
        </is>
      </c>
      <c r="C1015" s="4" t="inlineStr">
        <is>
          <t>ALMOXARIFADO_INVERSOES_FIXAS</t>
        </is>
      </c>
      <c r="D1015" s="5" t="n">
        <v>4314.01</v>
      </c>
      <c r="E1015" s="5" t="n">
        <v>0</v>
      </c>
      <c r="F1015" s="4" t="inlineStr">
        <is>
          <t>Cadastro sem aprovacao ou aprovado pelo proprio cadastrador</t>
        </is>
      </c>
    </row>
    <row r="1016">
      <c r="A1016" s="4" t="inlineStr">
        <is>
          <t>T07_MAKER_CHECKER</t>
        </is>
      </c>
      <c r="B1016" s="4" t="inlineStr">
        <is>
          <t>IMB-0419769</t>
        </is>
      </c>
      <c r="C1016" s="4" t="inlineStr">
        <is>
          <t>DESENVOLVIMENTO_CAMPOS</t>
        </is>
      </c>
      <c r="D1016" s="5" t="n">
        <v>1174.61</v>
      </c>
      <c r="E1016" s="5" t="n">
        <v>0</v>
      </c>
      <c r="F1016" s="4" t="inlineStr">
        <is>
          <t>Cadastro sem aprovacao ou aprovado pelo proprio cadastrador</t>
        </is>
      </c>
    </row>
    <row r="1017">
      <c r="A1017" s="4" t="inlineStr">
        <is>
          <t>T07_MAKER_CHECKER</t>
        </is>
      </c>
      <c r="B1017" s="4" t="inlineStr">
        <is>
          <t>IMB-0421482</t>
        </is>
      </c>
      <c r="C1017" s="4" t="inlineStr">
        <is>
          <t>ALMOXARIFADO_INVERSOES_FIXAS</t>
        </is>
      </c>
      <c r="D1017" s="5" t="n">
        <v>1059.36</v>
      </c>
      <c r="E1017" s="5" t="n">
        <v>0</v>
      </c>
      <c r="F1017" s="4" t="inlineStr">
        <is>
          <t>Cadastro sem aprovacao ou aprovado pelo proprio cadastrador</t>
        </is>
      </c>
    </row>
    <row r="1018">
      <c r="A1018" s="4" t="inlineStr">
        <is>
          <t>T07_MAKER_CHECKER</t>
        </is>
      </c>
      <c r="B1018" s="4" t="inlineStr">
        <is>
          <t>IMB-0424035</t>
        </is>
      </c>
      <c r="C1018" s="4" t="inlineStr">
        <is>
          <t>ALMOXARIFADO_INVERSOES_FIXAS</t>
        </is>
      </c>
      <c r="D1018" s="5" t="n">
        <v>754.11</v>
      </c>
      <c r="E1018" s="5" t="n">
        <v>0</v>
      </c>
      <c r="F1018" s="4" t="inlineStr">
        <is>
          <t>Cadastro sem aprovacao ou aprovado pelo proprio cadastrador</t>
        </is>
      </c>
    </row>
    <row r="1019">
      <c r="A1019" s="4" t="inlineStr">
        <is>
          <t>T07_MAKER_CHECKER</t>
        </is>
      </c>
      <c r="B1019" s="4" t="inlineStr">
        <is>
          <t>IMB-0424695</t>
        </is>
      </c>
      <c r="C1019" s="4" t="inlineStr">
        <is>
          <t>DESENVOLVIMENTO_CAMPOS</t>
        </is>
      </c>
      <c r="D1019" s="5" t="n">
        <v>1603.67</v>
      </c>
      <c r="E1019" s="5" t="n">
        <v>0</v>
      </c>
      <c r="F1019" s="4" t="inlineStr">
        <is>
          <t>Cadastro sem aprovacao ou aprovado pelo proprio cadastrador</t>
        </is>
      </c>
    </row>
    <row r="1020">
      <c r="A1020" s="4" t="inlineStr">
        <is>
          <t>T07_MAKER_CHECKER</t>
        </is>
      </c>
      <c r="B1020" s="4" t="inlineStr">
        <is>
          <t>IMB-0425858</t>
        </is>
      </c>
      <c r="C1020" s="4" t="inlineStr">
        <is>
          <t>DESENVOLVIMENTO_CAMPOS</t>
        </is>
      </c>
      <c r="D1020" s="5" t="n">
        <v>203.34</v>
      </c>
      <c r="E1020" s="5" t="n">
        <v>0</v>
      </c>
      <c r="F1020" s="4" t="inlineStr">
        <is>
          <t>Cadastro sem aprovacao ou aprovado pelo proprio cadastrador</t>
        </is>
      </c>
    </row>
    <row r="1021">
      <c r="A1021" s="4" t="inlineStr">
        <is>
          <t>T07_MAKER_CHECKER</t>
        </is>
      </c>
      <c r="B1021" s="4" t="inlineStr">
        <is>
          <t>IMB-0426406</t>
        </is>
      </c>
      <c r="C1021" s="4" t="inlineStr">
        <is>
          <t>OUTROS</t>
        </is>
      </c>
      <c r="D1021" s="5" t="n">
        <v>1125.18</v>
      </c>
      <c r="E1021" s="5" t="n">
        <v>0</v>
      </c>
      <c r="F1021" s="4" t="inlineStr">
        <is>
          <t>Cadastro sem aprovacao ou aprovado pelo proprio cadastrador</t>
        </is>
      </c>
    </row>
    <row r="1022">
      <c r="A1022" s="4" t="inlineStr">
        <is>
          <t>T07_MAKER_CHECKER</t>
        </is>
      </c>
      <c r="B1022" s="4" t="inlineStr">
        <is>
          <t>IMB-0429946</t>
        </is>
      </c>
      <c r="C1022" s="4" t="inlineStr">
        <is>
          <t>ALMOXARIFADO_INVERSOES_FIXAS</t>
        </is>
      </c>
      <c r="D1022" s="5" t="n">
        <v>952.34</v>
      </c>
      <c r="E1022" s="5" t="n">
        <v>0</v>
      </c>
      <c r="F1022" s="4" t="inlineStr">
        <is>
          <t>Cadastro sem aprovacao ou aprovado pelo proprio cadastrador</t>
        </is>
      </c>
    </row>
    <row r="1023">
      <c r="A1023" s="4" t="inlineStr">
        <is>
          <t>T07_MAKER_CHECKER</t>
        </is>
      </c>
      <c r="B1023" s="4" t="inlineStr">
        <is>
          <t>IMB-0430081</t>
        </is>
      </c>
      <c r="C1023" s="4" t="inlineStr">
        <is>
          <t>ALMOXARIFADO_INVERSOES_FIXAS</t>
        </is>
      </c>
      <c r="D1023" s="5" t="n">
        <v>444.82</v>
      </c>
      <c r="E1023" s="5" t="n">
        <v>0</v>
      </c>
      <c r="F1023" s="4" t="inlineStr">
        <is>
          <t>Cadastro sem aprovacao ou aprovado pelo proprio cadastrador</t>
        </is>
      </c>
    </row>
    <row r="1024">
      <c r="A1024" s="4" t="inlineStr">
        <is>
          <t>T07_MAKER_CHECKER</t>
        </is>
      </c>
      <c r="B1024" s="4" t="inlineStr">
        <is>
          <t>IMB-0431558</t>
        </is>
      </c>
      <c r="C1024" s="4" t="inlineStr">
        <is>
          <t>ALMOXARIFADO_INVERSOES_FIXAS</t>
        </is>
      </c>
      <c r="D1024" s="5" t="n">
        <v>11070.93</v>
      </c>
      <c r="E1024" s="5" t="n">
        <v>0</v>
      </c>
      <c r="F1024" s="4" t="inlineStr">
        <is>
          <t>Cadastro sem aprovacao ou aprovado pelo proprio cadastrador</t>
        </is>
      </c>
    </row>
    <row r="1025">
      <c r="A1025" s="4" t="inlineStr">
        <is>
          <t>T07_MAKER_CHECKER</t>
        </is>
      </c>
      <c r="B1025" s="4" t="inlineStr">
        <is>
          <t>IMB-0431684</t>
        </is>
      </c>
      <c r="C1025" s="4" t="inlineStr">
        <is>
          <t>DESENVOLVIMENTO_CAMPOS</t>
        </is>
      </c>
      <c r="D1025" s="5" t="n">
        <v>798.35</v>
      </c>
      <c r="E1025" s="5" t="n">
        <v>0</v>
      </c>
      <c r="F1025" s="4" t="inlineStr">
        <is>
          <t>Cadastro sem aprovacao ou aprovado pelo proprio cadastrador</t>
        </is>
      </c>
    </row>
    <row r="1026">
      <c r="A1026" s="4" t="inlineStr">
        <is>
          <t>T07_MAKER_CHECKER</t>
        </is>
      </c>
      <c r="B1026" s="4" t="inlineStr">
        <is>
          <t>IMB-0432759</t>
        </is>
      </c>
      <c r="C1026" s="4" t="inlineStr">
        <is>
          <t>ALMOXARIFADO_INVERSOES_FIXAS</t>
        </is>
      </c>
      <c r="D1026" s="5" t="n">
        <v>4533.88</v>
      </c>
      <c r="E1026" s="5" t="n">
        <v>0</v>
      </c>
      <c r="F1026" s="4" t="inlineStr">
        <is>
          <t>Cadastro sem aprovacao ou aprovado pelo proprio cadastrador</t>
        </is>
      </c>
    </row>
    <row r="1027">
      <c r="A1027" s="4" t="inlineStr">
        <is>
          <t>T07_MAKER_CHECKER</t>
        </is>
      </c>
      <c r="B1027" s="4" t="inlineStr">
        <is>
          <t>IMB-0433382</t>
        </is>
      </c>
      <c r="C1027" s="4" t="inlineStr">
        <is>
          <t>ALMOXARIFADO_INVERSOES_FIXAS</t>
        </is>
      </c>
      <c r="D1027" s="5" t="n">
        <v>250.7</v>
      </c>
      <c r="E1027" s="5" t="n">
        <v>0</v>
      </c>
      <c r="F1027" s="4" t="inlineStr">
        <is>
          <t>Cadastro sem aprovacao ou aprovado pelo proprio cadastrador</t>
        </is>
      </c>
    </row>
    <row r="1028">
      <c r="A1028" s="4" t="inlineStr">
        <is>
          <t>T07_MAKER_CHECKER</t>
        </is>
      </c>
      <c r="B1028" s="4" t="inlineStr">
        <is>
          <t>IMB-0433684</t>
        </is>
      </c>
      <c r="C1028" s="4" t="inlineStr">
        <is>
          <t>DESENVOLVIMENTO_CAMPOS</t>
        </is>
      </c>
      <c r="D1028" s="5" t="n">
        <v>912.9400000000001</v>
      </c>
      <c r="E1028" s="5" t="n">
        <v>0</v>
      </c>
      <c r="F1028" s="4" t="inlineStr">
        <is>
          <t>Cadastro sem aprovacao ou aprovado pelo proprio cadastrador</t>
        </is>
      </c>
    </row>
    <row r="1029">
      <c r="A1029" s="4" t="inlineStr">
        <is>
          <t>T07_MAKER_CHECKER</t>
        </is>
      </c>
      <c r="B1029" s="4" t="inlineStr">
        <is>
          <t>IMB-0434290</t>
        </is>
      </c>
      <c r="C1029" s="4" t="inlineStr">
        <is>
          <t>ADIANTAMENTOS</t>
        </is>
      </c>
      <c r="D1029" s="5" t="n">
        <v>1633.75</v>
      </c>
      <c r="E1029" s="5" t="n">
        <v>0</v>
      </c>
      <c r="F1029" s="4" t="inlineStr">
        <is>
          <t>Cadastro sem aprovacao ou aprovado pelo proprio cadastrador</t>
        </is>
      </c>
    </row>
    <row r="1030">
      <c r="A1030" s="4" t="inlineStr">
        <is>
          <t>T07_MAKER_CHECKER</t>
        </is>
      </c>
      <c r="B1030" s="4" t="inlineStr">
        <is>
          <t>IMB-0435296</t>
        </is>
      </c>
      <c r="C1030" s="4" t="inlineStr">
        <is>
          <t>ALMOXARIFADO_INVERSOES_FIXAS</t>
        </is>
      </c>
      <c r="D1030" s="5" t="n">
        <v>281.78</v>
      </c>
      <c r="E1030" s="5" t="n">
        <v>0</v>
      </c>
      <c r="F1030" s="4" t="inlineStr">
        <is>
          <t>Cadastro sem aprovacao ou aprovado pelo proprio cadastrador</t>
        </is>
      </c>
    </row>
    <row r="1031">
      <c r="A1031" s="4" t="inlineStr">
        <is>
          <t>T07_MAKER_CHECKER</t>
        </is>
      </c>
      <c r="B1031" s="4" t="inlineStr">
        <is>
          <t>IMB-0435667</t>
        </is>
      </c>
      <c r="C1031" s="4" t="inlineStr">
        <is>
          <t>DESENVOLVIMENTO_CAMPOS</t>
        </is>
      </c>
      <c r="D1031" s="5" t="n">
        <v>5437.72</v>
      </c>
      <c r="E1031" s="5" t="n">
        <v>0</v>
      </c>
      <c r="F1031" s="4" t="inlineStr">
        <is>
          <t>Cadastro sem aprovacao ou aprovado pelo proprio cadastrador</t>
        </is>
      </c>
    </row>
    <row r="1032">
      <c r="A1032" s="4" t="inlineStr">
        <is>
          <t>T07_MAKER_CHECKER</t>
        </is>
      </c>
      <c r="B1032" s="4" t="inlineStr">
        <is>
          <t>IMB-0436130</t>
        </is>
      </c>
      <c r="C1032" s="4" t="inlineStr">
        <is>
          <t>DESENVOLVIMENTO_CAMPOS</t>
        </is>
      </c>
      <c r="D1032" s="5" t="n">
        <v>154.83</v>
      </c>
      <c r="E1032" s="5" t="n">
        <v>0</v>
      </c>
      <c r="F1032" s="4" t="inlineStr">
        <is>
          <t>Cadastro sem aprovacao ou aprovado pelo proprio cadastrador</t>
        </is>
      </c>
    </row>
    <row r="1033">
      <c r="A1033" s="4" t="inlineStr">
        <is>
          <t>T07_MAKER_CHECKER</t>
        </is>
      </c>
      <c r="B1033" s="4" t="inlineStr">
        <is>
          <t>IMB-0436596</t>
        </is>
      </c>
      <c r="C1033" s="4" t="inlineStr">
        <is>
          <t>DESENVOLVIMENTO_CAMPOS</t>
        </is>
      </c>
      <c r="D1033" s="5" t="n">
        <v>222.71</v>
      </c>
      <c r="E1033" s="5" t="n">
        <v>0</v>
      </c>
      <c r="F1033" s="4" t="inlineStr">
        <is>
          <t>Cadastro sem aprovacao ou aprovado pelo proprio cadastrador</t>
        </is>
      </c>
    </row>
    <row r="1034">
      <c r="A1034" s="4" t="inlineStr">
        <is>
          <t>T07_MAKER_CHECKER</t>
        </is>
      </c>
      <c r="B1034" s="4" t="inlineStr">
        <is>
          <t>IMB-0437720</t>
        </is>
      </c>
      <c r="C1034" s="4" t="inlineStr">
        <is>
          <t>DESENVOLVIMENTO_CAMPOS</t>
        </is>
      </c>
      <c r="D1034" s="5" t="n">
        <v>707.08</v>
      </c>
      <c r="E1034" s="5" t="n">
        <v>0</v>
      </c>
      <c r="F1034" s="4" t="inlineStr">
        <is>
          <t>Cadastro sem aprovacao ou aprovado pelo proprio cadastrador</t>
        </is>
      </c>
    </row>
    <row r="1035">
      <c r="A1035" s="4" t="inlineStr">
        <is>
          <t>T07_MAKER_CHECKER</t>
        </is>
      </c>
      <c r="B1035" s="4" t="inlineStr">
        <is>
          <t>IMB-0438453</t>
        </is>
      </c>
      <c r="C1035" s="4" t="inlineStr">
        <is>
          <t>ALMOXARIFADO_INVERSOES_FIXAS</t>
        </is>
      </c>
      <c r="D1035" s="5" t="n">
        <v>2093.88</v>
      </c>
      <c r="E1035" s="5" t="n">
        <v>0</v>
      </c>
      <c r="F1035" s="4" t="inlineStr">
        <is>
          <t>Cadastro sem aprovacao ou aprovado pelo proprio cadastrador</t>
        </is>
      </c>
    </row>
    <row r="1036">
      <c r="A1036" s="4" t="inlineStr">
        <is>
          <t>T07_MAKER_CHECKER</t>
        </is>
      </c>
      <c r="B1036" s="4" t="inlineStr">
        <is>
          <t>IMB-0438958</t>
        </is>
      </c>
      <c r="C1036" s="4" t="inlineStr">
        <is>
          <t>DESENVOLVIMENTO_CAMPOS</t>
        </is>
      </c>
      <c r="D1036" s="5" t="n">
        <v>12889.28</v>
      </c>
      <c r="E1036" s="5" t="n">
        <v>0</v>
      </c>
      <c r="F1036" s="4" t="inlineStr">
        <is>
          <t>Cadastro sem aprovacao ou aprovado pelo proprio cadastrador</t>
        </is>
      </c>
    </row>
    <row r="1037">
      <c r="A1037" s="4" t="inlineStr">
        <is>
          <t>T07_MAKER_CHECKER</t>
        </is>
      </c>
      <c r="B1037" s="4" t="inlineStr">
        <is>
          <t>IMB-0440962</t>
        </is>
      </c>
      <c r="C1037" s="4" t="inlineStr">
        <is>
          <t>DESENVOLVIMENTO_CAMPOS</t>
        </is>
      </c>
      <c r="D1037" s="5" t="n">
        <v>1857.44</v>
      </c>
      <c r="E1037" s="5" t="n">
        <v>0</v>
      </c>
      <c r="F1037" s="4" t="inlineStr">
        <is>
          <t>Cadastro sem aprovacao ou aprovado pelo proprio cadastrador</t>
        </is>
      </c>
    </row>
    <row r="1038">
      <c r="A1038" s="4" t="inlineStr">
        <is>
          <t>T07_MAKER_CHECKER</t>
        </is>
      </c>
      <c r="B1038" s="4" t="inlineStr">
        <is>
          <t>IMB-0445372</t>
        </is>
      </c>
      <c r="C1038" s="4" t="inlineStr">
        <is>
          <t>DESENVOLVIMENTO_CAMPOS</t>
        </is>
      </c>
      <c r="D1038" s="5" t="n">
        <v>122689.91</v>
      </c>
      <c r="E1038" s="5" t="n">
        <v>0</v>
      </c>
      <c r="F1038" s="4" t="inlineStr">
        <is>
          <t>Cadastro sem aprovacao ou aprovado pelo proprio cadastrador</t>
        </is>
      </c>
    </row>
    <row r="1039">
      <c r="A1039" s="4" t="inlineStr">
        <is>
          <t>T07_MAKER_CHECKER</t>
        </is>
      </c>
      <c r="B1039" s="4" t="inlineStr">
        <is>
          <t>IMB-0448141</t>
        </is>
      </c>
      <c r="C1039" s="4" t="inlineStr">
        <is>
          <t>DESENVOLVIMENTO_CAMPOS</t>
        </is>
      </c>
      <c r="D1039" s="5" t="n">
        <v>2907.94</v>
      </c>
      <c r="E1039" s="5" t="n">
        <v>0</v>
      </c>
      <c r="F1039" s="4" t="inlineStr">
        <is>
          <t>Cadastro sem aprovacao ou aprovado pelo proprio cadastrador</t>
        </is>
      </c>
    </row>
    <row r="1040">
      <c r="A1040" s="4" t="inlineStr">
        <is>
          <t>T07_MAKER_CHECKER</t>
        </is>
      </c>
      <c r="B1040" s="4" t="inlineStr">
        <is>
          <t>IMB-0448561</t>
        </is>
      </c>
      <c r="C1040" s="4" t="inlineStr">
        <is>
          <t>DESENVOLVIMENTO_CAMPOS</t>
        </is>
      </c>
      <c r="D1040" s="5" t="n">
        <v>117.14</v>
      </c>
      <c r="E1040" s="5" t="n">
        <v>0</v>
      </c>
      <c r="F1040" s="4" t="inlineStr">
        <is>
          <t>Cadastro sem aprovacao ou aprovado pelo proprio cadastrador</t>
        </is>
      </c>
    </row>
    <row r="1041">
      <c r="A1041" s="4" t="inlineStr">
        <is>
          <t>T07_MAKER_CHECKER</t>
        </is>
      </c>
      <c r="B1041" s="4" t="inlineStr">
        <is>
          <t>IMB-0448609</t>
        </is>
      </c>
      <c r="C1041" s="4" t="inlineStr">
        <is>
          <t>ALMOXARIFADO_INVERSOES_FIXAS</t>
        </is>
      </c>
      <c r="D1041" s="5" t="n">
        <v>1425.07</v>
      </c>
      <c r="E1041" s="5" t="n">
        <v>0</v>
      </c>
      <c r="F1041" s="4" t="inlineStr">
        <is>
          <t>Cadastro sem aprovacao ou aprovado pelo proprio cadastrador</t>
        </is>
      </c>
    </row>
    <row r="1042">
      <c r="A1042" s="4" t="inlineStr">
        <is>
          <t>T07_MAKER_CHECKER</t>
        </is>
      </c>
      <c r="B1042" s="4" t="inlineStr">
        <is>
          <t>IMB-0449070</t>
        </is>
      </c>
      <c r="C1042" s="4" t="inlineStr">
        <is>
          <t>ALMOXARIFADO_INVERSOES_FIXAS</t>
        </is>
      </c>
      <c r="D1042" s="5" t="n">
        <v>1623.78</v>
      </c>
      <c r="E1042" s="5" t="n">
        <v>0</v>
      </c>
      <c r="F1042" s="4" t="inlineStr">
        <is>
          <t>Cadastro sem aprovacao ou aprovado pelo proprio cadastrador</t>
        </is>
      </c>
    </row>
    <row r="1043">
      <c r="A1043" s="4" t="inlineStr">
        <is>
          <t>T07_MAKER_CHECKER</t>
        </is>
      </c>
      <c r="B1043" s="4" t="inlineStr">
        <is>
          <t>IMB-0450197</t>
        </is>
      </c>
      <c r="C1043" s="4" t="inlineStr">
        <is>
          <t>DESENVOLVIMENTO_CAMPOS</t>
        </is>
      </c>
      <c r="D1043" s="5" t="n">
        <v>409.44</v>
      </c>
      <c r="E1043" s="5" t="n">
        <v>0</v>
      </c>
      <c r="F1043" s="4" t="inlineStr">
        <is>
          <t>Cadastro sem aprovacao ou aprovado pelo proprio cadastrador</t>
        </is>
      </c>
    </row>
    <row r="1044">
      <c r="A1044" s="4" t="inlineStr">
        <is>
          <t>T07_MAKER_CHECKER</t>
        </is>
      </c>
      <c r="B1044" s="4" t="inlineStr">
        <is>
          <t>IMB-0450351</t>
        </is>
      </c>
      <c r="C1044" s="4" t="inlineStr">
        <is>
          <t>DESENVOLVIMENTO_CAMPOS</t>
        </is>
      </c>
      <c r="D1044" s="5" t="n">
        <v>709.96</v>
      </c>
      <c r="E1044" s="5" t="n">
        <v>0</v>
      </c>
      <c r="F1044" s="4" t="inlineStr">
        <is>
          <t>Cadastro sem aprovacao ou aprovado pelo proprio cadastrador</t>
        </is>
      </c>
    </row>
    <row r="1045">
      <c r="A1045" s="4" t="inlineStr">
        <is>
          <t>T07_MAKER_CHECKER</t>
        </is>
      </c>
      <c r="B1045" s="4" t="inlineStr">
        <is>
          <t>IMB-0452273</t>
        </is>
      </c>
      <c r="C1045" s="4" t="inlineStr">
        <is>
          <t>ALMOXARIFADO_INVERSOES_FIXAS</t>
        </is>
      </c>
      <c r="D1045" s="5" t="n">
        <v>998.5</v>
      </c>
      <c r="E1045" s="5" t="n">
        <v>0</v>
      </c>
      <c r="F1045" s="4" t="inlineStr">
        <is>
          <t>Cadastro sem aprovacao ou aprovado pelo proprio cadastrador</t>
        </is>
      </c>
    </row>
    <row r="1046">
      <c r="A1046" s="4" t="inlineStr">
        <is>
          <t>T07_MAKER_CHECKER</t>
        </is>
      </c>
      <c r="B1046" s="4" t="inlineStr">
        <is>
          <t>IMB-0453209</t>
        </is>
      </c>
      <c r="C1046" s="4" t="inlineStr">
        <is>
          <t>ALMOXARIFADO_INVERSOES_FIXAS</t>
        </is>
      </c>
      <c r="D1046" s="5" t="n">
        <v>626.63</v>
      </c>
      <c r="E1046" s="5" t="n">
        <v>0</v>
      </c>
      <c r="F1046" s="4" t="inlineStr">
        <is>
          <t>Cadastro sem aprovacao ou aprovado pelo proprio cadastrador</t>
        </is>
      </c>
    </row>
    <row r="1047">
      <c r="A1047" s="4" t="inlineStr">
        <is>
          <t>T07_MAKER_CHECKER</t>
        </is>
      </c>
      <c r="B1047" s="4" t="inlineStr">
        <is>
          <t>IMB-0453771</t>
        </is>
      </c>
      <c r="C1047" s="4" t="inlineStr">
        <is>
          <t>ALMOXARIFADO_INVERSOES_FIXAS</t>
        </is>
      </c>
      <c r="D1047" s="5" t="n">
        <v>1971.61</v>
      </c>
      <c r="E1047" s="5" t="n">
        <v>0</v>
      </c>
      <c r="F1047" s="4" t="inlineStr">
        <is>
          <t>Cadastro sem aprovacao ou aprovado pelo proprio cadastrador</t>
        </is>
      </c>
    </row>
    <row r="1048">
      <c r="A1048" s="4" t="inlineStr">
        <is>
          <t>T07_MAKER_CHECKER</t>
        </is>
      </c>
      <c r="B1048" s="4" t="inlineStr">
        <is>
          <t>IMB-0457371</t>
        </is>
      </c>
      <c r="C1048" s="4" t="inlineStr">
        <is>
          <t>DESENVOLVIMENTO_CAMPOS</t>
        </is>
      </c>
      <c r="D1048" s="5" t="n">
        <v>565.72</v>
      </c>
      <c r="E1048" s="5" t="n">
        <v>0</v>
      </c>
      <c r="F1048" s="4" t="inlineStr">
        <is>
          <t>Cadastro sem aprovacao ou aprovado pelo proprio cadastrador</t>
        </is>
      </c>
    </row>
    <row r="1049">
      <c r="A1049" s="4" t="inlineStr">
        <is>
          <t>T07_MAKER_CHECKER</t>
        </is>
      </c>
      <c r="B1049" s="4" t="inlineStr">
        <is>
          <t>IMB-0458920</t>
        </is>
      </c>
      <c r="C1049" s="4" t="inlineStr">
        <is>
          <t>ALMOXARIFADO_INVERSOES_FIXAS</t>
        </is>
      </c>
      <c r="D1049" s="5" t="n">
        <v>1212.85</v>
      </c>
      <c r="E1049" s="5" t="n">
        <v>0</v>
      </c>
      <c r="F1049" s="4" t="inlineStr">
        <is>
          <t>Cadastro sem aprovacao ou aprovado pelo proprio cadastrador</t>
        </is>
      </c>
    </row>
    <row r="1050">
      <c r="A1050" s="4" t="inlineStr">
        <is>
          <t>T07_MAKER_CHECKER</t>
        </is>
      </c>
      <c r="B1050" s="4" t="inlineStr">
        <is>
          <t>IMB-0458965</t>
        </is>
      </c>
      <c r="C1050" s="4" t="inlineStr">
        <is>
          <t>DESENVOLVIMENTO_CAMPOS</t>
        </is>
      </c>
      <c r="D1050" s="5" t="n">
        <v>181279.17</v>
      </c>
      <c r="E1050" s="5" t="n">
        <v>0</v>
      </c>
      <c r="F1050" s="4" t="inlineStr">
        <is>
          <t>Cadastro sem aprovacao ou aprovado pelo proprio cadastrador</t>
        </is>
      </c>
    </row>
    <row r="1051">
      <c r="A1051" s="4" t="inlineStr">
        <is>
          <t>T07_MAKER_CHECKER</t>
        </is>
      </c>
      <c r="B1051" s="4" t="inlineStr">
        <is>
          <t>IMB-0459704</t>
        </is>
      </c>
      <c r="C1051" s="4" t="inlineStr">
        <is>
          <t>ALMOXARIFADO_INVERSOES_FIXAS</t>
        </is>
      </c>
      <c r="D1051" s="5" t="n">
        <v>1129.99</v>
      </c>
      <c r="E1051" s="5" t="n">
        <v>0</v>
      </c>
      <c r="F1051" s="4" t="inlineStr">
        <is>
          <t>Cadastro sem aprovacao ou aprovado pelo proprio cadastrador</t>
        </is>
      </c>
    </row>
    <row r="1052">
      <c r="A1052" s="4" t="inlineStr">
        <is>
          <t>T07_MAKER_CHECKER</t>
        </is>
      </c>
      <c r="B1052" s="4" t="inlineStr">
        <is>
          <t>IMB-0460559</t>
        </is>
      </c>
      <c r="C1052" s="4" t="inlineStr">
        <is>
          <t>DESENVOLVIMENTO_CAMPOS</t>
        </is>
      </c>
      <c r="D1052" s="5" t="n">
        <v>100.98</v>
      </c>
      <c r="E1052" s="5" t="n">
        <v>0</v>
      </c>
      <c r="F1052" s="4" t="inlineStr">
        <is>
          <t>Cadastro sem aprovacao ou aprovado pelo proprio cadastrador</t>
        </is>
      </c>
    </row>
    <row r="1053">
      <c r="A1053" s="4" t="inlineStr">
        <is>
          <t>T07_MAKER_CHECKER</t>
        </is>
      </c>
      <c r="B1053" s="4" t="inlineStr">
        <is>
          <t>IMB-0461104</t>
        </is>
      </c>
      <c r="C1053" s="4" t="inlineStr">
        <is>
          <t>ALMOXARIFADO_INVERSOES_FIXAS</t>
        </is>
      </c>
      <c r="D1053" s="5" t="n">
        <v>620.98</v>
      </c>
      <c r="E1053" s="5" t="n">
        <v>0</v>
      </c>
      <c r="F1053" s="4" t="inlineStr">
        <is>
          <t>Cadastro sem aprovacao ou aprovado pelo proprio cadastrador</t>
        </is>
      </c>
    </row>
    <row r="1054">
      <c r="A1054" s="4" t="inlineStr">
        <is>
          <t>T07_MAKER_CHECKER</t>
        </is>
      </c>
      <c r="B1054" s="4" t="inlineStr">
        <is>
          <t>IMB-0462369</t>
        </is>
      </c>
      <c r="C1054" s="4" t="inlineStr">
        <is>
          <t>OUTROS</t>
        </is>
      </c>
      <c r="D1054" s="5" t="n">
        <v>208.78</v>
      </c>
      <c r="E1054" s="5" t="n">
        <v>0</v>
      </c>
      <c r="F1054" s="4" t="inlineStr">
        <is>
          <t>Cadastro sem aprovacao ou aprovado pelo proprio cadastrador</t>
        </is>
      </c>
    </row>
    <row r="1055">
      <c r="A1055" s="4" t="inlineStr">
        <is>
          <t>T07_MAKER_CHECKER</t>
        </is>
      </c>
      <c r="B1055" s="4" t="inlineStr">
        <is>
          <t>IMB-0463500</t>
        </is>
      </c>
      <c r="C1055" s="4" t="inlineStr">
        <is>
          <t>MAQUINAS_EQUIPAMENTOS</t>
        </is>
      </c>
      <c r="D1055" s="5" t="n">
        <v>10452.02</v>
      </c>
      <c r="E1055" s="5" t="n">
        <v>0</v>
      </c>
      <c r="F1055" s="4" t="inlineStr">
        <is>
          <t>Cadastro sem aprovacao ou aprovado pelo proprio cadastrador</t>
        </is>
      </c>
    </row>
    <row r="1056">
      <c r="A1056" s="4" t="inlineStr">
        <is>
          <t>T07_MAKER_CHECKER</t>
        </is>
      </c>
      <c r="B1056" s="4" t="inlineStr">
        <is>
          <t>IMB-0463686</t>
        </is>
      </c>
      <c r="C1056" s="4" t="inlineStr">
        <is>
          <t>DESENVOLVIMENTO_CAMPOS</t>
        </is>
      </c>
      <c r="D1056" s="5" t="n">
        <v>11851.27</v>
      </c>
      <c r="E1056" s="5" t="n">
        <v>0</v>
      </c>
      <c r="F1056" s="4" t="inlineStr">
        <is>
          <t>Cadastro sem aprovacao ou aprovado pelo proprio cadastrador</t>
        </is>
      </c>
    </row>
    <row r="1057">
      <c r="A1057" s="4" t="inlineStr">
        <is>
          <t>T07_MAKER_CHECKER</t>
        </is>
      </c>
      <c r="B1057" s="4" t="inlineStr">
        <is>
          <t>IMB-0465732</t>
        </is>
      </c>
      <c r="C1057" s="4" t="inlineStr">
        <is>
          <t>OUTROS</t>
        </is>
      </c>
      <c r="D1057" s="5" t="n">
        <v>67.62</v>
      </c>
      <c r="E1057" s="5" t="n">
        <v>0</v>
      </c>
      <c r="F1057" s="4" t="inlineStr">
        <is>
          <t>Cadastro sem aprovacao ou aprovado pelo proprio cadastrador</t>
        </is>
      </c>
    </row>
    <row r="1058">
      <c r="A1058" s="4" t="inlineStr">
        <is>
          <t>T07_MAKER_CHECKER</t>
        </is>
      </c>
      <c r="B1058" s="4" t="inlineStr">
        <is>
          <t>IMB-0465950</t>
        </is>
      </c>
      <c r="C1058" s="4" t="inlineStr">
        <is>
          <t>ALMOXARIFADO_INVERSOES_FIXAS</t>
        </is>
      </c>
      <c r="D1058" s="5" t="n">
        <v>118.99</v>
      </c>
      <c r="E1058" s="5" t="n">
        <v>0</v>
      </c>
      <c r="F1058" s="4" t="inlineStr">
        <is>
          <t>Cadastro sem aprovacao ou aprovado pelo proprio cadastrador</t>
        </is>
      </c>
    </row>
    <row r="1059">
      <c r="A1059" s="4" t="inlineStr">
        <is>
          <t>T07_MAKER_CHECKER</t>
        </is>
      </c>
      <c r="B1059" s="4" t="inlineStr">
        <is>
          <t>IMB-0466155</t>
        </is>
      </c>
      <c r="C1059" s="4" t="inlineStr">
        <is>
          <t>DESENVOLVIMENTO_CAMPOS</t>
        </is>
      </c>
      <c r="D1059" s="5" t="n">
        <v>20296.03</v>
      </c>
      <c r="E1059" s="5" t="n">
        <v>0</v>
      </c>
      <c r="F1059" s="4" t="inlineStr">
        <is>
          <t>Cadastro sem aprovacao ou aprovado pelo proprio cadastrador</t>
        </is>
      </c>
    </row>
    <row r="1060">
      <c r="A1060" s="4" t="inlineStr">
        <is>
          <t>T07_MAKER_CHECKER</t>
        </is>
      </c>
      <c r="B1060" s="4" t="inlineStr">
        <is>
          <t>IMB-0466265</t>
        </is>
      </c>
      <c r="C1060" s="4" t="inlineStr">
        <is>
          <t>MAQUINAS_EQUIPAMENTOS</t>
        </is>
      </c>
      <c r="D1060" s="5" t="n">
        <v>1148.34</v>
      </c>
      <c r="E1060" s="5" t="n">
        <v>0</v>
      </c>
      <c r="F1060" s="4" t="inlineStr">
        <is>
          <t>Cadastro sem aprovacao ou aprovado pelo proprio cadastrador</t>
        </is>
      </c>
    </row>
    <row r="1061">
      <c r="A1061" s="4" t="inlineStr">
        <is>
          <t>T07_MAKER_CHECKER</t>
        </is>
      </c>
      <c r="B1061" s="4" t="inlineStr">
        <is>
          <t>IMB-0466410</t>
        </is>
      </c>
      <c r="C1061" s="4" t="inlineStr">
        <is>
          <t>DESENVOLVIMENTO_CAMPOS</t>
        </is>
      </c>
      <c r="D1061" s="5" t="n">
        <v>4998.63</v>
      </c>
      <c r="E1061" s="5" t="n">
        <v>0</v>
      </c>
      <c r="F1061" s="4" t="inlineStr">
        <is>
          <t>Cadastro sem aprovacao ou aprovado pelo proprio cadastrador</t>
        </is>
      </c>
    </row>
    <row r="1062">
      <c r="A1062" s="4" t="inlineStr">
        <is>
          <t>T07_MAKER_CHECKER</t>
        </is>
      </c>
      <c r="B1062" s="4" t="inlineStr">
        <is>
          <t>IMB-0466764</t>
        </is>
      </c>
      <c r="C1062" s="4" t="inlineStr">
        <is>
          <t>ALMOXARIFADO_INVERSOES_FIXAS</t>
        </is>
      </c>
      <c r="D1062" s="5" t="n">
        <v>2817.09</v>
      </c>
      <c r="E1062" s="5" t="n">
        <v>0</v>
      </c>
      <c r="F1062" s="4" t="inlineStr">
        <is>
          <t>Cadastro sem aprovacao ou aprovado pelo proprio cadastrador</t>
        </is>
      </c>
    </row>
    <row r="1063">
      <c r="A1063" s="4" t="inlineStr">
        <is>
          <t>T07_MAKER_CHECKER</t>
        </is>
      </c>
      <c r="B1063" s="4" t="inlineStr">
        <is>
          <t>IMB-0467104</t>
        </is>
      </c>
      <c r="C1063" s="4" t="inlineStr">
        <is>
          <t>DESENVOLVIMENTO_CAMPOS</t>
        </is>
      </c>
      <c r="D1063" s="5" t="n">
        <v>755.27</v>
      </c>
      <c r="E1063" s="5" t="n">
        <v>0</v>
      </c>
      <c r="F1063" s="4" t="inlineStr">
        <is>
          <t>Cadastro sem aprovacao ou aprovado pelo proprio cadastrador</t>
        </is>
      </c>
    </row>
    <row r="1064">
      <c r="A1064" s="4" t="inlineStr">
        <is>
          <t>T07_MAKER_CHECKER</t>
        </is>
      </c>
      <c r="B1064" s="4" t="inlineStr">
        <is>
          <t>IMB-0468294</t>
        </is>
      </c>
      <c r="C1064" s="4" t="inlineStr">
        <is>
          <t>DESENVOLVIMENTO_CAMPOS</t>
        </is>
      </c>
      <c r="D1064" s="5" t="n">
        <v>145.02</v>
      </c>
      <c r="E1064" s="5" t="n">
        <v>0</v>
      </c>
      <c r="F1064" s="4" t="inlineStr">
        <is>
          <t>Cadastro sem aprovacao ou aprovado pelo proprio cadastrador</t>
        </is>
      </c>
    </row>
    <row r="1065">
      <c r="A1065" s="4" t="inlineStr">
        <is>
          <t>T07_MAKER_CHECKER</t>
        </is>
      </c>
      <c r="B1065" s="4" t="inlineStr">
        <is>
          <t>IMB-0468485</t>
        </is>
      </c>
      <c r="C1065" s="4" t="inlineStr">
        <is>
          <t>DESENVOLVIMENTO_CAMPOS</t>
        </is>
      </c>
      <c r="D1065" s="5" t="n">
        <v>958.35</v>
      </c>
      <c r="E1065" s="5" t="n">
        <v>0</v>
      </c>
      <c r="F1065" s="4" t="inlineStr">
        <is>
          <t>Cadastro sem aprovacao ou aprovado pelo proprio cadastrador</t>
        </is>
      </c>
    </row>
    <row r="1066">
      <c r="A1066" s="4" t="inlineStr">
        <is>
          <t>T07_MAKER_CHECKER</t>
        </is>
      </c>
      <c r="B1066" s="4" t="inlineStr">
        <is>
          <t>IMB-0469768</t>
        </is>
      </c>
      <c r="C1066" s="4" t="inlineStr">
        <is>
          <t>ALMOXARIFADO_INVERSOES_FIXAS</t>
        </is>
      </c>
      <c r="D1066" s="5" t="n">
        <v>603.8099999999999</v>
      </c>
      <c r="E1066" s="5" t="n">
        <v>0</v>
      </c>
      <c r="F1066" s="4" t="inlineStr">
        <is>
          <t>Cadastro sem aprovacao ou aprovado pelo proprio cadastrador</t>
        </is>
      </c>
    </row>
    <row r="1067">
      <c r="A1067" s="4" t="inlineStr">
        <is>
          <t>T07_MAKER_CHECKER</t>
        </is>
      </c>
      <c r="B1067" s="4" t="inlineStr">
        <is>
          <t>IMB-0470178</t>
        </is>
      </c>
      <c r="C1067" s="4" t="inlineStr">
        <is>
          <t>DESENVOLVIMENTO_CAMPOS</t>
        </is>
      </c>
      <c r="D1067" s="5" t="n">
        <v>696.26</v>
      </c>
      <c r="E1067" s="5" t="n">
        <v>0</v>
      </c>
      <c r="F1067" s="4" t="inlineStr">
        <is>
          <t>Cadastro sem aprovacao ou aprovado pelo proprio cadastrador</t>
        </is>
      </c>
    </row>
    <row r="1068">
      <c r="A1068" s="4" t="inlineStr">
        <is>
          <t>T07_MAKER_CHECKER</t>
        </is>
      </c>
      <c r="B1068" s="4" t="inlineStr">
        <is>
          <t>IMB-0470996</t>
        </is>
      </c>
      <c r="C1068" s="4" t="inlineStr">
        <is>
          <t>DESENVOLVIMENTO_CAMPOS</t>
        </is>
      </c>
      <c r="D1068" s="5" t="n">
        <v>6724.17</v>
      </c>
      <c r="E1068" s="5" t="n">
        <v>0</v>
      </c>
      <c r="F1068" s="4" t="inlineStr">
        <is>
          <t>Cadastro sem aprovacao ou aprovado pelo proprio cadastrador</t>
        </is>
      </c>
    </row>
    <row r="1069">
      <c r="A1069" s="4" t="inlineStr">
        <is>
          <t>T07_MAKER_CHECKER</t>
        </is>
      </c>
      <c r="B1069" s="4" t="inlineStr">
        <is>
          <t>IMB-0471578</t>
        </is>
      </c>
      <c r="C1069" s="4" t="inlineStr">
        <is>
          <t>ALMOXARIFADO_INVERSOES_FIXAS</t>
        </is>
      </c>
      <c r="D1069" s="5" t="n">
        <v>2097.18</v>
      </c>
      <c r="E1069" s="5" t="n">
        <v>0</v>
      </c>
      <c r="F1069" s="4" t="inlineStr">
        <is>
          <t>Cadastro sem aprovacao ou aprovado pelo proprio cadastrador</t>
        </is>
      </c>
    </row>
    <row r="1070">
      <c r="A1070" s="4" t="inlineStr">
        <is>
          <t>T07_MAKER_CHECKER</t>
        </is>
      </c>
      <c r="B1070" s="4" t="inlineStr">
        <is>
          <t>IMB-0471958</t>
        </is>
      </c>
      <c r="C1070" s="4" t="inlineStr">
        <is>
          <t>ALMOXARIFADO_INVERSOES_FIXAS</t>
        </is>
      </c>
      <c r="D1070" s="5" t="n">
        <v>8050.35</v>
      </c>
      <c r="E1070" s="5" t="n">
        <v>0</v>
      </c>
      <c r="F1070" s="4" t="inlineStr">
        <is>
          <t>Cadastro sem aprovacao ou aprovado pelo proprio cadastrador</t>
        </is>
      </c>
    </row>
    <row r="1071">
      <c r="A1071" s="4" t="inlineStr">
        <is>
          <t>T07_MAKER_CHECKER</t>
        </is>
      </c>
      <c r="B1071" s="4" t="inlineStr">
        <is>
          <t>IMB-0472118</t>
        </is>
      </c>
      <c r="C1071" s="4" t="inlineStr">
        <is>
          <t>OUTROS</t>
        </is>
      </c>
      <c r="D1071" s="5" t="n">
        <v>482.47</v>
      </c>
      <c r="E1071" s="5" t="n">
        <v>0</v>
      </c>
      <c r="F1071" s="4" t="inlineStr">
        <is>
          <t>Cadastro sem aprovacao ou aprovado pelo proprio cadastrador</t>
        </is>
      </c>
    </row>
    <row r="1072">
      <c r="A1072" s="4" t="inlineStr">
        <is>
          <t>T07_MAKER_CHECKER</t>
        </is>
      </c>
      <c r="B1072" s="4" t="inlineStr">
        <is>
          <t>IMB-0473343</t>
        </is>
      </c>
      <c r="C1072" s="4" t="inlineStr">
        <is>
          <t>OUTROS</t>
        </is>
      </c>
      <c r="D1072" s="5" t="n">
        <v>202.81</v>
      </c>
      <c r="E1072" s="5" t="n">
        <v>0</v>
      </c>
      <c r="F1072" s="4" t="inlineStr">
        <is>
          <t>Cadastro sem aprovacao ou aprovado pelo proprio cadastrador</t>
        </is>
      </c>
    </row>
    <row r="1073">
      <c r="A1073" s="4" t="inlineStr">
        <is>
          <t>T07_MAKER_CHECKER</t>
        </is>
      </c>
      <c r="B1073" s="4" t="inlineStr">
        <is>
          <t>IMB-0473884</t>
        </is>
      </c>
      <c r="C1073" s="4" t="inlineStr">
        <is>
          <t>DESENVOLVIMENTO_CAMPOS</t>
        </is>
      </c>
      <c r="D1073" s="5" t="n">
        <v>139842.96</v>
      </c>
      <c r="E1073" s="5" t="n">
        <v>0</v>
      </c>
      <c r="F1073" s="4" t="inlineStr">
        <is>
          <t>Cadastro sem aprovacao ou aprovado pelo proprio cadastrador</t>
        </is>
      </c>
    </row>
    <row r="1074">
      <c r="A1074" s="4" t="inlineStr">
        <is>
          <t>T07_MAKER_CHECKER</t>
        </is>
      </c>
      <c r="B1074" s="4" t="inlineStr">
        <is>
          <t>IMB-0475940</t>
        </is>
      </c>
      <c r="C1074" s="4" t="inlineStr">
        <is>
          <t>IMOBILIZADO_EM_ANDAMENTO</t>
        </is>
      </c>
      <c r="D1074" s="5" t="n">
        <v>36073.96</v>
      </c>
      <c r="E1074" s="5" t="n">
        <v>0</v>
      </c>
      <c r="F1074" s="4" t="inlineStr">
        <is>
          <t>Cadastro sem aprovacao ou aprovado pelo proprio cadastrador</t>
        </is>
      </c>
    </row>
    <row r="1075">
      <c r="A1075" s="4" t="inlineStr">
        <is>
          <t>T07_MAKER_CHECKER</t>
        </is>
      </c>
      <c r="B1075" s="4" t="inlineStr">
        <is>
          <t>IMB-0476225</t>
        </is>
      </c>
      <c r="C1075" s="4" t="inlineStr">
        <is>
          <t>ALMOXARIFADO_INVERSOES_FIXAS</t>
        </is>
      </c>
      <c r="D1075" s="5" t="n">
        <v>716.01</v>
      </c>
      <c r="E1075" s="5" t="n">
        <v>0</v>
      </c>
      <c r="F1075" s="4" t="inlineStr">
        <is>
          <t>Cadastro sem aprovacao ou aprovado pelo proprio cadastrador</t>
        </is>
      </c>
    </row>
    <row r="1076">
      <c r="A1076" s="4" t="inlineStr">
        <is>
          <t>T07_MAKER_CHECKER</t>
        </is>
      </c>
      <c r="B1076" s="4" t="inlineStr">
        <is>
          <t>IMB-0477127</t>
        </is>
      </c>
      <c r="C1076" s="4" t="inlineStr">
        <is>
          <t>IMOBILIZADO_EM_ANDAMENTO</t>
        </is>
      </c>
      <c r="D1076" s="5" t="n">
        <v>19049.38</v>
      </c>
      <c r="E1076" s="5" t="n">
        <v>0</v>
      </c>
      <c r="F1076" s="4" t="inlineStr">
        <is>
          <t>Cadastro sem aprovacao ou aprovado pelo proprio cadastrador</t>
        </is>
      </c>
    </row>
    <row r="1077">
      <c r="A1077" s="4" t="inlineStr">
        <is>
          <t>T07_MAKER_CHECKER</t>
        </is>
      </c>
      <c r="B1077" s="4" t="inlineStr">
        <is>
          <t>IMB-0477884</t>
        </is>
      </c>
      <c r="C1077" s="4" t="inlineStr">
        <is>
          <t>ALMOXARIFADO_INVERSOES_FIXAS</t>
        </is>
      </c>
      <c r="D1077" s="5" t="n">
        <v>345.67</v>
      </c>
      <c r="E1077" s="5" t="n">
        <v>0</v>
      </c>
      <c r="F1077" s="4" t="inlineStr">
        <is>
          <t>Cadastro sem aprovacao ou aprovado pelo proprio cadastrador</t>
        </is>
      </c>
    </row>
    <row r="1078">
      <c r="A1078" s="4" t="inlineStr">
        <is>
          <t>T07_MAKER_CHECKER</t>
        </is>
      </c>
      <c r="B1078" s="4" t="inlineStr">
        <is>
          <t>IMB-0478256</t>
        </is>
      </c>
      <c r="C1078" s="4" t="inlineStr">
        <is>
          <t>ALMOXARIFADO_INVERSOES_FIXAS</t>
        </is>
      </c>
      <c r="D1078" s="5" t="n">
        <v>1111.07</v>
      </c>
      <c r="E1078" s="5" t="n">
        <v>0</v>
      </c>
      <c r="F1078" s="4" t="inlineStr">
        <is>
          <t>Cadastro sem aprovacao ou aprovado pelo proprio cadastrador</t>
        </is>
      </c>
    </row>
    <row r="1079">
      <c r="A1079" s="4" t="inlineStr">
        <is>
          <t>T07_MAKER_CHECKER</t>
        </is>
      </c>
      <c r="B1079" s="4" t="inlineStr">
        <is>
          <t>IMB-0478976</t>
        </is>
      </c>
      <c r="C1079" s="4" t="inlineStr">
        <is>
          <t>MAQUINAS_EQUIPAMENTOS</t>
        </is>
      </c>
      <c r="D1079" s="5" t="n">
        <v>6551.01</v>
      </c>
      <c r="E1079" s="5" t="n">
        <v>0</v>
      </c>
      <c r="F1079" s="4" t="inlineStr">
        <is>
          <t>Cadastro sem aprovacao ou aprovado pelo proprio cadastrador</t>
        </is>
      </c>
    </row>
    <row r="1080">
      <c r="A1080" s="4" t="inlineStr">
        <is>
          <t>T07_MAKER_CHECKER</t>
        </is>
      </c>
      <c r="B1080" s="4" t="inlineStr">
        <is>
          <t>IMB-0482114</t>
        </is>
      </c>
      <c r="C1080" s="4" t="inlineStr">
        <is>
          <t>MAQUINAS_EQUIPAMENTOS</t>
        </is>
      </c>
      <c r="D1080" s="5" t="n">
        <v>5971.24</v>
      </c>
      <c r="E1080" s="5" t="n">
        <v>0</v>
      </c>
      <c r="F1080" s="4" t="inlineStr">
        <is>
          <t>Cadastro sem aprovacao ou aprovado pelo proprio cadastrador</t>
        </is>
      </c>
    </row>
    <row r="1081">
      <c r="A1081" s="4" t="inlineStr">
        <is>
          <t>T07_MAKER_CHECKER</t>
        </is>
      </c>
      <c r="B1081" s="4" t="inlineStr">
        <is>
          <t>IMB-0482727</t>
        </is>
      </c>
      <c r="C1081" s="4" t="inlineStr">
        <is>
          <t>MAQUINAS_EQUIPAMENTOS</t>
        </is>
      </c>
      <c r="D1081" s="5" t="n">
        <v>354.56</v>
      </c>
      <c r="E1081" s="5" t="n">
        <v>0</v>
      </c>
      <c r="F1081" s="4" t="inlineStr">
        <is>
          <t>Cadastro sem aprovacao ou aprovado pelo proprio cadastrador</t>
        </is>
      </c>
    </row>
    <row r="1082">
      <c r="A1082" s="4" t="inlineStr">
        <is>
          <t>T07_MAKER_CHECKER</t>
        </is>
      </c>
      <c r="B1082" s="4" t="inlineStr">
        <is>
          <t>IMB-0482933</t>
        </is>
      </c>
      <c r="C1082" s="4" t="inlineStr">
        <is>
          <t>DESENVOLVIMENTO_CAMPOS</t>
        </is>
      </c>
      <c r="D1082" s="5" t="n">
        <v>428.31</v>
      </c>
      <c r="E1082" s="5" t="n">
        <v>0</v>
      </c>
      <c r="F1082" s="4" t="inlineStr">
        <is>
          <t>Cadastro sem aprovacao ou aprovado pelo proprio cadastrador</t>
        </is>
      </c>
    </row>
    <row r="1083">
      <c r="A1083" s="4" t="inlineStr">
        <is>
          <t>T07_MAKER_CHECKER</t>
        </is>
      </c>
      <c r="B1083" s="4" t="inlineStr">
        <is>
          <t>IMB-0483212</t>
        </is>
      </c>
      <c r="C1083" s="4" t="inlineStr">
        <is>
          <t>DESENVOLVIMENTO_CAMPOS</t>
        </is>
      </c>
      <c r="D1083" s="5" t="n">
        <v>7070.44</v>
      </c>
      <c r="E1083" s="5" t="n">
        <v>0</v>
      </c>
      <c r="F1083" s="4" t="inlineStr">
        <is>
          <t>Cadastro sem aprovacao ou aprovado pelo proprio cadastrador</t>
        </is>
      </c>
    </row>
    <row r="1084">
      <c r="A1084" s="4" t="inlineStr">
        <is>
          <t>T07_MAKER_CHECKER</t>
        </is>
      </c>
      <c r="B1084" s="4" t="inlineStr">
        <is>
          <t>IMB-0484041</t>
        </is>
      </c>
      <c r="C1084" s="4" t="inlineStr">
        <is>
          <t>DESENVOLVIMENTO_CAMPOS</t>
        </is>
      </c>
      <c r="D1084" s="5" t="n">
        <v>371.82</v>
      </c>
      <c r="E1084" s="5" t="n">
        <v>0</v>
      </c>
      <c r="F1084" s="4" t="inlineStr">
        <is>
          <t>Cadastro sem aprovacao ou aprovado pelo proprio cadastrador</t>
        </is>
      </c>
    </row>
    <row r="1085">
      <c r="A1085" s="4" t="inlineStr">
        <is>
          <t>T07_MAKER_CHECKER</t>
        </is>
      </c>
      <c r="B1085" s="4" t="inlineStr">
        <is>
          <t>IMB-0484075</t>
        </is>
      </c>
      <c r="C1085" s="4" t="inlineStr">
        <is>
          <t>DESENVOLVIMENTO_CAMPOS</t>
        </is>
      </c>
      <c r="D1085" s="5" t="n">
        <v>5394.09</v>
      </c>
      <c r="E1085" s="5" t="n">
        <v>0</v>
      </c>
      <c r="F1085" s="4" t="inlineStr">
        <is>
          <t>Cadastro sem aprovacao ou aprovado pelo proprio cadastrador</t>
        </is>
      </c>
    </row>
    <row r="1086">
      <c r="A1086" s="4" t="inlineStr">
        <is>
          <t>T07_MAKER_CHECKER</t>
        </is>
      </c>
      <c r="B1086" s="4" t="inlineStr">
        <is>
          <t>IMB-0484356</t>
        </is>
      </c>
      <c r="C1086" s="4" t="inlineStr">
        <is>
          <t>OUTROS</t>
        </is>
      </c>
      <c r="D1086" s="5" t="n">
        <v>0</v>
      </c>
      <c r="E1086" s="5" t="n">
        <v>0</v>
      </c>
      <c r="F1086" s="4" t="inlineStr">
        <is>
          <t>Cadastro sem aprovacao ou aprovado pelo proprio cadastrador</t>
        </is>
      </c>
    </row>
    <row r="1087">
      <c r="A1087" s="4" t="inlineStr">
        <is>
          <t>T07_MAKER_CHECKER</t>
        </is>
      </c>
      <c r="B1087" s="4" t="inlineStr">
        <is>
          <t>IMB-0484442</t>
        </is>
      </c>
      <c r="C1087" s="4" t="inlineStr">
        <is>
          <t>DESENVOLVIMENTO_CAMPOS</t>
        </is>
      </c>
      <c r="D1087" s="5" t="n">
        <v>2884.32</v>
      </c>
      <c r="E1087" s="5" t="n">
        <v>0</v>
      </c>
      <c r="F1087" s="4" t="inlineStr">
        <is>
          <t>Cadastro sem aprovacao ou aprovado pelo proprio cadastrador</t>
        </is>
      </c>
    </row>
    <row r="1088">
      <c r="A1088" s="4" t="inlineStr">
        <is>
          <t>T07_MAKER_CHECKER</t>
        </is>
      </c>
      <c r="B1088" s="4" t="inlineStr">
        <is>
          <t>IMB-0484773</t>
        </is>
      </c>
      <c r="C1088" s="4" t="inlineStr">
        <is>
          <t>ALMOXARIFADO_INVERSOES_FIXAS</t>
        </is>
      </c>
      <c r="D1088" s="5" t="n">
        <v>8854.719999999999</v>
      </c>
      <c r="E1088" s="5" t="n">
        <v>0</v>
      </c>
      <c r="F1088" s="4" t="inlineStr">
        <is>
          <t>Cadastro sem aprovacao ou aprovado pelo proprio cadastrador</t>
        </is>
      </c>
    </row>
    <row r="1089">
      <c r="A1089" s="4" t="inlineStr">
        <is>
          <t>T07_MAKER_CHECKER</t>
        </is>
      </c>
      <c r="B1089" s="4" t="inlineStr">
        <is>
          <t>IMB-0486154</t>
        </is>
      </c>
      <c r="C1089" s="4" t="inlineStr">
        <is>
          <t>ALMOXARIFADO_INVERSOES_FIXAS</t>
        </is>
      </c>
      <c r="D1089" s="5" t="n">
        <v>1153.22</v>
      </c>
      <c r="E1089" s="5" t="n">
        <v>0</v>
      </c>
      <c r="F1089" s="4" t="inlineStr">
        <is>
          <t>Cadastro sem aprovacao ou aprovado pelo proprio cadastrador</t>
        </is>
      </c>
    </row>
    <row r="1090">
      <c r="A1090" s="4" t="inlineStr">
        <is>
          <t>T07_MAKER_CHECKER</t>
        </is>
      </c>
      <c r="B1090" s="4" t="inlineStr">
        <is>
          <t>IMB-0487985</t>
        </is>
      </c>
      <c r="C1090" s="4" t="inlineStr">
        <is>
          <t>OUTROS</t>
        </is>
      </c>
      <c r="D1090" s="5" t="n">
        <v>508.8</v>
      </c>
      <c r="E1090" s="5" t="n">
        <v>0</v>
      </c>
      <c r="F1090" s="4" t="inlineStr">
        <is>
          <t>Cadastro sem aprovacao ou aprovado pelo proprio cadastrador</t>
        </is>
      </c>
    </row>
    <row r="1091">
      <c r="A1091" s="4" t="inlineStr">
        <is>
          <t>T07_MAKER_CHECKER</t>
        </is>
      </c>
      <c r="B1091" s="4" t="inlineStr">
        <is>
          <t>IMB-0488095</t>
        </is>
      </c>
      <c r="C1091" s="4" t="inlineStr">
        <is>
          <t>ALMOXARIFADO_INVERSOES_FIXAS</t>
        </is>
      </c>
      <c r="D1091" s="5" t="n">
        <v>472.02</v>
      </c>
      <c r="E1091" s="5" t="n">
        <v>0</v>
      </c>
      <c r="F1091" s="4" t="inlineStr">
        <is>
          <t>Cadastro sem aprovacao ou aprovado pelo proprio cadastrador</t>
        </is>
      </c>
    </row>
    <row r="1092">
      <c r="A1092" s="4" t="inlineStr">
        <is>
          <t>T07_MAKER_CHECKER</t>
        </is>
      </c>
      <c r="B1092" s="4" t="inlineStr">
        <is>
          <t>IMB-0489827</t>
        </is>
      </c>
      <c r="C1092" s="4" t="inlineStr">
        <is>
          <t>ALMOXARIFADO_INVERSOES_FIXAS</t>
        </is>
      </c>
      <c r="D1092" s="5" t="n">
        <v>253.94</v>
      </c>
      <c r="E1092" s="5" t="n">
        <v>0</v>
      </c>
      <c r="F1092" s="4" t="inlineStr">
        <is>
          <t>Cadastro sem aprovacao ou aprovado pelo proprio cadastrador</t>
        </is>
      </c>
    </row>
    <row r="1093">
      <c r="A1093" s="4" t="inlineStr">
        <is>
          <t>T07_MAKER_CHECKER</t>
        </is>
      </c>
      <c r="B1093" s="4" t="inlineStr">
        <is>
          <t>IMB-0490290</t>
        </is>
      </c>
      <c r="C1093" s="4" t="inlineStr">
        <is>
          <t>DESENVOLVIMENTO_CAMPOS</t>
        </is>
      </c>
      <c r="D1093" s="5" t="n">
        <v>231001.68</v>
      </c>
      <c r="E1093" s="5" t="n">
        <v>0</v>
      </c>
      <c r="F1093" s="4" t="inlineStr">
        <is>
          <t>Cadastro sem aprovacao ou aprovado pelo proprio cadastrador</t>
        </is>
      </c>
    </row>
    <row r="1094">
      <c r="A1094" s="4" t="inlineStr">
        <is>
          <t>T07_MAKER_CHECKER</t>
        </is>
      </c>
      <c r="B1094" s="4" t="inlineStr">
        <is>
          <t>IMB-0490340</t>
        </is>
      </c>
      <c r="C1094" s="4" t="inlineStr">
        <is>
          <t>DESENVOLVIMENTO_CAMPOS</t>
        </is>
      </c>
      <c r="D1094" s="5" t="n">
        <v>185.4</v>
      </c>
      <c r="E1094" s="5" t="n">
        <v>0</v>
      </c>
      <c r="F1094" s="4" t="inlineStr">
        <is>
          <t>Cadastro sem aprovacao ou aprovado pelo proprio cadastrador</t>
        </is>
      </c>
    </row>
    <row r="1095">
      <c r="A1095" s="4" t="inlineStr">
        <is>
          <t>T07_MAKER_CHECKER</t>
        </is>
      </c>
      <c r="B1095" s="4" t="inlineStr">
        <is>
          <t>IMB-0490725</t>
        </is>
      </c>
      <c r="C1095" s="4" t="inlineStr">
        <is>
          <t>ALMOXARIFADO_INVERSOES_FIXAS</t>
        </is>
      </c>
      <c r="D1095" s="5" t="n">
        <v>428.78</v>
      </c>
      <c r="E1095" s="5" t="n">
        <v>0</v>
      </c>
      <c r="F1095" s="4" t="inlineStr">
        <is>
          <t>Cadastro sem aprovacao ou aprovado pelo proprio cadastrador</t>
        </is>
      </c>
    </row>
    <row r="1096">
      <c r="A1096" s="4" t="inlineStr">
        <is>
          <t>T07_MAKER_CHECKER</t>
        </is>
      </c>
      <c r="B1096" s="4" t="inlineStr">
        <is>
          <t>IMB-0491558</t>
        </is>
      </c>
      <c r="C1096" s="4" t="inlineStr">
        <is>
          <t>OUTROS</t>
        </is>
      </c>
      <c r="D1096" s="5" t="n">
        <v>1278.03</v>
      </c>
      <c r="E1096" s="5" t="n">
        <v>0</v>
      </c>
      <c r="F1096" s="4" t="inlineStr">
        <is>
          <t>Cadastro sem aprovacao ou aprovado pelo proprio cadastrador</t>
        </is>
      </c>
    </row>
    <row r="1097">
      <c r="A1097" s="4" t="inlineStr">
        <is>
          <t>T07_MAKER_CHECKER</t>
        </is>
      </c>
      <c r="B1097" s="4" t="inlineStr">
        <is>
          <t>IMB-0492495</t>
        </is>
      </c>
      <c r="C1097" s="4" t="inlineStr">
        <is>
          <t>OUTROS</t>
        </is>
      </c>
      <c r="D1097" s="5" t="n">
        <v>0</v>
      </c>
      <c r="E1097" s="5" t="n">
        <v>0</v>
      </c>
      <c r="F1097" s="4" t="inlineStr">
        <is>
          <t>Cadastro sem aprovacao ou aprovado pelo proprio cadastrador</t>
        </is>
      </c>
    </row>
    <row r="1098">
      <c r="A1098" s="4" t="inlineStr">
        <is>
          <t>T07_MAKER_CHECKER</t>
        </is>
      </c>
      <c r="B1098" s="4" t="inlineStr">
        <is>
          <t>IMB-0494779</t>
        </is>
      </c>
      <c r="C1098" s="4" t="inlineStr">
        <is>
          <t>ALMOXARIFADO_INVERSOES_FIXAS</t>
        </is>
      </c>
      <c r="D1098" s="5" t="n">
        <v>1387.48</v>
      </c>
      <c r="E1098" s="5" t="n">
        <v>0</v>
      </c>
      <c r="F1098" s="4" t="inlineStr">
        <is>
          <t>Cadastro sem aprovacao ou aprovado pelo proprio cadastrador</t>
        </is>
      </c>
    </row>
    <row r="1099">
      <c r="A1099" s="4" t="inlineStr">
        <is>
          <t>T07_MAKER_CHECKER</t>
        </is>
      </c>
      <c r="B1099" s="4" t="inlineStr">
        <is>
          <t>IMB-0496383</t>
        </is>
      </c>
      <c r="C1099" s="4" t="inlineStr">
        <is>
          <t>MAQUINAS_EQUIPAMENTOS</t>
        </is>
      </c>
      <c r="D1099" s="5" t="n">
        <v>1909.76</v>
      </c>
      <c r="E1099" s="5" t="n">
        <v>0</v>
      </c>
      <c r="F1099" s="4" t="inlineStr">
        <is>
          <t>Cadastro sem aprovacao ou aprovado pelo proprio cadastrador</t>
        </is>
      </c>
    </row>
    <row r="1100">
      <c r="A1100" s="4" t="inlineStr">
        <is>
          <t>T07_MAKER_CHECKER</t>
        </is>
      </c>
      <c r="B1100" s="4" t="inlineStr">
        <is>
          <t>IMB-0496660</t>
        </is>
      </c>
      <c r="C1100" s="4" t="inlineStr">
        <is>
          <t>ALMOXARIFADO_INVERSOES_FIXAS</t>
        </is>
      </c>
      <c r="D1100" s="5" t="n">
        <v>9933.959999999999</v>
      </c>
      <c r="E1100" s="5" t="n">
        <v>0</v>
      </c>
      <c r="F1100" s="4" t="inlineStr">
        <is>
          <t>Cadastro sem aprovacao ou aprovado pelo proprio cadastrador</t>
        </is>
      </c>
    </row>
    <row r="1101">
      <c r="A1101" s="4" t="inlineStr">
        <is>
          <t>T07_MAKER_CHECKER</t>
        </is>
      </c>
      <c r="B1101" s="4" t="inlineStr">
        <is>
          <t>IMB-0497013</t>
        </is>
      </c>
      <c r="C1101" s="4" t="inlineStr">
        <is>
          <t>DESENVOLVIMENTO_CAMPOS</t>
        </is>
      </c>
      <c r="D1101" s="5" t="n">
        <v>220.45</v>
      </c>
      <c r="E1101" s="5" t="n">
        <v>0</v>
      </c>
      <c r="F1101" s="4" t="inlineStr">
        <is>
          <t>Cadastro sem aprovacao ou aprovado pelo proprio cadastrador</t>
        </is>
      </c>
    </row>
    <row r="1102">
      <c r="A1102" s="4" t="inlineStr">
        <is>
          <t>T07_MAKER_CHECKER</t>
        </is>
      </c>
      <c r="B1102" s="4" t="inlineStr">
        <is>
          <t>IMB-0497094</t>
        </is>
      </c>
      <c r="C1102" s="4" t="inlineStr">
        <is>
          <t>DESENVOLVIMENTO_CAMPOS</t>
        </is>
      </c>
      <c r="D1102" s="5" t="n">
        <v>421.49</v>
      </c>
      <c r="E1102" s="5" t="n">
        <v>0</v>
      </c>
      <c r="F1102" s="4" t="inlineStr">
        <is>
          <t>Cadastro sem aprovacao ou aprovado pelo proprio cadastrador</t>
        </is>
      </c>
    </row>
    <row r="1103">
      <c r="A1103" s="4" t="inlineStr">
        <is>
          <t>T07_MAKER_CHECKER</t>
        </is>
      </c>
      <c r="B1103" s="4" t="inlineStr">
        <is>
          <t>IMB-0498119</t>
        </is>
      </c>
      <c r="C1103" s="4" t="inlineStr">
        <is>
          <t>ALMOXARIFADO_INVERSOES_FIXAS</t>
        </is>
      </c>
      <c r="D1103" s="5" t="n">
        <v>1710.5</v>
      </c>
      <c r="E1103" s="5" t="n">
        <v>0</v>
      </c>
      <c r="F1103" s="4" t="inlineStr">
        <is>
          <t>Cadastro sem aprovacao ou aprovado pelo proprio cadastrador</t>
        </is>
      </c>
    </row>
    <row r="1104">
      <c r="A1104" s="4" t="inlineStr">
        <is>
          <t>T07_MAKER_CHECKER</t>
        </is>
      </c>
      <c r="B1104" s="4" t="inlineStr">
        <is>
          <t>IMB-0498302</t>
        </is>
      </c>
      <c r="C1104" s="4" t="inlineStr">
        <is>
          <t>DESENVOLVIMENTO_CAMPOS</t>
        </is>
      </c>
      <c r="D1104" s="5" t="n">
        <v>14.64</v>
      </c>
      <c r="E1104" s="5" t="n">
        <v>0</v>
      </c>
      <c r="F1104" s="4" t="inlineStr">
        <is>
          <t>Cadastro sem aprovacao ou aprovado pelo proprio cadastrador</t>
        </is>
      </c>
    </row>
    <row r="1105">
      <c r="A1105" s="4" t="inlineStr">
        <is>
          <t>T07_MAKER_CHECKER</t>
        </is>
      </c>
      <c r="B1105" s="4" t="inlineStr">
        <is>
          <t>IMB-0498415</t>
        </is>
      </c>
      <c r="C1105" s="4" t="inlineStr">
        <is>
          <t>DESENVOLVIMENTO_CAMPOS</t>
        </is>
      </c>
      <c r="D1105" s="5" t="n">
        <v>416.04</v>
      </c>
      <c r="E1105" s="5" t="n">
        <v>0</v>
      </c>
      <c r="F1105" s="4" t="inlineStr">
        <is>
          <t>Cadastro sem aprovacao ou aprovado pelo proprio cadastrador</t>
        </is>
      </c>
    </row>
    <row r="1106">
      <c r="A1106" s="4" t="inlineStr">
        <is>
          <t>T07_MAKER_CHECKER</t>
        </is>
      </c>
      <c r="B1106" s="4" t="inlineStr">
        <is>
          <t>IMB-0498982</t>
        </is>
      </c>
      <c r="C1106" s="4" t="inlineStr">
        <is>
          <t>ALMOXARIFADO_INVERSOES_FIXAS</t>
        </is>
      </c>
      <c r="D1106" s="5" t="n">
        <v>39.58</v>
      </c>
      <c r="E1106" s="5" t="n">
        <v>0</v>
      </c>
      <c r="F1106" s="4" t="inlineStr">
        <is>
          <t>Cadastro sem aprovacao ou aprovado pelo proprio cadastrador</t>
        </is>
      </c>
    </row>
    <row r="1107">
      <c r="A1107" s="4" t="inlineStr">
        <is>
          <t>T07_MAKER_CHECKER</t>
        </is>
      </c>
      <c r="B1107" s="4" t="inlineStr">
        <is>
          <t>IMB-0499104</t>
        </is>
      </c>
      <c r="C1107" s="4" t="inlineStr">
        <is>
          <t>ALMOXARIFADO_INVERSOES_FIXAS</t>
        </is>
      </c>
      <c r="D1107" s="5" t="n">
        <v>3264.08</v>
      </c>
      <c r="E1107" s="5" t="n">
        <v>0</v>
      </c>
      <c r="F1107" s="4" t="inlineStr">
        <is>
          <t>Cadastro sem aprovacao ou aprovado pelo proprio cadastrador</t>
        </is>
      </c>
    </row>
    <row r="1108">
      <c r="A1108" s="4" t="inlineStr">
        <is>
          <t>T07_MAKER_CHECKER</t>
        </is>
      </c>
      <c r="B1108" s="4" t="inlineStr">
        <is>
          <t>IMB-0499281</t>
        </is>
      </c>
      <c r="C1108" s="4" t="inlineStr">
        <is>
          <t>DESENVOLVIMENTO_CAMPOS</t>
        </is>
      </c>
      <c r="D1108" s="5" t="n">
        <v>4.71</v>
      </c>
      <c r="E1108" s="5" t="n">
        <v>0</v>
      </c>
      <c r="F1108" s="4" t="inlineStr">
        <is>
          <t>Cadastro sem aprovacao ou aprovado pelo proprio cadastrador</t>
        </is>
      </c>
    </row>
    <row r="1109">
      <c r="A1109" s="4" t="inlineStr">
        <is>
          <t>T07_MAKER_CHECKER</t>
        </is>
      </c>
      <c r="B1109" s="4" t="inlineStr">
        <is>
          <t>IMB-0500259</t>
        </is>
      </c>
      <c r="C1109" s="4" t="inlineStr">
        <is>
          <t>ALMOXARIFADO_INVERSOES_FIXAS</t>
        </is>
      </c>
      <c r="D1109" s="5" t="n">
        <v>99.8</v>
      </c>
      <c r="E1109" s="5" t="n">
        <v>0</v>
      </c>
      <c r="F1109" s="4" t="inlineStr">
        <is>
          <t>Cadastro sem aprovacao ou aprovado pelo proprio cadastrador</t>
        </is>
      </c>
    </row>
    <row r="1110">
      <c r="A1110" s="4" t="inlineStr">
        <is>
          <t>T07_MAKER_CHECKER</t>
        </is>
      </c>
      <c r="B1110" s="4" t="inlineStr">
        <is>
          <t>IMB-0500763</t>
        </is>
      </c>
      <c r="C1110" s="4" t="inlineStr">
        <is>
          <t>DESENVOLVIMENTO_CAMPOS</t>
        </is>
      </c>
      <c r="D1110" s="5" t="n">
        <v>12543.59</v>
      </c>
      <c r="E1110" s="5" t="n">
        <v>0</v>
      </c>
      <c r="F1110" s="4" t="inlineStr">
        <is>
          <t>Cadastro sem aprovacao ou aprovado pelo proprio cadastrador</t>
        </is>
      </c>
    </row>
    <row r="1111">
      <c r="A1111" s="4" t="inlineStr">
        <is>
          <t>T07_MAKER_CHECKER</t>
        </is>
      </c>
      <c r="B1111" s="4" t="inlineStr">
        <is>
          <t>IMB-0501049</t>
        </is>
      </c>
      <c r="C1111" s="4" t="inlineStr">
        <is>
          <t>DESENVOLVIMENTO_CAMPOS</t>
        </is>
      </c>
      <c r="D1111" s="5" t="n">
        <v>184.78</v>
      </c>
      <c r="E1111" s="5" t="n">
        <v>0</v>
      </c>
      <c r="F1111" s="4" t="inlineStr">
        <is>
          <t>Cadastro sem aprovacao ou aprovado pelo proprio cadastrador</t>
        </is>
      </c>
    </row>
    <row r="1112">
      <c r="A1112" s="4" t="inlineStr">
        <is>
          <t>T07_MAKER_CHECKER</t>
        </is>
      </c>
      <c r="B1112" s="4" t="inlineStr">
        <is>
          <t>IMB-0503587</t>
        </is>
      </c>
      <c r="C1112" s="4" t="inlineStr">
        <is>
          <t>ALMOXARIFADO_INVERSOES_FIXAS</t>
        </is>
      </c>
      <c r="D1112" s="5" t="n">
        <v>13093.6</v>
      </c>
      <c r="E1112" s="5" t="n">
        <v>0</v>
      </c>
      <c r="F1112" s="4" t="inlineStr">
        <is>
          <t>Cadastro sem aprovacao ou aprovado pelo proprio cadastrador</t>
        </is>
      </c>
    </row>
    <row r="1113">
      <c r="A1113" s="4" t="inlineStr">
        <is>
          <t>T07_MAKER_CHECKER</t>
        </is>
      </c>
      <c r="B1113" s="4" t="inlineStr">
        <is>
          <t>IMB-0504496</t>
        </is>
      </c>
      <c r="C1113" s="4" t="inlineStr">
        <is>
          <t>DESENVOLVIMENTO_CAMPOS</t>
        </is>
      </c>
      <c r="D1113" s="5" t="n">
        <v>12931</v>
      </c>
      <c r="E1113" s="5" t="n">
        <v>0</v>
      </c>
      <c r="F1113" s="4" t="inlineStr">
        <is>
          <t>Cadastro sem aprovacao ou aprovado pelo proprio cadastrador</t>
        </is>
      </c>
    </row>
    <row r="1114">
      <c r="A1114" s="4" t="inlineStr">
        <is>
          <t>T07_MAKER_CHECKER</t>
        </is>
      </c>
      <c r="B1114" s="4" t="inlineStr">
        <is>
          <t>IMB-0504744</t>
        </is>
      </c>
      <c r="C1114" s="4" t="inlineStr">
        <is>
          <t>DESENVOLVIMENTO_CAMPOS</t>
        </is>
      </c>
      <c r="D1114" s="5" t="n">
        <v>7.93</v>
      </c>
      <c r="E1114" s="5" t="n">
        <v>0</v>
      </c>
      <c r="F1114" s="4" t="inlineStr">
        <is>
          <t>Cadastro sem aprovacao ou aprovado pelo proprio cadastrador</t>
        </is>
      </c>
    </row>
    <row r="1115">
      <c r="A1115" s="4" t="inlineStr">
        <is>
          <t>T07_MAKER_CHECKER</t>
        </is>
      </c>
      <c r="B1115" s="4" t="inlineStr">
        <is>
          <t>IMB-0505445</t>
        </is>
      </c>
      <c r="C1115" s="4" t="inlineStr">
        <is>
          <t>OUTROS</t>
        </is>
      </c>
      <c r="D1115" s="5" t="n">
        <v>0</v>
      </c>
      <c r="E1115" s="5" t="n">
        <v>0</v>
      </c>
      <c r="F1115" s="4" t="inlineStr">
        <is>
          <t>Cadastro sem aprovacao ou aprovado pelo proprio cadastrador</t>
        </is>
      </c>
    </row>
    <row r="1116">
      <c r="A1116" s="4" t="inlineStr">
        <is>
          <t>T07_MAKER_CHECKER</t>
        </is>
      </c>
      <c r="B1116" s="4" t="inlineStr">
        <is>
          <t>IMB-0505991</t>
        </is>
      </c>
      <c r="C1116" s="4" t="inlineStr">
        <is>
          <t>DESENVOLVIMENTO_CAMPOS</t>
        </is>
      </c>
      <c r="D1116" s="5" t="n">
        <v>969.11</v>
      </c>
      <c r="E1116" s="5" t="n">
        <v>0</v>
      </c>
      <c r="F1116" s="4" t="inlineStr">
        <is>
          <t>Cadastro sem aprovacao ou aprovado pelo proprio cadastrador</t>
        </is>
      </c>
    </row>
    <row r="1117">
      <c r="A1117" s="4" t="inlineStr">
        <is>
          <t>T07_MAKER_CHECKER</t>
        </is>
      </c>
      <c r="B1117" s="4" t="inlineStr">
        <is>
          <t>IMB-0507626</t>
        </is>
      </c>
      <c r="C1117" s="4" t="inlineStr">
        <is>
          <t>MAQUINAS_EQUIPAMENTOS</t>
        </is>
      </c>
      <c r="D1117" s="5" t="n">
        <v>233.48</v>
      </c>
      <c r="E1117" s="5" t="n">
        <v>0</v>
      </c>
      <c r="F1117" s="4" t="inlineStr">
        <is>
          <t>Cadastro sem aprovacao ou aprovado pelo proprio cadastrador</t>
        </is>
      </c>
    </row>
    <row r="1118">
      <c r="A1118" s="4" t="inlineStr">
        <is>
          <t>T07_MAKER_CHECKER</t>
        </is>
      </c>
      <c r="B1118" s="4" t="inlineStr">
        <is>
          <t>IMB-0507917</t>
        </is>
      </c>
      <c r="C1118" s="4" t="inlineStr">
        <is>
          <t>ADIANTAMENTOS</t>
        </is>
      </c>
      <c r="D1118" s="5" t="n">
        <v>37770.06</v>
      </c>
      <c r="E1118" s="5" t="n">
        <v>0</v>
      </c>
      <c r="F1118" s="4" t="inlineStr">
        <is>
          <t>Cadastro sem aprovacao ou aprovado pelo proprio cadastrador</t>
        </is>
      </c>
    </row>
    <row r="1119">
      <c r="A1119" s="4" t="inlineStr">
        <is>
          <t>T07_MAKER_CHECKER</t>
        </is>
      </c>
      <c r="B1119" s="4" t="inlineStr">
        <is>
          <t>IMB-0508219</t>
        </is>
      </c>
      <c r="C1119" s="4" t="inlineStr">
        <is>
          <t>ALMOXARIFADO_INVERSOES_FIXAS</t>
        </is>
      </c>
      <c r="D1119" s="5" t="n">
        <v>619.86</v>
      </c>
      <c r="E1119" s="5" t="n">
        <v>0</v>
      </c>
      <c r="F1119" s="4" t="inlineStr">
        <is>
          <t>Cadastro sem aprovacao ou aprovado pelo proprio cadastrador</t>
        </is>
      </c>
    </row>
    <row r="1120">
      <c r="A1120" s="4" t="inlineStr">
        <is>
          <t>T07_MAKER_CHECKER</t>
        </is>
      </c>
      <c r="B1120" s="4" t="inlineStr">
        <is>
          <t>IMB-0511964</t>
        </is>
      </c>
      <c r="C1120" s="4" t="inlineStr">
        <is>
          <t>ALMOXARIFADO_INVERSOES_FIXAS</t>
        </is>
      </c>
      <c r="D1120" s="5" t="n">
        <v>1722.58</v>
      </c>
      <c r="E1120" s="5" t="n">
        <v>0</v>
      </c>
      <c r="F1120" s="4" t="inlineStr">
        <is>
          <t>Cadastro sem aprovacao ou aprovado pelo proprio cadastrador</t>
        </is>
      </c>
    </row>
    <row r="1121">
      <c r="A1121" s="4" t="inlineStr">
        <is>
          <t>T07_MAKER_CHECKER</t>
        </is>
      </c>
      <c r="B1121" s="4" t="inlineStr">
        <is>
          <t>IMB-0512429</t>
        </is>
      </c>
      <c r="C1121" s="4" t="inlineStr">
        <is>
          <t>DESENVOLVIMENTO_CAMPOS</t>
        </is>
      </c>
      <c r="D1121" s="5" t="n">
        <v>582.7</v>
      </c>
      <c r="E1121" s="5" t="n">
        <v>0</v>
      </c>
      <c r="F1121" s="4" t="inlineStr">
        <is>
          <t>Cadastro sem aprovacao ou aprovado pelo proprio cadastrador</t>
        </is>
      </c>
    </row>
    <row r="1122">
      <c r="A1122" s="4" t="inlineStr">
        <is>
          <t>T07_MAKER_CHECKER</t>
        </is>
      </c>
      <c r="B1122" s="4" t="inlineStr">
        <is>
          <t>IMB-0512634</t>
        </is>
      </c>
      <c r="C1122" s="4" t="inlineStr">
        <is>
          <t>DESENVOLVIMENTO_CAMPOS</t>
        </is>
      </c>
      <c r="D1122" s="5" t="n">
        <v>589.5</v>
      </c>
      <c r="E1122" s="5" t="n">
        <v>0</v>
      </c>
      <c r="F1122" s="4" t="inlineStr">
        <is>
          <t>Cadastro sem aprovacao ou aprovado pelo proprio cadastrador</t>
        </is>
      </c>
    </row>
    <row r="1123">
      <c r="A1123" s="4" t="inlineStr">
        <is>
          <t>T07_MAKER_CHECKER</t>
        </is>
      </c>
      <c r="B1123" s="4" t="inlineStr">
        <is>
          <t>IMB-0513391</t>
        </is>
      </c>
      <c r="C1123" s="4" t="inlineStr">
        <is>
          <t>DESENVOLVIMENTO_CAMPOS</t>
        </is>
      </c>
      <c r="D1123" s="5" t="n">
        <v>249.63</v>
      </c>
      <c r="E1123" s="5" t="n">
        <v>0</v>
      </c>
      <c r="F1123" s="4" t="inlineStr">
        <is>
          <t>Cadastro sem aprovacao ou aprovado pelo proprio cadastrador</t>
        </is>
      </c>
    </row>
    <row r="1124">
      <c r="A1124" s="4" t="inlineStr">
        <is>
          <t>T07_MAKER_CHECKER</t>
        </is>
      </c>
      <c r="B1124" s="4" t="inlineStr">
        <is>
          <t>IMB-0513861</t>
        </is>
      </c>
      <c r="C1124" s="4" t="inlineStr">
        <is>
          <t>ALMOXARIFADO_INVERSOES_FIXAS</t>
        </is>
      </c>
      <c r="D1124" s="5" t="n">
        <v>6464.68</v>
      </c>
      <c r="E1124" s="5" t="n">
        <v>0</v>
      </c>
      <c r="F1124" s="4" t="inlineStr">
        <is>
          <t>Cadastro sem aprovacao ou aprovado pelo proprio cadastrador</t>
        </is>
      </c>
    </row>
    <row r="1125">
      <c r="A1125" s="4" t="inlineStr">
        <is>
          <t>T07_MAKER_CHECKER</t>
        </is>
      </c>
      <c r="B1125" s="4" t="inlineStr">
        <is>
          <t>IMB-0514136</t>
        </is>
      </c>
      <c r="C1125" s="4" t="inlineStr">
        <is>
          <t>MAQUINAS_EQUIPAMENTOS</t>
        </is>
      </c>
      <c r="D1125" s="5" t="n">
        <v>789.09</v>
      </c>
      <c r="E1125" s="5" t="n">
        <v>0</v>
      </c>
      <c r="F1125" s="4" t="inlineStr">
        <is>
          <t>Cadastro sem aprovacao ou aprovado pelo proprio cadastrador</t>
        </is>
      </c>
    </row>
    <row r="1126">
      <c r="A1126" s="4" t="inlineStr">
        <is>
          <t>T07_MAKER_CHECKER</t>
        </is>
      </c>
      <c r="B1126" s="4" t="inlineStr">
        <is>
          <t>IMB-0514463</t>
        </is>
      </c>
      <c r="C1126" s="4" t="inlineStr">
        <is>
          <t>DESENVOLVIMENTO_CAMPOS</t>
        </is>
      </c>
      <c r="D1126" s="5" t="n">
        <v>4979.5</v>
      </c>
      <c r="E1126" s="5" t="n">
        <v>0</v>
      </c>
      <c r="F1126" s="4" t="inlineStr">
        <is>
          <t>Cadastro sem aprovacao ou aprovado pelo proprio cadastrador</t>
        </is>
      </c>
    </row>
    <row r="1127">
      <c r="A1127" s="4" t="inlineStr">
        <is>
          <t>T07_MAKER_CHECKER</t>
        </is>
      </c>
      <c r="B1127" s="4" t="inlineStr">
        <is>
          <t>IMB-0515096</t>
        </is>
      </c>
      <c r="C1127" s="4" t="inlineStr">
        <is>
          <t>OUTROS</t>
        </is>
      </c>
      <c r="D1127" s="5" t="n">
        <v>3885.09</v>
      </c>
      <c r="E1127" s="5" t="n">
        <v>0</v>
      </c>
      <c r="F1127" s="4" t="inlineStr">
        <is>
          <t>Cadastro sem aprovacao ou aprovado pelo proprio cadastrador</t>
        </is>
      </c>
    </row>
    <row r="1128">
      <c r="A1128" s="4" t="inlineStr">
        <is>
          <t>T07_MAKER_CHECKER</t>
        </is>
      </c>
      <c r="B1128" s="4" t="inlineStr">
        <is>
          <t>IMB-0517232</t>
        </is>
      </c>
      <c r="C1128" s="4" t="inlineStr">
        <is>
          <t>DESENVOLVIMENTO_CAMPOS</t>
        </is>
      </c>
      <c r="D1128" s="5" t="n">
        <v>10184.27</v>
      </c>
      <c r="E1128" s="5" t="n">
        <v>0</v>
      </c>
      <c r="F1128" s="4" t="inlineStr">
        <is>
          <t>Cadastro sem aprovacao ou aprovado pelo proprio cadastrador</t>
        </is>
      </c>
    </row>
    <row r="1129">
      <c r="A1129" s="4" t="inlineStr">
        <is>
          <t>T07_MAKER_CHECKER</t>
        </is>
      </c>
      <c r="B1129" s="4" t="inlineStr">
        <is>
          <t>IMB-0517723</t>
        </is>
      </c>
      <c r="C1129" s="4" t="inlineStr">
        <is>
          <t>MAQUINAS_EQUIPAMENTOS</t>
        </is>
      </c>
      <c r="D1129" s="5" t="n">
        <v>477.75</v>
      </c>
      <c r="E1129" s="5" t="n">
        <v>0</v>
      </c>
      <c r="F1129" s="4" t="inlineStr">
        <is>
          <t>Cadastro sem aprovacao ou aprovado pelo proprio cadastrador</t>
        </is>
      </c>
    </row>
    <row r="1130">
      <c r="A1130" s="4" t="inlineStr">
        <is>
          <t>T07_MAKER_CHECKER</t>
        </is>
      </c>
      <c r="B1130" s="4" t="inlineStr">
        <is>
          <t>IMB-0518296</t>
        </is>
      </c>
      <c r="C1130" s="4" t="inlineStr">
        <is>
          <t>ALMOXARIFADO_INVERSOES_FIXAS</t>
        </is>
      </c>
      <c r="D1130" s="5" t="n">
        <v>492.76</v>
      </c>
      <c r="E1130" s="5" t="n">
        <v>0</v>
      </c>
      <c r="F1130" s="4" t="inlineStr">
        <is>
          <t>Cadastro sem aprovacao ou aprovado pelo proprio cadastrador</t>
        </is>
      </c>
    </row>
    <row r="1131">
      <c r="A1131" s="4" t="inlineStr">
        <is>
          <t>T07_MAKER_CHECKER</t>
        </is>
      </c>
      <c r="B1131" s="4" t="inlineStr">
        <is>
          <t>IMB-0518722</t>
        </is>
      </c>
      <c r="C1131" s="4" t="inlineStr">
        <is>
          <t>DESENVOLVIMENTO_CAMPOS</t>
        </is>
      </c>
      <c r="D1131" s="5" t="n">
        <v>1192.75</v>
      </c>
      <c r="E1131" s="5" t="n">
        <v>0</v>
      </c>
      <c r="F1131" s="4" t="inlineStr">
        <is>
          <t>Cadastro sem aprovacao ou aprovado pelo proprio cadastrador</t>
        </is>
      </c>
    </row>
    <row r="1132">
      <c r="A1132" s="4" t="inlineStr">
        <is>
          <t>T07_MAKER_CHECKER</t>
        </is>
      </c>
      <c r="B1132" s="4" t="inlineStr">
        <is>
          <t>IMB-0518938</t>
        </is>
      </c>
      <c r="C1132" s="4" t="inlineStr">
        <is>
          <t>ALMOXARIFADO_INVERSOES_FIXAS</t>
        </is>
      </c>
      <c r="D1132" s="5" t="n">
        <v>375.19</v>
      </c>
      <c r="E1132" s="5" t="n">
        <v>0</v>
      </c>
      <c r="F1132" s="4" t="inlineStr">
        <is>
          <t>Cadastro sem aprovacao ou aprovado pelo proprio cadastrador</t>
        </is>
      </c>
    </row>
    <row r="1133">
      <c r="A1133" s="4" t="inlineStr">
        <is>
          <t>T07_MAKER_CHECKER</t>
        </is>
      </c>
      <c r="B1133" s="4" t="inlineStr">
        <is>
          <t>IMB-0519213</t>
        </is>
      </c>
      <c r="C1133" s="4" t="inlineStr">
        <is>
          <t>MAQUINAS_EQUIPAMENTOS</t>
        </is>
      </c>
      <c r="D1133" s="5" t="n">
        <v>4925.08</v>
      </c>
      <c r="E1133" s="5" t="n">
        <v>0</v>
      </c>
      <c r="F1133" s="4" t="inlineStr">
        <is>
          <t>Cadastro sem aprovacao ou aprovado pelo proprio cadastrador</t>
        </is>
      </c>
    </row>
    <row r="1134">
      <c r="A1134" s="4" t="inlineStr">
        <is>
          <t>T07_MAKER_CHECKER</t>
        </is>
      </c>
      <c r="B1134" s="4" t="inlineStr">
        <is>
          <t>IMB-0519530</t>
        </is>
      </c>
      <c r="C1134" s="4" t="inlineStr">
        <is>
          <t>OUTROS</t>
        </is>
      </c>
      <c r="D1134" s="5" t="n">
        <v>4737.9</v>
      </c>
      <c r="E1134" s="5" t="n">
        <v>0</v>
      </c>
      <c r="F1134" s="4" t="inlineStr">
        <is>
          <t>Cadastro sem aprovacao ou aprovado pelo proprio cadastrador</t>
        </is>
      </c>
    </row>
    <row r="1135">
      <c r="A1135" s="4" t="inlineStr">
        <is>
          <t>T07_MAKER_CHECKER</t>
        </is>
      </c>
      <c r="B1135" s="4" t="inlineStr">
        <is>
          <t>IMB-0520268</t>
        </is>
      </c>
      <c r="C1135" s="4" t="inlineStr">
        <is>
          <t>MAQUINAS_EQUIPAMENTOS</t>
        </is>
      </c>
      <c r="D1135" s="5" t="n">
        <v>15320.97</v>
      </c>
      <c r="E1135" s="5" t="n">
        <v>0</v>
      </c>
      <c r="F1135" s="4" t="inlineStr">
        <is>
          <t>Cadastro sem aprovacao ou aprovado pelo proprio cadastrador</t>
        </is>
      </c>
    </row>
    <row r="1136">
      <c r="A1136" s="4" t="inlineStr">
        <is>
          <t>T07_MAKER_CHECKER</t>
        </is>
      </c>
      <c r="B1136" s="4" t="inlineStr">
        <is>
          <t>IMB-0521887</t>
        </is>
      </c>
      <c r="C1136" s="4" t="inlineStr">
        <is>
          <t>DESENVOLVIMENTO_CAMPOS</t>
        </is>
      </c>
      <c r="D1136" s="5" t="n">
        <v>2884.32</v>
      </c>
      <c r="E1136" s="5" t="n">
        <v>0</v>
      </c>
      <c r="F1136" s="4" t="inlineStr">
        <is>
          <t>Cadastro sem aprovacao ou aprovado pelo proprio cadastrador</t>
        </is>
      </c>
    </row>
    <row r="1137">
      <c r="A1137" s="4" t="inlineStr">
        <is>
          <t>T07_MAKER_CHECKER</t>
        </is>
      </c>
      <c r="B1137" s="4" t="inlineStr">
        <is>
          <t>IMB-0524015</t>
        </is>
      </c>
      <c r="C1137" s="4" t="inlineStr">
        <is>
          <t>MAQUINAS_EQUIPAMENTOS</t>
        </is>
      </c>
      <c r="D1137" s="5" t="n">
        <v>191.34</v>
      </c>
      <c r="E1137" s="5" t="n">
        <v>0</v>
      </c>
      <c r="F1137" s="4" t="inlineStr">
        <is>
          <t>Cadastro sem aprovacao ou aprovado pelo proprio cadastrador</t>
        </is>
      </c>
    </row>
    <row r="1138">
      <c r="A1138" s="4" t="inlineStr">
        <is>
          <t>T07_MAKER_CHECKER</t>
        </is>
      </c>
      <c r="B1138" s="4" t="inlineStr">
        <is>
          <t>IMB-0524064</t>
        </is>
      </c>
      <c r="C1138" s="4" t="inlineStr">
        <is>
          <t>OUTROS</t>
        </is>
      </c>
      <c r="D1138" s="5" t="n">
        <v>457.8</v>
      </c>
      <c r="E1138" s="5" t="n">
        <v>0</v>
      </c>
      <c r="F1138" s="4" t="inlineStr">
        <is>
          <t>Cadastro sem aprovacao ou aprovado pelo proprio cadastrador</t>
        </is>
      </c>
    </row>
    <row r="1139">
      <c r="A1139" s="4" t="inlineStr">
        <is>
          <t>T07_MAKER_CHECKER</t>
        </is>
      </c>
      <c r="B1139" s="4" t="inlineStr">
        <is>
          <t>IMB-0524603</t>
        </is>
      </c>
      <c r="C1139" s="4" t="inlineStr">
        <is>
          <t>OUTROS</t>
        </is>
      </c>
      <c r="D1139" s="5" t="n">
        <v>40674.78</v>
      </c>
      <c r="E1139" s="5" t="n">
        <v>0</v>
      </c>
      <c r="F1139" s="4" t="inlineStr">
        <is>
          <t>Cadastro sem aprovacao ou aprovado pelo proprio cadastrador</t>
        </is>
      </c>
    </row>
    <row r="1140">
      <c r="A1140" s="4" t="inlineStr">
        <is>
          <t>T07_MAKER_CHECKER</t>
        </is>
      </c>
      <c r="B1140" s="4" t="inlineStr">
        <is>
          <t>IMB-0526260</t>
        </is>
      </c>
      <c r="C1140" s="4" t="inlineStr">
        <is>
          <t>ALMOXARIFADO_INVERSOES_FIXAS</t>
        </is>
      </c>
      <c r="D1140" s="5" t="n">
        <v>3528.27</v>
      </c>
      <c r="E1140" s="5" t="n">
        <v>0</v>
      </c>
      <c r="F1140" s="4" t="inlineStr">
        <is>
          <t>Cadastro sem aprovacao ou aprovado pelo proprio cadastrador</t>
        </is>
      </c>
    </row>
    <row r="1141">
      <c r="A1141" s="4" t="inlineStr">
        <is>
          <t>T07_MAKER_CHECKER</t>
        </is>
      </c>
      <c r="B1141" s="4" t="inlineStr">
        <is>
          <t>IMB-0527407</t>
        </is>
      </c>
      <c r="C1141" s="4" t="inlineStr">
        <is>
          <t>OUTROS</t>
        </is>
      </c>
      <c r="D1141" s="5" t="n">
        <v>0</v>
      </c>
      <c r="E1141" s="5" t="n">
        <v>0</v>
      </c>
      <c r="F1141" s="4" t="inlineStr">
        <is>
          <t>Cadastro sem aprovacao ou aprovado pelo proprio cadastrador</t>
        </is>
      </c>
    </row>
    <row r="1142">
      <c r="A1142" s="4" t="inlineStr">
        <is>
          <t>T07_MAKER_CHECKER</t>
        </is>
      </c>
      <c r="B1142" s="4" t="inlineStr">
        <is>
          <t>IMB-0527564</t>
        </is>
      </c>
      <c r="C1142" s="4" t="inlineStr">
        <is>
          <t>ALMOXARIFADO_INVERSOES_FIXAS</t>
        </is>
      </c>
      <c r="D1142" s="5" t="n">
        <v>1371.66</v>
      </c>
      <c r="E1142" s="5" t="n">
        <v>0</v>
      </c>
      <c r="F1142" s="4" t="inlineStr">
        <is>
          <t>Cadastro sem aprovacao ou aprovado pelo proprio cadastrador</t>
        </is>
      </c>
    </row>
    <row r="1143">
      <c r="A1143" s="4" t="inlineStr">
        <is>
          <t>T07_MAKER_CHECKER</t>
        </is>
      </c>
      <c r="B1143" s="4" t="inlineStr">
        <is>
          <t>IMB-0527690</t>
        </is>
      </c>
      <c r="C1143" s="4" t="inlineStr">
        <is>
          <t>MAQUINAS_EQUIPAMENTOS</t>
        </is>
      </c>
      <c r="D1143" s="5" t="n">
        <v>908.9</v>
      </c>
      <c r="E1143" s="5" t="n">
        <v>0</v>
      </c>
      <c r="F1143" s="4" t="inlineStr">
        <is>
          <t>Cadastro sem aprovacao ou aprovado pelo proprio cadastrador</t>
        </is>
      </c>
    </row>
    <row r="1144">
      <c r="A1144" s="4" t="inlineStr">
        <is>
          <t>T07_MAKER_CHECKER</t>
        </is>
      </c>
      <c r="B1144" s="4" t="inlineStr">
        <is>
          <t>IMB-0528468</t>
        </is>
      </c>
      <c r="C1144" s="4" t="inlineStr">
        <is>
          <t>DESENVOLVIMENTO_CAMPOS</t>
        </is>
      </c>
      <c r="D1144" s="5" t="n">
        <v>4498.03</v>
      </c>
      <c r="E1144" s="5" t="n">
        <v>0</v>
      </c>
      <c r="F1144" s="4" t="inlineStr">
        <is>
          <t>Cadastro sem aprovacao ou aprovado pelo proprio cadastrador</t>
        </is>
      </c>
    </row>
    <row r="1145">
      <c r="A1145" s="4" t="inlineStr">
        <is>
          <t>T07_MAKER_CHECKER</t>
        </is>
      </c>
      <c r="B1145" s="4" t="inlineStr">
        <is>
          <t>IMB-0528533</t>
        </is>
      </c>
      <c r="C1145" s="4" t="inlineStr">
        <is>
          <t>DESENVOLVIMENTO_CAMPOS</t>
        </is>
      </c>
      <c r="D1145" s="5" t="n">
        <v>667.12</v>
      </c>
      <c r="E1145" s="5" t="n">
        <v>0</v>
      </c>
      <c r="F1145" s="4" t="inlineStr">
        <is>
          <t>Cadastro sem aprovacao ou aprovado pelo proprio cadastrador</t>
        </is>
      </c>
    </row>
    <row r="1146">
      <c r="A1146" s="4" t="inlineStr">
        <is>
          <t>T07_MAKER_CHECKER</t>
        </is>
      </c>
      <c r="B1146" s="4" t="inlineStr">
        <is>
          <t>IMB-0529311</t>
        </is>
      </c>
      <c r="C1146" s="4" t="inlineStr">
        <is>
          <t>OUTROS</t>
        </is>
      </c>
      <c r="D1146" s="5" t="n">
        <v>398.45</v>
      </c>
      <c r="E1146" s="5" t="n">
        <v>0</v>
      </c>
      <c r="F1146" s="4" t="inlineStr">
        <is>
          <t>Cadastro sem aprovacao ou aprovado pelo proprio cadastrador</t>
        </is>
      </c>
    </row>
    <row r="1147">
      <c r="A1147" s="4" t="inlineStr">
        <is>
          <t>T07_MAKER_CHECKER</t>
        </is>
      </c>
      <c r="B1147" s="4" t="inlineStr">
        <is>
          <t>IMB-0529762</t>
        </is>
      </c>
      <c r="C1147" s="4" t="inlineStr">
        <is>
          <t>ALMOXARIFADO_INVERSOES_FIXAS</t>
        </is>
      </c>
      <c r="D1147" s="5" t="n">
        <v>538.29</v>
      </c>
      <c r="E1147" s="5" t="n">
        <v>0</v>
      </c>
      <c r="F1147" s="4" t="inlineStr">
        <is>
          <t>Cadastro sem aprovacao ou aprovado pelo proprio cadastrador</t>
        </is>
      </c>
    </row>
    <row r="1148">
      <c r="A1148" s="4" t="inlineStr">
        <is>
          <t>T07_MAKER_CHECKER</t>
        </is>
      </c>
      <c r="B1148" s="4" t="inlineStr">
        <is>
          <t>IMB-0530307</t>
        </is>
      </c>
      <c r="C1148" s="4" t="inlineStr">
        <is>
          <t>ALMOXARIFADO_INVERSOES_FIXAS</t>
        </is>
      </c>
      <c r="D1148" s="5" t="n">
        <v>1506.77</v>
      </c>
      <c r="E1148" s="5" t="n">
        <v>0</v>
      </c>
      <c r="F1148" s="4" t="inlineStr">
        <is>
          <t>Cadastro sem aprovacao ou aprovado pelo proprio cadastrador</t>
        </is>
      </c>
    </row>
    <row r="1149">
      <c r="A1149" s="4" t="inlineStr">
        <is>
          <t>T07_MAKER_CHECKER</t>
        </is>
      </c>
      <c r="B1149" s="4" t="inlineStr">
        <is>
          <t>IMB-0530576</t>
        </is>
      </c>
      <c r="C1149" s="4" t="inlineStr">
        <is>
          <t>DESENVOLVIMENTO_CAMPOS</t>
        </is>
      </c>
      <c r="D1149" s="5" t="n">
        <v>2029.78</v>
      </c>
      <c r="E1149" s="5" t="n">
        <v>0</v>
      </c>
      <c r="F1149" s="4" t="inlineStr">
        <is>
          <t>Cadastro sem aprovacao ou aprovado pelo proprio cadastrador</t>
        </is>
      </c>
    </row>
    <row r="1150">
      <c r="A1150" s="4" t="inlineStr">
        <is>
          <t>T07_MAKER_CHECKER</t>
        </is>
      </c>
      <c r="B1150" s="4" t="inlineStr">
        <is>
          <t>IMB-0531924</t>
        </is>
      </c>
      <c r="C1150" s="4" t="inlineStr">
        <is>
          <t>DESENVOLVIMENTO_CAMPOS</t>
        </is>
      </c>
      <c r="D1150" s="5" t="n">
        <v>809.64</v>
      </c>
      <c r="E1150" s="5" t="n">
        <v>0</v>
      </c>
      <c r="F1150" s="4" t="inlineStr">
        <is>
          <t>Cadastro sem aprovacao ou aprovado pelo proprio cadastrador</t>
        </is>
      </c>
    </row>
    <row r="1151">
      <c r="A1151" s="4" t="inlineStr">
        <is>
          <t>T08_CAMPO_NAO_CADASTRADO</t>
        </is>
      </c>
      <c r="B1151" s="4" t="inlineStr">
        <is>
          <t>IMB-0015892</t>
        </is>
      </c>
      <c r="C1151" s="4" t="inlineStr">
        <is>
          <t>MAQUINAS_EQUIPAMENTOS</t>
        </is>
      </c>
      <c r="D1151" s="5" t="n">
        <v>16949.9</v>
      </c>
      <c r="E1151" s="5" t="n">
        <v>16949.9</v>
      </c>
      <c r="F1151" s="4" t="inlineStr">
        <is>
          <t>Campo/local nao consta das 58 concessoes, blocos ou UPGN</t>
        </is>
      </c>
    </row>
    <row r="1152">
      <c r="A1152" s="4" t="inlineStr">
        <is>
          <t>T08_CAMPO_NAO_CADASTRADO</t>
        </is>
      </c>
      <c r="B1152" s="4" t="inlineStr">
        <is>
          <t>IMB-0032698</t>
        </is>
      </c>
      <c r="C1152" s="4" t="inlineStr">
        <is>
          <t>MAQUINAS_EQUIPAMENTOS</t>
        </is>
      </c>
      <c r="D1152" s="5" t="n">
        <v>8658.860000000001</v>
      </c>
      <c r="E1152" s="5" t="n">
        <v>8658.860000000001</v>
      </c>
      <c r="F1152" s="4" t="inlineStr">
        <is>
          <t>Campo/local nao consta das 58 concessoes, blocos ou UPGN</t>
        </is>
      </c>
    </row>
    <row r="1153">
      <c r="A1153" s="4" t="inlineStr">
        <is>
          <t>T08_CAMPO_NAO_CADASTRADO</t>
        </is>
      </c>
      <c r="B1153" s="4" t="inlineStr">
        <is>
          <t>IMB-0035586</t>
        </is>
      </c>
      <c r="C1153" s="4" t="inlineStr">
        <is>
          <t>DESENVOLVIMENTO_CAMPOS</t>
        </is>
      </c>
      <c r="D1153" s="5" t="n">
        <v>137511.6</v>
      </c>
      <c r="E1153" s="5" t="n">
        <v>137511.6</v>
      </c>
      <c r="F1153" s="4" t="inlineStr">
        <is>
          <t>Campo/local nao consta das 58 concessoes, blocos ou UPGN</t>
        </is>
      </c>
    </row>
    <row r="1154">
      <c r="A1154" s="4" t="inlineStr">
        <is>
          <t>T08_CAMPO_NAO_CADASTRADO</t>
        </is>
      </c>
      <c r="B1154" s="4" t="inlineStr">
        <is>
          <t>IMB-0047956</t>
        </is>
      </c>
      <c r="C1154" s="4" t="inlineStr">
        <is>
          <t>MAQUINAS_EQUIPAMENTOS</t>
        </is>
      </c>
      <c r="D1154" s="5" t="n">
        <v>53239.84</v>
      </c>
      <c r="E1154" s="5" t="n">
        <v>53239.84</v>
      </c>
      <c r="F1154" s="4" t="inlineStr">
        <is>
          <t>Campo/local nao consta das 58 concessoes, blocos ou UPGN</t>
        </is>
      </c>
    </row>
    <row r="1155">
      <c r="A1155" s="4" t="inlineStr">
        <is>
          <t>T08_CAMPO_NAO_CADASTRADO</t>
        </is>
      </c>
      <c r="B1155" s="4" t="inlineStr">
        <is>
          <t>IMB-0049752</t>
        </is>
      </c>
      <c r="C1155" s="4" t="inlineStr">
        <is>
          <t>DESENVOLVIMENTO_CAMPOS</t>
        </is>
      </c>
      <c r="D1155" s="5" t="n">
        <v>22381.53</v>
      </c>
      <c r="E1155" s="5" t="n">
        <v>22381.53</v>
      </c>
      <c r="F1155" s="4" t="inlineStr">
        <is>
          <t>Campo/local nao consta das 58 concessoes, blocos ou UPGN</t>
        </is>
      </c>
    </row>
    <row r="1156">
      <c r="A1156" s="4" t="inlineStr">
        <is>
          <t>T08_CAMPO_NAO_CADASTRADO</t>
        </is>
      </c>
      <c r="B1156" s="4" t="inlineStr">
        <is>
          <t>IMB-0056136</t>
        </is>
      </c>
      <c r="C1156" s="4" t="inlineStr">
        <is>
          <t>DESENVOLVIMENTO_CAMPOS</t>
        </is>
      </c>
      <c r="D1156" s="5" t="n">
        <v>3247.42</v>
      </c>
      <c r="E1156" s="5" t="n">
        <v>3247.42</v>
      </c>
      <c r="F1156" s="4" t="inlineStr">
        <is>
          <t>Campo/local nao consta das 58 concessoes, blocos ou UPGN</t>
        </is>
      </c>
    </row>
    <row r="1157">
      <c r="A1157" s="4" t="inlineStr">
        <is>
          <t>T08_CAMPO_NAO_CADASTRADO</t>
        </is>
      </c>
      <c r="B1157" s="4" t="inlineStr">
        <is>
          <t>IMB-0069073</t>
        </is>
      </c>
      <c r="C1157" s="4" t="inlineStr">
        <is>
          <t>MAQUINAS_EQUIPAMENTOS</t>
        </is>
      </c>
      <c r="D1157" s="5" t="n">
        <v>7860.2</v>
      </c>
      <c r="E1157" s="5" t="n">
        <v>7860.2</v>
      </c>
      <c r="F1157" s="4" t="inlineStr">
        <is>
          <t>Campo/local nao consta das 58 concessoes, blocos ou UPGN</t>
        </is>
      </c>
    </row>
    <row r="1158">
      <c r="A1158" s="4" t="inlineStr">
        <is>
          <t>T08_CAMPO_NAO_CADASTRADO</t>
        </is>
      </c>
      <c r="B1158" s="4" t="inlineStr">
        <is>
          <t>IMB-0076291</t>
        </is>
      </c>
      <c r="C1158" s="4" t="inlineStr">
        <is>
          <t>DESENVOLVIMENTO_CAMPOS</t>
        </is>
      </c>
      <c r="D1158" s="5" t="n">
        <v>6822.6</v>
      </c>
      <c r="E1158" s="5" t="n">
        <v>6822.6</v>
      </c>
      <c r="F1158" s="4" t="inlineStr">
        <is>
          <t>Campo/local nao consta das 58 concessoes, blocos ou UPGN</t>
        </is>
      </c>
    </row>
    <row r="1159">
      <c r="A1159" s="4" t="inlineStr">
        <is>
          <t>T08_CAMPO_NAO_CADASTRADO</t>
        </is>
      </c>
      <c r="B1159" s="4" t="inlineStr">
        <is>
          <t>IMB-0077086</t>
        </is>
      </c>
      <c r="C1159" s="4" t="inlineStr">
        <is>
          <t>DESENVOLVIMENTO_CAMPOS</t>
        </is>
      </c>
      <c r="D1159" s="5" t="n">
        <v>45443.99</v>
      </c>
      <c r="E1159" s="5" t="n">
        <v>45443.99</v>
      </c>
      <c r="F1159" s="4" t="inlineStr">
        <is>
          <t>Campo/local nao consta das 58 concessoes, blocos ou UPGN</t>
        </is>
      </c>
    </row>
    <row r="1160">
      <c r="A1160" s="4" t="inlineStr">
        <is>
          <t>T08_CAMPO_NAO_CADASTRADO</t>
        </is>
      </c>
      <c r="B1160" s="4" t="inlineStr">
        <is>
          <t>IMB-0091843</t>
        </is>
      </c>
      <c r="C1160" s="4" t="inlineStr">
        <is>
          <t>MAQUINAS_EQUIPAMENTOS</t>
        </is>
      </c>
      <c r="D1160" s="5" t="n">
        <v>13602.48</v>
      </c>
      <c r="E1160" s="5" t="n">
        <v>13602.48</v>
      </c>
      <c r="F1160" s="4" t="inlineStr">
        <is>
          <t>Campo/local nao consta das 58 concessoes, blocos ou UPGN</t>
        </is>
      </c>
    </row>
    <row r="1161">
      <c r="A1161" s="4" t="inlineStr">
        <is>
          <t>T08_CAMPO_NAO_CADASTRADO</t>
        </is>
      </c>
      <c r="B1161" s="4" t="inlineStr">
        <is>
          <t>IMB-0109247</t>
        </is>
      </c>
      <c r="C1161" s="4" t="inlineStr">
        <is>
          <t>DESENVOLVIMENTO_CAMPOS</t>
        </is>
      </c>
      <c r="D1161" s="5" t="n">
        <v>32458.4</v>
      </c>
      <c r="E1161" s="5" t="n">
        <v>32458.4</v>
      </c>
      <c r="F1161" s="4" t="inlineStr">
        <is>
          <t>Campo/local nao consta das 58 concessoes, blocos ou UPGN</t>
        </is>
      </c>
    </row>
    <row r="1162">
      <c r="A1162" s="4" t="inlineStr">
        <is>
          <t>T08_CAMPO_NAO_CADASTRADO</t>
        </is>
      </c>
      <c r="B1162" s="4" t="inlineStr">
        <is>
          <t>IMB-0126010</t>
        </is>
      </c>
      <c r="C1162" s="4" t="inlineStr">
        <is>
          <t>DESENVOLVIMENTO_CAMPOS</t>
        </is>
      </c>
      <c r="D1162" s="5" t="n">
        <v>136288.25</v>
      </c>
      <c r="E1162" s="5" t="n">
        <v>136288.25</v>
      </c>
      <c r="F1162" s="4" t="inlineStr">
        <is>
          <t>Campo/local nao consta das 58 concessoes, blocos ou UPGN</t>
        </is>
      </c>
    </row>
    <row r="1163">
      <c r="A1163" s="4" t="inlineStr">
        <is>
          <t>T08_CAMPO_NAO_CADASTRADO</t>
        </is>
      </c>
      <c r="B1163" s="4" t="inlineStr">
        <is>
          <t>IMB-0127952</t>
        </is>
      </c>
      <c r="C1163" s="4" t="inlineStr">
        <is>
          <t>DESENVOLVIMENTO_CAMPOS</t>
        </is>
      </c>
      <c r="D1163" s="5" t="n">
        <v>20547.16</v>
      </c>
      <c r="E1163" s="5" t="n">
        <v>20547.16</v>
      </c>
      <c r="F1163" s="4" t="inlineStr">
        <is>
          <t>Campo/local nao consta das 58 concessoes, blocos ou UPGN</t>
        </is>
      </c>
    </row>
    <row r="1164">
      <c r="A1164" s="4" t="inlineStr">
        <is>
          <t>T08_CAMPO_NAO_CADASTRADO</t>
        </is>
      </c>
      <c r="B1164" s="4" t="inlineStr">
        <is>
          <t>IMB-0150979</t>
        </is>
      </c>
      <c r="C1164" s="4" t="inlineStr">
        <is>
          <t>DESENVOLVIMENTO_CAMPOS</t>
        </is>
      </c>
      <c r="D1164" s="5" t="n">
        <v>8526.059999999999</v>
      </c>
      <c r="E1164" s="5" t="n">
        <v>8526.059999999999</v>
      </c>
      <c r="F1164" s="4" t="inlineStr">
        <is>
          <t>Campo/local nao consta das 58 concessoes, blocos ou UPGN</t>
        </is>
      </c>
    </row>
    <row r="1165">
      <c r="A1165" s="4" t="inlineStr">
        <is>
          <t>T08_CAMPO_NAO_CADASTRADO</t>
        </is>
      </c>
      <c r="B1165" s="4" t="inlineStr">
        <is>
          <t>IMB-0151404</t>
        </is>
      </c>
      <c r="C1165" s="4" t="inlineStr">
        <is>
          <t>DESENVOLVIMENTO_CAMPOS</t>
        </is>
      </c>
      <c r="D1165" s="5" t="n">
        <v>67108.63</v>
      </c>
      <c r="E1165" s="5" t="n">
        <v>67108.63</v>
      </c>
      <c r="F1165" s="4" t="inlineStr">
        <is>
          <t>Campo/local nao consta das 58 concessoes, blocos ou UPGN</t>
        </is>
      </c>
    </row>
    <row r="1166">
      <c r="A1166" s="4" t="inlineStr">
        <is>
          <t>T08_CAMPO_NAO_CADASTRADO</t>
        </is>
      </c>
      <c r="B1166" s="4" t="inlineStr">
        <is>
          <t>IMB-0157066</t>
        </is>
      </c>
      <c r="C1166" s="4" t="inlineStr">
        <is>
          <t>MAQUINAS_EQUIPAMENTOS</t>
        </is>
      </c>
      <c r="D1166" s="5" t="n">
        <v>76684.82000000001</v>
      </c>
      <c r="E1166" s="5" t="n">
        <v>76684.82000000001</v>
      </c>
      <c r="F1166" s="4" t="inlineStr">
        <is>
          <t>Campo/local nao consta das 58 concessoes, blocos ou UPGN</t>
        </is>
      </c>
    </row>
    <row r="1167">
      <c r="A1167" s="4" t="inlineStr">
        <is>
          <t>T08_CAMPO_NAO_CADASTRADO</t>
        </is>
      </c>
      <c r="B1167" s="4" t="inlineStr">
        <is>
          <t>IMB-0164596</t>
        </is>
      </c>
      <c r="C1167" s="4" t="inlineStr">
        <is>
          <t>MAQUINAS_EQUIPAMENTOS</t>
        </is>
      </c>
      <c r="D1167" s="5" t="n">
        <v>16706.69</v>
      </c>
      <c r="E1167" s="5" t="n">
        <v>16706.69</v>
      </c>
      <c r="F1167" s="4" t="inlineStr">
        <is>
          <t>Campo/local nao consta das 58 concessoes, blocos ou UPGN</t>
        </is>
      </c>
    </row>
    <row r="1168">
      <c r="A1168" s="4" t="inlineStr">
        <is>
          <t>T08_CAMPO_NAO_CADASTRADO</t>
        </is>
      </c>
      <c r="B1168" s="4" t="inlineStr">
        <is>
          <t>IMB-0166911</t>
        </is>
      </c>
      <c r="C1168" s="4" t="inlineStr">
        <is>
          <t>MAQUINAS_EQUIPAMENTOS</t>
        </is>
      </c>
      <c r="D1168" s="5" t="n">
        <v>16609.3</v>
      </c>
      <c r="E1168" s="5" t="n">
        <v>16609.3</v>
      </c>
      <c r="F1168" s="4" t="inlineStr">
        <is>
          <t>Campo/local nao consta das 58 concessoes, blocos ou UPGN</t>
        </is>
      </c>
    </row>
    <row r="1169">
      <c r="A1169" s="4" t="inlineStr">
        <is>
          <t>T08_CAMPO_NAO_CADASTRADO</t>
        </is>
      </c>
      <c r="B1169" s="4" t="inlineStr">
        <is>
          <t>IMB-0184141</t>
        </is>
      </c>
      <c r="C1169" s="4" t="inlineStr">
        <is>
          <t>DESENVOLVIMENTO_CAMPOS</t>
        </is>
      </c>
      <c r="D1169" s="5" t="n">
        <v>136901.09</v>
      </c>
      <c r="E1169" s="5" t="n">
        <v>136901.09</v>
      </c>
      <c r="F1169" s="4" t="inlineStr">
        <is>
          <t>Campo/local nao consta das 58 concessoes, blocos ou UPGN</t>
        </is>
      </c>
    </row>
    <row r="1170">
      <c r="A1170" s="4" t="inlineStr">
        <is>
          <t>T08_CAMPO_NAO_CADASTRADO</t>
        </is>
      </c>
      <c r="B1170" s="4" t="inlineStr">
        <is>
          <t>IMB-0207990</t>
        </is>
      </c>
      <c r="C1170" s="4" t="inlineStr">
        <is>
          <t>DESENVOLVIMENTO_CAMPOS</t>
        </is>
      </c>
      <c r="D1170" s="5" t="n">
        <v>28415.49</v>
      </c>
      <c r="E1170" s="5" t="n">
        <v>28415.49</v>
      </c>
      <c r="F1170" s="4" t="inlineStr">
        <is>
          <t>Campo/local nao consta das 58 concessoes, blocos ou UPGN</t>
        </is>
      </c>
    </row>
    <row r="1171">
      <c r="A1171" s="4" t="inlineStr">
        <is>
          <t>T08_CAMPO_NAO_CADASTRADO</t>
        </is>
      </c>
      <c r="B1171" s="4" t="inlineStr">
        <is>
          <t>IMB-0256322</t>
        </is>
      </c>
      <c r="C1171" s="4" t="inlineStr">
        <is>
          <t>DESENVOLVIMENTO_CAMPOS</t>
        </is>
      </c>
      <c r="D1171" s="5" t="n">
        <v>4715.38</v>
      </c>
      <c r="E1171" s="5" t="n">
        <v>4715.38</v>
      </c>
      <c r="F1171" s="4" t="inlineStr">
        <is>
          <t>Campo/local nao consta das 58 concessoes, blocos ou UPGN</t>
        </is>
      </c>
    </row>
    <row r="1172">
      <c r="A1172" s="4" t="inlineStr">
        <is>
          <t>T08_CAMPO_NAO_CADASTRADO</t>
        </is>
      </c>
      <c r="B1172" s="4" t="inlineStr">
        <is>
          <t>IMB-0274479</t>
        </is>
      </c>
      <c r="C1172" s="4" t="inlineStr">
        <is>
          <t>DESENVOLVIMENTO_CAMPOS</t>
        </is>
      </c>
      <c r="D1172" s="5" t="n">
        <v>3509.39</v>
      </c>
      <c r="E1172" s="5" t="n">
        <v>3509.39</v>
      </c>
      <c r="F1172" s="4" t="inlineStr">
        <is>
          <t>Campo/local nao consta das 58 concessoes, blocos ou UPGN</t>
        </is>
      </c>
    </row>
    <row r="1173">
      <c r="A1173" s="4" t="inlineStr">
        <is>
          <t>T08_CAMPO_NAO_CADASTRADO</t>
        </is>
      </c>
      <c r="B1173" s="4" t="inlineStr">
        <is>
          <t>IMB-0276524</t>
        </is>
      </c>
      <c r="C1173" s="4" t="inlineStr">
        <is>
          <t>DESENVOLVIMENTO_CAMPOS</t>
        </is>
      </c>
      <c r="D1173" s="5" t="n">
        <v>72291.72</v>
      </c>
      <c r="E1173" s="5" t="n">
        <v>72291.72</v>
      </c>
      <c r="F1173" s="4" t="inlineStr">
        <is>
          <t>Campo/local nao consta das 58 concessoes, blocos ou UPGN</t>
        </is>
      </c>
    </row>
    <row r="1174">
      <c r="A1174" s="4" t="inlineStr">
        <is>
          <t>T08_CAMPO_NAO_CADASTRADO</t>
        </is>
      </c>
      <c r="B1174" s="4" t="inlineStr">
        <is>
          <t>IMB-0311354</t>
        </is>
      </c>
      <c r="C1174" s="4" t="inlineStr">
        <is>
          <t>DESENVOLVIMENTO_CAMPOS</t>
        </is>
      </c>
      <c r="D1174" s="5" t="n">
        <v>41713.72</v>
      </c>
      <c r="E1174" s="5" t="n">
        <v>41713.72</v>
      </c>
      <c r="F1174" s="4" t="inlineStr">
        <is>
          <t>Campo/local nao consta das 58 concessoes, blocos ou UPGN</t>
        </is>
      </c>
    </row>
    <row r="1175">
      <c r="A1175" s="4" t="inlineStr">
        <is>
          <t>T08_CAMPO_NAO_CADASTRADO</t>
        </is>
      </c>
      <c r="B1175" s="4" t="inlineStr">
        <is>
          <t>IMB-0350049</t>
        </is>
      </c>
      <c r="C1175" s="4" t="inlineStr">
        <is>
          <t>DESENVOLVIMENTO_CAMPOS</t>
        </is>
      </c>
      <c r="D1175" s="5" t="n">
        <v>9078.459999999999</v>
      </c>
      <c r="E1175" s="5" t="n">
        <v>9078.459999999999</v>
      </c>
      <c r="F1175" s="4" t="inlineStr">
        <is>
          <t>Campo/local nao consta das 58 concessoes, blocos ou UPGN</t>
        </is>
      </c>
    </row>
    <row r="1176">
      <c r="A1176" s="4" t="inlineStr">
        <is>
          <t>T08_CAMPO_NAO_CADASTRADO</t>
        </is>
      </c>
      <c r="B1176" s="4" t="inlineStr">
        <is>
          <t>IMB-0363917</t>
        </is>
      </c>
      <c r="C1176" s="4" t="inlineStr">
        <is>
          <t>DESENVOLVIMENTO_CAMPOS</t>
        </is>
      </c>
      <c r="D1176" s="5" t="n">
        <v>6658.07</v>
      </c>
      <c r="E1176" s="5" t="n">
        <v>6658.07</v>
      </c>
      <c r="F1176" s="4" t="inlineStr">
        <is>
          <t>Campo/local nao consta das 58 concessoes, blocos ou UPGN</t>
        </is>
      </c>
    </row>
    <row r="1177">
      <c r="A1177" s="4" t="inlineStr">
        <is>
          <t>T08_CAMPO_NAO_CADASTRADO</t>
        </is>
      </c>
      <c r="B1177" s="4" t="inlineStr">
        <is>
          <t>IMB-0375989</t>
        </is>
      </c>
      <c r="C1177" s="4" t="inlineStr">
        <is>
          <t>DESENVOLVIMENTO_CAMPOS</t>
        </is>
      </c>
      <c r="D1177" s="5" t="n">
        <v>11767.13</v>
      </c>
      <c r="E1177" s="5" t="n">
        <v>11767.13</v>
      </c>
      <c r="F1177" s="4" t="inlineStr">
        <is>
          <t>Campo/local nao consta das 58 concessoes, blocos ou UPGN</t>
        </is>
      </c>
    </row>
    <row r="1178">
      <c r="A1178" s="4" t="inlineStr">
        <is>
          <t>T08_CAMPO_NAO_CADASTRADO</t>
        </is>
      </c>
      <c r="B1178" s="4" t="inlineStr">
        <is>
          <t>IMB-0386673</t>
        </is>
      </c>
      <c r="C1178" s="4" t="inlineStr">
        <is>
          <t>DESENVOLVIMENTO_CAMPOS</t>
        </is>
      </c>
      <c r="D1178" s="5" t="n">
        <v>7648.39</v>
      </c>
      <c r="E1178" s="5" t="n">
        <v>7648.39</v>
      </c>
      <c r="F1178" s="4" t="inlineStr">
        <is>
          <t>Campo/local nao consta das 58 concessoes, blocos ou UPGN</t>
        </is>
      </c>
    </row>
    <row r="1179">
      <c r="A1179" s="4" t="inlineStr">
        <is>
          <t>T08_CAMPO_NAO_CADASTRADO</t>
        </is>
      </c>
      <c r="B1179" s="4" t="inlineStr">
        <is>
          <t>IMB-0386695</t>
        </is>
      </c>
      <c r="C1179" s="4" t="inlineStr">
        <is>
          <t>DESENVOLVIMENTO_CAMPOS</t>
        </is>
      </c>
      <c r="D1179" s="5" t="n">
        <v>121158.6</v>
      </c>
      <c r="E1179" s="5" t="n">
        <v>121158.6</v>
      </c>
      <c r="F1179" s="4" t="inlineStr">
        <is>
          <t>Campo/local nao consta das 58 concessoes, blocos ou UPGN</t>
        </is>
      </c>
    </row>
    <row r="1180">
      <c r="A1180" s="4" t="inlineStr">
        <is>
          <t>T08_CAMPO_NAO_CADASTRADO</t>
        </is>
      </c>
      <c r="B1180" s="4" t="inlineStr">
        <is>
          <t>IMB-0428635</t>
        </is>
      </c>
      <c r="C1180" s="4" t="inlineStr">
        <is>
          <t>MAQUINAS_EQUIPAMENTOS</t>
        </is>
      </c>
      <c r="D1180" s="5" t="n">
        <v>3325.17</v>
      </c>
      <c r="E1180" s="5" t="n">
        <v>3325.17</v>
      </c>
      <c r="F1180" s="4" t="inlineStr">
        <is>
          <t>Campo/local nao consta das 58 concessoes, blocos ou UPGN</t>
        </is>
      </c>
    </row>
    <row r="1181">
      <c r="A1181" s="4" t="inlineStr">
        <is>
          <t>T08_CAMPO_NAO_CADASTRADO</t>
        </is>
      </c>
      <c r="B1181" s="4" t="inlineStr">
        <is>
          <t>IMB-0483110</t>
        </is>
      </c>
      <c r="C1181" s="4" t="inlineStr">
        <is>
          <t>MAQUINAS_EQUIPAMENTOS</t>
        </is>
      </c>
      <c r="D1181" s="5" t="n">
        <v>13417.77</v>
      </c>
      <c r="E1181" s="5" t="n">
        <v>13417.77</v>
      </c>
      <c r="F1181" s="4" t="inlineStr">
        <is>
          <t>Campo/local nao consta das 58 concessoes, blocos ou UPGN</t>
        </is>
      </c>
    </row>
    <row r="1182">
      <c r="A1182" s="4" t="inlineStr">
        <is>
          <t>T08_CAMPO_NAO_CADASTRADO</t>
        </is>
      </c>
      <c r="B1182" s="4" t="inlineStr">
        <is>
          <t>IMB-0485692</t>
        </is>
      </c>
      <c r="C1182" s="4" t="inlineStr">
        <is>
          <t>DESENVOLVIMENTO_CAMPOS</t>
        </is>
      </c>
      <c r="D1182" s="5" t="n">
        <v>22544.25</v>
      </c>
      <c r="E1182" s="5" t="n">
        <v>22544.25</v>
      </c>
      <c r="F1182" s="4" t="inlineStr">
        <is>
          <t>Campo/local nao consta das 58 concessoes, blocos ou UPGN</t>
        </is>
      </c>
    </row>
    <row r="1183">
      <c r="A1183" s="4" t="inlineStr">
        <is>
          <t>T08_CAMPO_NAO_CADASTRADO</t>
        </is>
      </c>
      <c r="B1183" s="4" t="inlineStr">
        <is>
          <t>IMB-0489751</t>
        </is>
      </c>
      <c r="C1183" s="4" t="inlineStr">
        <is>
          <t>DESENVOLVIMENTO_CAMPOS</t>
        </is>
      </c>
      <c r="D1183" s="5" t="n">
        <v>3128.83</v>
      </c>
      <c r="E1183" s="5" t="n">
        <v>3128.83</v>
      </c>
      <c r="F1183" s="4" t="inlineStr">
        <is>
          <t>Campo/local nao consta das 58 concessoes, blocos ou UPGN</t>
        </is>
      </c>
    </row>
    <row r="1184">
      <c r="A1184" s="4" t="inlineStr">
        <is>
          <t>T08_CAMPO_NAO_CADASTRADO</t>
        </is>
      </c>
      <c r="B1184" s="4" t="inlineStr">
        <is>
          <t>IMB-0498295</t>
        </is>
      </c>
      <c r="C1184" s="4" t="inlineStr">
        <is>
          <t>DESENVOLVIMENTO_CAMPOS</t>
        </is>
      </c>
      <c r="D1184" s="5" t="n">
        <v>52005.34</v>
      </c>
      <c r="E1184" s="5" t="n">
        <v>52005.34</v>
      </c>
      <c r="F1184" s="4" t="inlineStr">
        <is>
          <t>Campo/local nao consta das 58 concessoes, blocos ou UPGN</t>
        </is>
      </c>
    </row>
    <row r="1185">
      <c r="A1185" s="4" t="inlineStr">
        <is>
          <t>T08_CAMPO_NAO_CADASTRADO</t>
        </is>
      </c>
      <c r="B1185" s="4" t="inlineStr">
        <is>
          <t>IMB-0504178</t>
        </is>
      </c>
      <c r="C1185" s="4" t="inlineStr">
        <is>
          <t>DESENVOLVIMENTO_CAMPOS</t>
        </is>
      </c>
      <c r="D1185" s="5" t="n">
        <v>5479.54</v>
      </c>
      <c r="E1185" s="5" t="n">
        <v>5479.54</v>
      </c>
      <c r="F1185" s="4" t="inlineStr">
        <is>
          <t>Campo/local nao consta das 58 concessoes, blocos ou UPGN</t>
        </is>
      </c>
    </row>
    <row r="1186">
      <c r="A1186" s="4" t="inlineStr">
        <is>
          <t>T09_ANDAMENTO_PARADO_2A</t>
        </is>
      </c>
      <c r="B1186" s="4" t="inlineStr">
        <is>
          <t>IMB-0002589</t>
        </is>
      </c>
      <c r="C1186" s="4" t="inlineStr">
        <is>
          <t>IMOBILIZADO_EM_ANDAMENTO</t>
        </is>
      </c>
      <c r="D1186" s="5" t="n">
        <v>536.11</v>
      </c>
      <c r="E1186" s="5" t="n">
        <v>536.11</v>
      </c>
      <c r="F1186" s="4" t="inlineStr">
        <is>
          <t>Ordem em andamento sem movimentacao desde antes de 01/01/2024 (transferencia tardia / impairment)</t>
        </is>
      </c>
    </row>
    <row r="1187">
      <c r="A1187" s="4" t="inlineStr">
        <is>
          <t>T09_ANDAMENTO_PARADO_2A</t>
        </is>
      </c>
      <c r="B1187" s="4" t="inlineStr">
        <is>
          <t>IMB-0018489</t>
        </is>
      </c>
      <c r="C1187" s="4" t="inlineStr">
        <is>
          <t>IMOBILIZADO_EM_ANDAMENTO</t>
        </is>
      </c>
      <c r="D1187" s="5" t="n">
        <v>86475.36</v>
      </c>
      <c r="E1187" s="5" t="n">
        <v>86475.36</v>
      </c>
      <c r="F1187" s="4" t="inlineStr">
        <is>
          <t>Ordem em andamento sem movimentacao desde antes de 01/01/2024 (transferencia tardia / impairment)</t>
        </is>
      </c>
    </row>
    <row r="1188">
      <c r="A1188" s="4" t="inlineStr">
        <is>
          <t>T09_ANDAMENTO_PARADO_2A</t>
        </is>
      </c>
      <c r="B1188" s="4" t="inlineStr">
        <is>
          <t>IMB-0028723</t>
        </is>
      </c>
      <c r="C1188" s="4" t="inlineStr">
        <is>
          <t>IMOBILIZADO_EM_ANDAMENTO</t>
        </is>
      </c>
      <c r="D1188" s="5" t="n">
        <v>453344.8</v>
      </c>
      <c r="E1188" s="5" t="n">
        <v>453344.8</v>
      </c>
      <c r="F1188" s="4" t="inlineStr">
        <is>
          <t>Ordem em andamento sem movimentacao desde antes de 01/01/2024 (transferencia tardia / impairment)</t>
        </is>
      </c>
    </row>
    <row r="1189">
      <c r="A1189" s="4" t="inlineStr">
        <is>
          <t>T09_ANDAMENTO_PARADO_2A</t>
        </is>
      </c>
      <c r="B1189" s="4" t="inlineStr">
        <is>
          <t>IMB-0030516</t>
        </is>
      </c>
      <c r="C1189" s="4" t="inlineStr">
        <is>
          <t>IMOBILIZADO_EM_ANDAMENTO</t>
        </is>
      </c>
      <c r="D1189" s="5" t="n">
        <v>1554.18</v>
      </c>
      <c r="E1189" s="5" t="n">
        <v>1554.18</v>
      </c>
      <c r="F1189" s="4" t="inlineStr">
        <is>
          <t>Ordem em andamento sem movimentacao desde antes de 01/01/2024 (transferencia tardia / impairment)</t>
        </is>
      </c>
    </row>
    <row r="1190">
      <c r="A1190" s="4" t="inlineStr">
        <is>
          <t>T09_ANDAMENTO_PARADO_2A</t>
        </is>
      </c>
      <c r="B1190" s="4" t="inlineStr">
        <is>
          <t>IMB-0042364</t>
        </is>
      </c>
      <c r="C1190" s="4" t="inlineStr">
        <is>
          <t>IMOBILIZADO_EM_ANDAMENTO</t>
        </is>
      </c>
      <c r="D1190" s="5" t="n">
        <v>89217.32000000001</v>
      </c>
      <c r="E1190" s="5" t="n">
        <v>89217.32000000001</v>
      </c>
      <c r="F1190" s="4" t="inlineStr">
        <is>
          <t>Ordem em andamento sem movimentacao desde antes de 01/01/2024 (transferencia tardia / impairment)</t>
        </is>
      </c>
    </row>
    <row r="1191">
      <c r="A1191" s="4" t="inlineStr">
        <is>
          <t>T09_ANDAMENTO_PARADO_2A</t>
        </is>
      </c>
      <c r="B1191" s="4" t="inlineStr">
        <is>
          <t>IMB-0052441</t>
        </is>
      </c>
      <c r="C1191" s="4" t="inlineStr">
        <is>
          <t>IMOBILIZADO_EM_ANDAMENTO</t>
        </is>
      </c>
      <c r="D1191" s="5" t="n">
        <v>19022.71</v>
      </c>
      <c r="E1191" s="5" t="n">
        <v>19022.71</v>
      </c>
      <c r="F1191" s="4" t="inlineStr">
        <is>
          <t>Ordem em andamento sem movimentacao desde antes de 01/01/2024 (transferencia tardia / impairment)</t>
        </is>
      </c>
    </row>
    <row r="1192">
      <c r="A1192" s="4" t="inlineStr">
        <is>
          <t>T09_ANDAMENTO_PARADO_2A</t>
        </is>
      </c>
      <c r="B1192" s="4" t="inlineStr">
        <is>
          <t>IMB-0053837</t>
        </is>
      </c>
      <c r="C1192" s="4" t="inlineStr">
        <is>
          <t>IMOBILIZADO_EM_ANDAMENTO</t>
        </is>
      </c>
      <c r="D1192" s="5" t="n">
        <v>5571.74</v>
      </c>
      <c r="E1192" s="5" t="n">
        <v>5571.74</v>
      </c>
      <c r="F1192" s="4" t="inlineStr">
        <is>
          <t>Ordem em andamento sem movimentacao desde antes de 01/01/2024 (transferencia tardia / impairment)</t>
        </is>
      </c>
    </row>
    <row r="1193">
      <c r="A1193" s="4" t="inlineStr">
        <is>
          <t>T09_ANDAMENTO_PARADO_2A</t>
        </is>
      </c>
      <c r="B1193" s="4" t="inlineStr">
        <is>
          <t>IMB-0054168</t>
        </is>
      </c>
      <c r="C1193" s="4" t="inlineStr">
        <is>
          <t>IMOBILIZADO_EM_ANDAMENTO</t>
        </is>
      </c>
      <c r="D1193" s="5" t="n">
        <v>7093.74</v>
      </c>
      <c r="E1193" s="5" t="n">
        <v>7093.74</v>
      </c>
      <c r="F1193" s="4" t="inlineStr">
        <is>
          <t>Ordem em andamento sem movimentacao desde antes de 01/01/2024 (transferencia tardia / impairment)</t>
        </is>
      </c>
    </row>
    <row r="1194">
      <c r="A1194" s="4" t="inlineStr">
        <is>
          <t>T09_ANDAMENTO_PARADO_2A</t>
        </is>
      </c>
      <c r="B1194" s="4" t="inlineStr">
        <is>
          <t>IMB-0070280</t>
        </is>
      </c>
      <c r="C1194" s="4" t="inlineStr">
        <is>
          <t>IMOBILIZADO_EM_ANDAMENTO</t>
        </is>
      </c>
      <c r="D1194" s="5" t="n">
        <v>772.71</v>
      </c>
      <c r="E1194" s="5" t="n">
        <v>772.71</v>
      </c>
      <c r="F1194" s="4" t="inlineStr">
        <is>
          <t>Ordem em andamento sem movimentacao desde antes de 01/01/2024 (transferencia tardia / impairment)</t>
        </is>
      </c>
    </row>
    <row r="1195">
      <c r="A1195" s="4" t="inlineStr">
        <is>
          <t>T09_ANDAMENTO_PARADO_2A</t>
        </is>
      </c>
      <c r="B1195" s="4" t="inlineStr">
        <is>
          <t>IMB-0075584</t>
        </is>
      </c>
      <c r="C1195" s="4" t="inlineStr">
        <is>
          <t>IMOBILIZADO_EM_ANDAMENTO</t>
        </is>
      </c>
      <c r="D1195" s="5" t="n">
        <v>37038.68</v>
      </c>
      <c r="E1195" s="5" t="n">
        <v>37038.68</v>
      </c>
      <c r="F1195" s="4" t="inlineStr">
        <is>
          <t>Ordem em andamento sem movimentacao desde antes de 01/01/2024 (transferencia tardia / impairment)</t>
        </is>
      </c>
    </row>
    <row r="1196">
      <c r="A1196" s="4" t="inlineStr">
        <is>
          <t>T09_ANDAMENTO_PARADO_2A</t>
        </is>
      </c>
      <c r="B1196" s="4" t="inlineStr">
        <is>
          <t>IMB-0078869</t>
        </is>
      </c>
      <c r="C1196" s="4" t="inlineStr">
        <is>
          <t>IMOBILIZADO_EM_ANDAMENTO</t>
        </is>
      </c>
      <c r="D1196" s="5" t="n">
        <v>11405.87</v>
      </c>
      <c r="E1196" s="5" t="n">
        <v>11405.87</v>
      </c>
      <c r="F1196" s="4" t="inlineStr">
        <is>
          <t>Ordem em andamento sem movimentacao desde antes de 01/01/2024 (transferencia tardia / impairment)</t>
        </is>
      </c>
    </row>
    <row r="1197">
      <c r="A1197" s="4" t="inlineStr">
        <is>
          <t>T09_ANDAMENTO_PARADO_2A</t>
        </is>
      </c>
      <c r="B1197" s="4" t="inlineStr">
        <is>
          <t>IMB-0127390</t>
        </is>
      </c>
      <c r="C1197" s="4" t="inlineStr">
        <is>
          <t>IMOBILIZADO_EM_ANDAMENTO</t>
        </is>
      </c>
      <c r="D1197" s="5" t="n">
        <v>26355</v>
      </c>
      <c r="E1197" s="5" t="n">
        <v>26355</v>
      </c>
      <c r="F1197" s="4" t="inlineStr">
        <is>
          <t>Ordem em andamento sem movimentacao desde antes de 01/01/2024 (transferencia tardia / impairment)</t>
        </is>
      </c>
    </row>
    <row r="1198">
      <c r="A1198" s="4" t="inlineStr">
        <is>
          <t>T09_ANDAMENTO_PARADO_2A</t>
        </is>
      </c>
      <c r="B1198" s="4" t="inlineStr">
        <is>
          <t>IMB-0129892</t>
        </is>
      </c>
      <c r="C1198" s="4" t="inlineStr">
        <is>
          <t>IMOBILIZADO_EM_ANDAMENTO</t>
        </is>
      </c>
      <c r="D1198" s="5" t="n">
        <v>3334.81</v>
      </c>
      <c r="E1198" s="5" t="n">
        <v>3334.81</v>
      </c>
      <c r="F1198" s="4" t="inlineStr">
        <is>
          <t>Ordem em andamento sem movimentacao desde antes de 01/01/2024 (transferencia tardia / impairment)</t>
        </is>
      </c>
    </row>
    <row r="1199">
      <c r="A1199" s="4" t="inlineStr">
        <is>
          <t>T09_ANDAMENTO_PARADO_2A</t>
        </is>
      </c>
      <c r="B1199" s="4" t="inlineStr">
        <is>
          <t>IMB-0136766</t>
        </is>
      </c>
      <c r="C1199" s="4" t="inlineStr">
        <is>
          <t>IMOBILIZADO_EM_ANDAMENTO</t>
        </is>
      </c>
      <c r="D1199" s="5" t="n">
        <v>16660.93</v>
      </c>
      <c r="E1199" s="5" t="n">
        <v>16660.93</v>
      </c>
      <c r="F1199" s="4" t="inlineStr">
        <is>
          <t>Ordem em andamento sem movimentacao desde antes de 01/01/2024 (transferencia tardia / impairment)</t>
        </is>
      </c>
    </row>
    <row r="1200">
      <c r="A1200" s="4" t="inlineStr">
        <is>
          <t>T09_ANDAMENTO_PARADO_2A</t>
        </is>
      </c>
      <c r="B1200" s="4" t="inlineStr">
        <is>
          <t>IMB-0144034</t>
        </is>
      </c>
      <c r="C1200" s="4" t="inlineStr">
        <is>
          <t>IMOBILIZADO_EM_ANDAMENTO</t>
        </is>
      </c>
      <c r="D1200" s="5" t="n">
        <v>1625.24</v>
      </c>
      <c r="E1200" s="5" t="n">
        <v>1625.24</v>
      </c>
      <c r="F1200" s="4" t="inlineStr">
        <is>
          <t>Ordem em andamento sem movimentacao desde antes de 01/01/2024 (transferencia tardia / impairment)</t>
        </is>
      </c>
    </row>
    <row r="1201">
      <c r="A1201" s="4" t="inlineStr">
        <is>
          <t>T09_ANDAMENTO_PARADO_2A</t>
        </is>
      </c>
      <c r="B1201" s="4" t="inlineStr">
        <is>
          <t>IMB-0145040</t>
        </is>
      </c>
      <c r="C1201" s="4" t="inlineStr">
        <is>
          <t>IMOBILIZADO_EM_ANDAMENTO</t>
        </is>
      </c>
      <c r="D1201" s="5" t="n">
        <v>541.99</v>
      </c>
      <c r="E1201" s="5" t="n">
        <v>541.99</v>
      </c>
      <c r="F1201" s="4" t="inlineStr">
        <is>
          <t>Ordem em andamento sem movimentacao desde antes de 01/01/2024 (transferencia tardia / impairment)</t>
        </is>
      </c>
    </row>
    <row r="1202">
      <c r="A1202" s="4" t="inlineStr">
        <is>
          <t>T09_ANDAMENTO_PARADO_2A</t>
        </is>
      </c>
      <c r="B1202" s="4" t="inlineStr">
        <is>
          <t>IMB-0145380</t>
        </is>
      </c>
      <c r="C1202" s="4" t="inlineStr">
        <is>
          <t>IMOBILIZADO_EM_ANDAMENTO</t>
        </is>
      </c>
      <c r="D1202" s="5" t="n">
        <v>10483.77</v>
      </c>
      <c r="E1202" s="5" t="n">
        <v>10483.77</v>
      </c>
      <c r="F1202" s="4" t="inlineStr">
        <is>
          <t>Ordem em andamento sem movimentacao desde antes de 01/01/2024 (transferencia tardia / impairment)</t>
        </is>
      </c>
    </row>
    <row r="1203">
      <c r="A1203" s="4" t="inlineStr">
        <is>
          <t>T09_ANDAMENTO_PARADO_2A</t>
        </is>
      </c>
      <c r="B1203" s="4" t="inlineStr">
        <is>
          <t>IMB-0158730</t>
        </is>
      </c>
      <c r="C1203" s="4" t="inlineStr">
        <is>
          <t>IMOBILIZADO_EM_ANDAMENTO</t>
        </is>
      </c>
      <c r="D1203" s="5" t="n">
        <v>9187.65</v>
      </c>
      <c r="E1203" s="5" t="n">
        <v>9187.65</v>
      </c>
      <c r="F1203" s="4" t="inlineStr">
        <is>
          <t>Ordem em andamento sem movimentacao desde antes de 01/01/2024 (transferencia tardia / impairment)</t>
        </is>
      </c>
    </row>
    <row r="1204">
      <c r="A1204" s="4" t="inlineStr">
        <is>
          <t>T09_ANDAMENTO_PARADO_2A</t>
        </is>
      </c>
      <c r="B1204" s="4" t="inlineStr">
        <is>
          <t>IMB-0160287</t>
        </is>
      </c>
      <c r="C1204" s="4" t="inlineStr">
        <is>
          <t>IMOBILIZADO_EM_ANDAMENTO</t>
        </is>
      </c>
      <c r="D1204" s="5" t="n">
        <v>6316.24</v>
      </c>
      <c r="E1204" s="5" t="n">
        <v>6316.24</v>
      </c>
      <c r="F1204" s="4" t="inlineStr">
        <is>
          <t>Ordem em andamento sem movimentacao desde antes de 01/01/2024 (transferencia tardia / impairment)</t>
        </is>
      </c>
    </row>
    <row r="1205">
      <c r="A1205" s="4" t="inlineStr">
        <is>
          <t>T09_ANDAMENTO_PARADO_2A</t>
        </is>
      </c>
      <c r="B1205" s="4" t="inlineStr">
        <is>
          <t>IMB-0163289</t>
        </is>
      </c>
      <c r="C1205" s="4" t="inlineStr">
        <is>
          <t>IMOBILIZADO_EM_ANDAMENTO</t>
        </is>
      </c>
      <c r="D1205" s="5" t="n">
        <v>2173.73</v>
      </c>
      <c r="E1205" s="5" t="n">
        <v>2173.73</v>
      </c>
      <c r="F1205" s="4" t="inlineStr">
        <is>
          <t>Ordem em andamento sem movimentacao desde antes de 01/01/2024 (transferencia tardia / impairment)</t>
        </is>
      </c>
    </row>
    <row r="1206">
      <c r="A1206" s="4" t="inlineStr">
        <is>
          <t>T09_ANDAMENTO_PARADO_2A</t>
        </is>
      </c>
      <c r="B1206" s="4" t="inlineStr">
        <is>
          <t>IMB-0171541</t>
        </is>
      </c>
      <c r="C1206" s="4" t="inlineStr">
        <is>
          <t>IMOBILIZADO_EM_ANDAMENTO</t>
        </is>
      </c>
      <c r="D1206" s="5" t="n">
        <v>712.0700000000001</v>
      </c>
      <c r="E1206" s="5" t="n">
        <v>712.0700000000001</v>
      </c>
      <c r="F1206" s="4" t="inlineStr">
        <is>
          <t>Ordem em andamento sem movimentacao desde antes de 01/01/2024 (transferencia tardia / impairment)</t>
        </is>
      </c>
    </row>
    <row r="1207">
      <c r="A1207" s="4" t="inlineStr">
        <is>
          <t>T09_ANDAMENTO_PARADO_2A</t>
        </is>
      </c>
      <c r="B1207" s="4" t="inlineStr">
        <is>
          <t>IMB-0179782</t>
        </is>
      </c>
      <c r="C1207" s="4" t="inlineStr">
        <is>
          <t>IMOBILIZADO_EM_ANDAMENTO</t>
        </is>
      </c>
      <c r="D1207" s="5" t="n">
        <v>466.82</v>
      </c>
      <c r="E1207" s="5" t="n">
        <v>466.82</v>
      </c>
      <c r="F1207" s="4" t="inlineStr">
        <is>
          <t>Ordem em andamento sem movimentacao desde antes de 01/01/2024 (transferencia tardia / impairment)</t>
        </is>
      </c>
    </row>
    <row r="1208">
      <c r="A1208" s="4" t="inlineStr">
        <is>
          <t>T09_ANDAMENTO_PARADO_2A</t>
        </is>
      </c>
      <c r="B1208" s="4" t="inlineStr">
        <is>
          <t>IMB-0194807</t>
        </is>
      </c>
      <c r="C1208" s="4" t="inlineStr">
        <is>
          <t>IMOBILIZADO_EM_ANDAMENTO</t>
        </is>
      </c>
      <c r="D1208" s="5" t="n">
        <v>5987.11</v>
      </c>
      <c r="E1208" s="5" t="n">
        <v>5987.11</v>
      </c>
      <c r="F1208" s="4" t="inlineStr">
        <is>
          <t>Ordem em andamento sem movimentacao desde antes de 01/01/2024 (transferencia tardia / impairment)</t>
        </is>
      </c>
    </row>
    <row r="1209">
      <c r="A1209" s="4" t="inlineStr">
        <is>
          <t>T09_ANDAMENTO_PARADO_2A</t>
        </is>
      </c>
      <c r="B1209" s="4" t="inlineStr">
        <is>
          <t>IMB-0209235</t>
        </is>
      </c>
      <c r="C1209" s="4" t="inlineStr">
        <is>
          <t>IMOBILIZADO_EM_ANDAMENTO</t>
        </is>
      </c>
      <c r="D1209" s="5" t="n">
        <v>18217.87</v>
      </c>
      <c r="E1209" s="5" t="n">
        <v>18217.87</v>
      </c>
      <c r="F1209" s="4" t="inlineStr">
        <is>
          <t>Ordem em andamento sem movimentacao desde antes de 01/01/2024 (transferencia tardia / impairment)</t>
        </is>
      </c>
    </row>
    <row r="1210">
      <c r="A1210" s="4" t="inlineStr">
        <is>
          <t>T09_ANDAMENTO_PARADO_2A</t>
        </is>
      </c>
      <c r="B1210" s="4" t="inlineStr">
        <is>
          <t>IMB-0210565</t>
        </is>
      </c>
      <c r="C1210" s="4" t="inlineStr">
        <is>
          <t>IMOBILIZADO_EM_ANDAMENTO</t>
        </is>
      </c>
      <c r="D1210" s="5" t="n">
        <v>2901.82</v>
      </c>
      <c r="E1210" s="5" t="n">
        <v>2901.82</v>
      </c>
      <c r="F1210" s="4" t="inlineStr">
        <is>
          <t>Ordem em andamento sem movimentacao desde antes de 01/01/2024 (transferencia tardia / impairment)</t>
        </is>
      </c>
    </row>
    <row r="1211">
      <c r="A1211" s="4" t="inlineStr">
        <is>
          <t>T09_ANDAMENTO_PARADO_2A</t>
        </is>
      </c>
      <c r="B1211" s="4" t="inlineStr">
        <is>
          <t>IMB-0214847</t>
        </is>
      </c>
      <c r="C1211" s="4" t="inlineStr">
        <is>
          <t>IMOBILIZADO_EM_ANDAMENTO</t>
        </is>
      </c>
      <c r="D1211" s="5" t="n">
        <v>14128.39</v>
      </c>
      <c r="E1211" s="5" t="n">
        <v>14128.39</v>
      </c>
      <c r="F1211" s="4" t="inlineStr">
        <is>
          <t>Ordem em andamento sem movimentacao desde antes de 01/01/2024 (transferencia tardia / impairment)</t>
        </is>
      </c>
    </row>
    <row r="1212">
      <c r="A1212" s="4" t="inlineStr">
        <is>
          <t>T09_ANDAMENTO_PARADO_2A</t>
        </is>
      </c>
      <c r="B1212" s="4" t="inlineStr">
        <is>
          <t>IMB-0248336</t>
        </is>
      </c>
      <c r="C1212" s="4" t="inlineStr">
        <is>
          <t>IMOBILIZADO_EM_ANDAMENTO</t>
        </is>
      </c>
      <c r="D1212" s="5" t="n">
        <v>9090.32</v>
      </c>
      <c r="E1212" s="5" t="n">
        <v>9090.32</v>
      </c>
      <c r="F1212" s="4" t="inlineStr">
        <is>
          <t>Ordem em andamento sem movimentacao desde antes de 01/01/2024 (transferencia tardia / impairment)</t>
        </is>
      </c>
    </row>
    <row r="1213">
      <c r="A1213" s="4" t="inlineStr">
        <is>
          <t>T09_ANDAMENTO_PARADO_2A</t>
        </is>
      </c>
      <c r="B1213" s="4" t="inlineStr">
        <is>
          <t>IMB-0248640</t>
        </is>
      </c>
      <c r="C1213" s="4" t="inlineStr">
        <is>
          <t>IMOBILIZADO_EM_ANDAMENTO</t>
        </is>
      </c>
      <c r="D1213" s="5" t="n">
        <v>17502.11</v>
      </c>
      <c r="E1213" s="5" t="n">
        <v>17502.11</v>
      </c>
      <c r="F1213" s="4" t="inlineStr">
        <is>
          <t>Ordem em andamento sem movimentacao desde antes de 01/01/2024 (transferencia tardia / impairment)</t>
        </is>
      </c>
    </row>
    <row r="1214">
      <c r="A1214" s="4" t="inlineStr">
        <is>
          <t>T09_ANDAMENTO_PARADO_2A</t>
        </is>
      </c>
      <c r="B1214" s="4" t="inlineStr">
        <is>
          <t>IMB-0256772</t>
        </is>
      </c>
      <c r="C1214" s="4" t="inlineStr">
        <is>
          <t>IMOBILIZADO_EM_ANDAMENTO</t>
        </is>
      </c>
      <c r="D1214" s="5" t="n">
        <v>86626.81</v>
      </c>
      <c r="E1214" s="5" t="n">
        <v>86626.81</v>
      </c>
      <c r="F1214" s="4" t="inlineStr">
        <is>
          <t>Ordem em andamento sem movimentacao desde antes de 01/01/2024 (transferencia tardia / impairment)</t>
        </is>
      </c>
    </row>
    <row r="1215">
      <c r="A1215" s="4" t="inlineStr">
        <is>
          <t>T09_ANDAMENTO_PARADO_2A</t>
        </is>
      </c>
      <c r="B1215" s="4" t="inlineStr">
        <is>
          <t>IMB-0265477</t>
        </is>
      </c>
      <c r="C1215" s="4" t="inlineStr">
        <is>
          <t>IMOBILIZADO_EM_ANDAMENTO</t>
        </is>
      </c>
      <c r="D1215" s="5" t="n">
        <v>9042.23</v>
      </c>
      <c r="E1215" s="5" t="n">
        <v>9042.23</v>
      </c>
      <c r="F1215" s="4" t="inlineStr">
        <is>
          <t>Ordem em andamento sem movimentacao desde antes de 01/01/2024 (transferencia tardia / impairment)</t>
        </is>
      </c>
    </row>
    <row r="1216">
      <c r="A1216" s="4" t="inlineStr">
        <is>
          <t>T09_ANDAMENTO_PARADO_2A</t>
        </is>
      </c>
      <c r="B1216" s="4" t="inlineStr">
        <is>
          <t>IMB-0266596</t>
        </is>
      </c>
      <c r="C1216" s="4" t="inlineStr">
        <is>
          <t>IMOBILIZADO_EM_ANDAMENTO</t>
        </is>
      </c>
      <c r="D1216" s="5" t="n">
        <v>11615.73</v>
      </c>
      <c r="E1216" s="5" t="n">
        <v>11615.73</v>
      </c>
      <c r="F1216" s="4" t="inlineStr">
        <is>
          <t>Ordem em andamento sem movimentacao desde antes de 01/01/2024 (transferencia tardia / impairment)</t>
        </is>
      </c>
    </row>
    <row r="1217">
      <c r="A1217" s="4" t="inlineStr">
        <is>
          <t>T09_ANDAMENTO_PARADO_2A</t>
        </is>
      </c>
      <c r="B1217" s="4" t="inlineStr">
        <is>
          <t>IMB-0272786</t>
        </is>
      </c>
      <c r="C1217" s="4" t="inlineStr">
        <is>
          <t>IMOBILIZADO_EM_ANDAMENTO</t>
        </is>
      </c>
      <c r="D1217" s="5" t="n">
        <v>7842.09</v>
      </c>
      <c r="E1217" s="5" t="n">
        <v>7842.09</v>
      </c>
      <c r="F1217" s="4" t="inlineStr">
        <is>
          <t>Ordem em andamento sem movimentacao desde antes de 01/01/2024 (transferencia tardia / impairment)</t>
        </is>
      </c>
    </row>
    <row r="1218">
      <c r="A1218" s="4" t="inlineStr">
        <is>
          <t>T09_ANDAMENTO_PARADO_2A</t>
        </is>
      </c>
      <c r="B1218" s="4" t="inlineStr">
        <is>
          <t>IMB-0274218</t>
        </is>
      </c>
      <c r="C1218" s="4" t="inlineStr">
        <is>
          <t>IMOBILIZADO_EM_ANDAMENTO</t>
        </is>
      </c>
      <c r="D1218" s="5" t="n">
        <v>9573.59</v>
      </c>
      <c r="E1218" s="5" t="n">
        <v>9573.59</v>
      </c>
      <c r="F1218" s="4" t="inlineStr">
        <is>
          <t>Ordem em andamento sem movimentacao desde antes de 01/01/2024 (transferencia tardia / impairment)</t>
        </is>
      </c>
    </row>
    <row r="1219">
      <c r="A1219" s="4" t="inlineStr">
        <is>
          <t>T09_ANDAMENTO_PARADO_2A</t>
        </is>
      </c>
      <c r="B1219" s="4" t="inlineStr">
        <is>
          <t>IMB-0278700</t>
        </is>
      </c>
      <c r="C1219" s="4" t="inlineStr">
        <is>
          <t>IMOBILIZADO_EM_ANDAMENTO</t>
        </is>
      </c>
      <c r="D1219" s="5" t="n">
        <v>26130.3</v>
      </c>
      <c r="E1219" s="5" t="n">
        <v>26130.3</v>
      </c>
      <c r="F1219" s="4" t="inlineStr">
        <is>
          <t>Ordem em andamento sem movimentacao desde antes de 01/01/2024 (transferencia tardia / impairment)</t>
        </is>
      </c>
    </row>
    <row r="1220">
      <c r="A1220" s="4" t="inlineStr">
        <is>
          <t>T09_ANDAMENTO_PARADO_2A</t>
        </is>
      </c>
      <c r="B1220" s="4" t="inlineStr">
        <is>
          <t>IMB-0279779</t>
        </is>
      </c>
      <c r="C1220" s="4" t="inlineStr">
        <is>
          <t>IMOBILIZADO_EM_ANDAMENTO</t>
        </is>
      </c>
      <c r="D1220" s="5" t="n">
        <v>547.3200000000001</v>
      </c>
      <c r="E1220" s="5" t="n">
        <v>547.3200000000001</v>
      </c>
      <c r="F1220" s="4" t="inlineStr">
        <is>
          <t>Ordem em andamento sem movimentacao desde antes de 01/01/2024 (transferencia tardia / impairment)</t>
        </is>
      </c>
    </row>
    <row r="1221">
      <c r="A1221" s="4" t="inlineStr">
        <is>
          <t>T09_ANDAMENTO_PARADO_2A</t>
        </is>
      </c>
      <c r="B1221" s="4" t="inlineStr">
        <is>
          <t>IMB-0321194</t>
        </is>
      </c>
      <c r="C1221" s="4" t="inlineStr">
        <is>
          <t>IMOBILIZADO_EM_ANDAMENTO</t>
        </is>
      </c>
      <c r="D1221" s="5" t="n">
        <v>22543.15</v>
      </c>
      <c r="E1221" s="5" t="n">
        <v>22543.15</v>
      </c>
      <c r="F1221" s="4" t="inlineStr">
        <is>
          <t>Ordem em andamento sem movimentacao desde antes de 01/01/2024 (transferencia tardia / impairment)</t>
        </is>
      </c>
    </row>
    <row r="1222">
      <c r="A1222" s="4" t="inlineStr">
        <is>
          <t>T09_ANDAMENTO_PARADO_2A</t>
        </is>
      </c>
      <c r="B1222" s="4" t="inlineStr">
        <is>
          <t>IMB-0340790</t>
        </is>
      </c>
      <c r="C1222" s="4" t="inlineStr">
        <is>
          <t>IMOBILIZADO_EM_ANDAMENTO</t>
        </is>
      </c>
      <c r="D1222" s="5" t="n">
        <v>649.61</v>
      </c>
      <c r="E1222" s="5" t="n">
        <v>649.61</v>
      </c>
      <c r="F1222" s="4" t="inlineStr">
        <is>
          <t>Ordem em andamento sem movimentacao desde antes de 01/01/2024 (transferencia tardia / impairment)</t>
        </is>
      </c>
    </row>
    <row r="1223">
      <c r="A1223" s="4" t="inlineStr">
        <is>
          <t>T09_ANDAMENTO_PARADO_2A</t>
        </is>
      </c>
      <c r="B1223" s="4" t="inlineStr">
        <is>
          <t>IMB-0346227</t>
        </is>
      </c>
      <c r="C1223" s="4" t="inlineStr">
        <is>
          <t>IMOBILIZADO_EM_ANDAMENTO</t>
        </is>
      </c>
      <c r="D1223" s="5" t="n">
        <v>8973.639999999999</v>
      </c>
      <c r="E1223" s="5" t="n">
        <v>8973.639999999999</v>
      </c>
      <c r="F1223" s="4" t="inlineStr">
        <is>
          <t>Ordem em andamento sem movimentacao desde antes de 01/01/2024 (transferencia tardia / impairment)</t>
        </is>
      </c>
    </row>
    <row r="1224">
      <c r="A1224" s="4" t="inlineStr">
        <is>
          <t>T09_ANDAMENTO_PARADO_2A</t>
        </is>
      </c>
      <c r="B1224" s="4" t="inlineStr">
        <is>
          <t>IMB-0370638</t>
        </is>
      </c>
      <c r="C1224" s="4" t="inlineStr">
        <is>
          <t>IMOBILIZADO_EM_ANDAMENTO</t>
        </is>
      </c>
      <c r="D1224" s="5" t="n">
        <v>27518.74</v>
      </c>
      <c r="E1224" s="5" t="n">
        <v>27518.74</v>
      </c>
      <c r="F1224" s="4" t="inlineStr">
        <is>
          <t>Ordem em andamento sem movimentacao desde antes de 01/01/2024 (transferencia tardia / impairment)</t>
        </is>
      </c>
    </row>
    <row r="1225">
      <c r="A1225" s="4" t="inlineStr">
        <is>
          <t>T09_ANDAMENTO_PARADO_2A</t>
        </is>
      </c>
      <c r="B1225" s="4" t="inlineStr">
        <is>
          <t>IMB-0379308</t>
        </is>
      </c>
      <c r="C1225" s="4" t="inlineStr">
        <is>
          <t>IMOBILIZADO_EM_ANDAMENTO</t>
        </is>
      </c>
      <c r="D1225" s="5" t="n">
        <v>5262.2</v>
      </c>
      <c r="E1225" s="5" t="n">
        <v>5262.2</v>
      </c>
      <c r="F1225" s="4" t="inlineStr">
        <is>
          <t>Ordem em andamento sem movimentacao desde antes de 01/01/2024 (transferencia tardia / impairment)</t>
        </is>
      </c>
    </row>
    <row r="1226">
      <c r="A1226" s="4" t="inlineStr">
        <is>
          <t>T09_ANDAMENTO_PARADO_2A</t>
        </is>
      </c>
      <c r="B1226" s="4" t="inlineStr">
        <is>
          <t>IMB-0393556</t>
        </is>
      </c>
      <c r="C1226" s="4" t="inlineStr">
        <is>
          <t>IMOBILIZADO_EM_ANDAMENTO</t>
        </is>
      </c>
      <c r="D1226" s="5" t="n">
        <v>11215.15</v>
      </c>
      <c r="E1226" s="5" t="n">
        <v>11215.15</v>
      </c>
      <c r="F1226" s="4" t="inlineStr">
        <is>
          <t>Ordem em andamento sem movimentacao desde antes de 01/01/2024 (transferencia tardia / impairment)</t>
        </is>
      </c>
    </row>
    <row r="1227">
      <c r="A1227" s="4" t="inlineStr">
        <is>
          <t>T09_ANDAMENTO_PARADO_2A</t>
        </is>
      </c>
      <c r="B1227" s="4" t="inlineStr">
        <is>
          <t>IMB-0501652</t>
        </is>
      </c>
      <c r="C1227" s="4" t="inlineStr">
        <is>
          <t>IMOBILIZADO_EM_ANDAMENTO</t>
        </is>
      </c>
      <c r="D1227" s="5" t="n">
        <v>11961.75</v>
      </c>
      <c r="E1227" s="5" t="n">
        <v>11961.75</v>
      </c>
      <c r="F1227" s="4" t="inlineStr">
        <is>
          <t>Ordem em andamento sem movimentacao desde antes de 01/01/2024 (transferencia tardia / impairment)</t>
        </is>
      </c>
    </row>
    <row r="1228">
      <c r="A1228" s="4" t="inlineStr">
        <is>
          <t>T09_ANDAMENTO_PARADO_2A</t>
        </is>
      </c>
      <c r="B1228" s="4" t="inlineStr">
        <is>
          <t>IMB-0514132</t>
        </is>
      </c>
      <c r="C1228" s="4" t="inlineStr">
        <is>
          <t>IMOBILIZADO_EM_ANDAMENTO</t>
        </is>
      </c>
      <c r="D1228" s="5" t="n">
        <v>10566.71</v>
      </c>
      <c r="E1228" s="5" t="n">
        <v>10566.71</v>
      </c>
      <c r="F1228" s="4" t="inlineStr">
        <is>
          <t>Ordem em andamento sem movimentacao desde antes de 01/01/2024 (transferencia tardia / impairment)</t>
        </is>
      </c>
    </row>
    <row r="1229">
      <c r="A1229" s="4" t="inlineStr">
        <is>
          <t>T09_ANDAMENTO_PARADO_2A</t>
        </is>
      </c>
      <c r="B1229" s="4" t="inlineStr">
        <is>
          <t>IMB-0526110</t>
        </is>
      </c>
      <c r="C1229" s="4" t="inlineStr">
        <is>
          <t>IMOBILIZADO_EM_ANDAMENTO</t>
        </is>
      </c>
      <c r="D1229" s="5" t="n">
        <v>18157.42</v>
      </c>
      <c r="E1229" s="5" t="n">
        <v>18157.42</v>
      </c>
      <c r="F1229" s="4" t="inlineStr">
        <is>
          <t>Ordem em andamento sem movimentacao desde antes de 01/01/2024 (transferencia tardia / impairment)</t>
        </is>
      </c>
    </row>
    <row r="1230">
      <c r="A1230" s="4" t="inlineStr">
        <is>
          <t>T09_ANDAMENTO_PARADO_2A</t>
        </is>
      </c>
      <c r="B1230" s="4" t="inlineStr">
        <is>
          <t>IMB-0530957</t>
        </is>
      </c>
      <c r="C1230" s="4" t="inlineStr">
        <is>
          <t>IMOBILIZADO_EM_ANDAMENTO</t>
        </is>
      </c>
      <c r="D1230" s="5" t="n">
        <v>8264.440000000001</v>
      </c>
      <c r="E1230" s="5" t="n">
        <v>8264.440000000001</v>
      </c>
      <c r="F1230" s="4" t="inlineStr">
        <is>
          <t>Ordem em andamento sem movimentacao desde antes de 01/01/2024 (transferencia tardia / impairment)</t>
        </is>
      </c>
    </row>
    <row r="1231">
      <c r="A1231" s="4" t="inlineStr">
        <is>
          <t>T10_DATA_ANTERIOR_CONSTITUICAO</t>
        </is>
      </c>
      <c r="B1231" s="4" t="inlineStr">
        <is>
          <t>IMB-0013710</t>
        </is>
      </c>
      <c r="C1231" s="4" t="inlineStr">
        <is>
          <t>OUTROS</t>
        </is>
      </c>
      <c r="D1231" s="5" t="n">
        <v>84.05</v>
      </c>
      <c r="E1231" s="5" t="n">
        <v>0</v>
      </c>
      <c r="F1231" s="4" t="inlineStr">
        <is>
          <t>Data de aquisicao anterior a 21/07/1999</t>
        </is>
      </c>
    </row>
    <row r="1232">
      <c r="A1232" s="4" t="inlineStr">
        <is>
          <t>T10_DATA_ANTERIOR_CONSTITUICAO</t>
        </is>
      </c>
      <c r="B1232" s="4" t="inlineStr">
        <is>
          <t>IMB-0014605</t>
        </is>
      </c>
      <c r="C1232" s="4" t="inlineStr">
        <is>
          <t>OUTROS</t>
        </is>
      </c>
      <c r="D1232" s="5" t="n">
        <v>0</v>
      </c>
      <c r="E1232" s="5" t="n">
        <v>0</v>
      </c>
      <c r="F1232" s="4" t="inlineStr">
        <is>
          <t>Data de aquisicao anterior a 21/07/1999</t>
        </is>
      </c>
    </row>
    <row r="1233">
      <c r="A1233" s="4" t="inlineStr">
        <is>
          <t>T10_DATA_ANTERIOR_CONSTITUICAO</t>
        </is>
      </c>
      <c r="B1233" s="4" t="inlineStr">
        <is>
          <t>IMB-0029345</t>
        </is>
      </c>
      <c r="C1233" s="4" t="inlineStr">
        <is>
          <t>OUTROS</t>
        </is>
      </c>
      <c r="D1233" s="5" t="n">
        <v>1025.12</v>
      </c>
      <c r="E1233" s="5" t="n">
        <v>0</v>
      </c>
      <c r="F1233" s="4" t="inlineStr">
        <is>
          <t>Data de aquisicao anterior a 21/07/1999</t>
        </is>
      </c>
    </row>
    <row r="1234">
      <c r="A1234" s="4" t="inlineStr">
        <is>
          <t>T10_DATA_ANTERIOR_CONSTITUICAO</t>
        </is>
      </c>
      <c r="B1234" s="4" t="inlineStr">
        <is>
          <t>IMB-0066979</t>
        </is>
      </c>
      <c r="C1234" s="4" t="inlineStr">
        <is>
          <t>OUTROS</t>
        </is>
      </c>
      <c r="D1234" s="5" t="n">
        <v>3376.66</v>
      </c>
      <c r="E1234" s="5" t="n">
        <v>0</v>
      </c>
      <c r="F1234" s="4" t="inlineStr">
        <is>
          <t>Data de aquisicao anterior a 21/07/1999</t>
        </is>
      </c>
    </row>
    <row r="1235">
      <c r="A1235" s="4" t="inlineStr">
        <is>
          <t>T10_DATA_ANTERIOR_CONSTITUICAO</t>
        </is>
      </c>
      <c r="B1235" s="4" t="inlineStr">
        <is>
          <t>IMB-0082904</t>
        </is>
      </c>
      <c r="C1235" s="4" t="inlineStr">
        <is>
          <t>OUTROS</t>
        </is>
      </c>
      <c r="D1235" s="5" t="n">
        <v>176.38</v>
      </c>
      <c r="E1235" s="5" t="n">
        <v>0</v>
      </c>
      <c r="F1235" s="4" t="inlineStr">
        <is>
          <t>Data de aquisicao anterior a 21/07/1999</t>
        </is>
      </c>
    </row>
    <row r="1236">
      <c r="A1236" s="4" t="inlineStr">
        <is>
          <t>T10_DATA_ANTERIOR_CONSTITUICAO</t>
        </is>
      </c>
      <c r="B1236" s="4" t="inlineStr">
        <is>
          <t>IMB-0084392</t>
        </is>
      </c>
      <c r="C1236" s="4" t="inlineStr">
        <is>
          <t>OUTROS</t>
        </is>
      </c>
      <c r="D1236" s="5" t="n">
        <v>237.32</v>
      </c>
      <c r="E1236" s="5" t="n">
        <v>0</v>
      </c>
      <c r="F1236" s="4" t="inlineStr">
        <is>
          <t>Data de aquisicao anterior a 21/07/1999</t>
        </is>
      </c>
    </row>
    <row r="1237">
      <c r="A1237" s="4" t="inlineStr">
        <is>
          <t>T10_DATA_ANTERIOR_CONSTITUICAO</t>
        </is>
      </c>
      <c r="B1237" s="4" t="inlineStr">
        <is>
          <t>IMB-0089073</t>
        </is>
      </c>
      <c r="C1237" s="4" t="inlineStr">
        <is>
          <t>OUTROS</t>
        </is>
      </c>
      <c r="D1237" s="5" t="n">
        <v>704.97</v>
      </c>
      <c r="E1237" s="5" t="n">
        <v>0</v>
      </c>
      <c r="F1237" s="4" t="inlineStr">
        <is>
          <t>Data de aquisicao anterior a 21/07/1999</t>
        </is>
      </c>
    </row>
    <row r="1238">
      <c r="A1238" s="4" t="inlineStr">
        <is>
          <t>T10_DATA_ANTERIOR_CONSTITUICAO</t>
        </is>
      </c>
      <c r="B1238" s="4" t="inlineStr">
        <is>
          <t>IMB-0107708</t>
        </is>
      </c>
      <c r="C1238" s="4" t="inlineStr">
        <is>
          <t>OUTROS</t>
        </is>
      </c>
      <c r="D1238" s="5" t="n">
        <v>59.83</v>
      </c>
      <c r="E1238" s="5" t="n">
        <v>0</v>
      </c>
      <c r="F1238" s="4" t="inlineStr">
        <is>
          <t>Data de aquisicao anterior a 21/07/1999</t>
        </is>
      </c>
    </row>
    <row r="1239">
      <c r="A1239" s="4" t="inlineStr">
        <is>
          <t>T10_DATA_ANTERIOR_CONSTITUICAO</t>
        </is>
      </c>
      <c r="B1239" s="4" t="inlineStr">
        <is>
          <t>IMB-0126595</t>
        </is>
      </c>
      <c r="C1239" s="4" t="inlineStr">
        <is>
          <t>OUTROS</t>
        </is>
      </c>
      <c r="D1239" s="5" t="n">
        <v>181.04</v>
      </c>
      <c r="E1239" s="5" t="n">
        <v>0</v>
      </c>
      <c r="F1239" s="4" t="inlineStr">
        <is>
          <t>Data de aquisicao anterior a 21/07/1999</t>
        </is>
      </c>
    </row>
    <row r="1240">
      <c r="A1240" s="4" t="inlineStr">
        <is>
          <t>T10_DATA_ANTERIOR_CONSTITUICAO</t>
        </is>
      </c>
      <c r="B1240" s="4" t="inlineStr">
        <is>
          <t>IMB-0149975</t>
        </is>
      </c>
      <c r="C1240" s="4" t="inlineStr">
        <is>
          <t>OUTROS</t>
        </is>
      </c>
      <c r="D1240" s="5" t="n">
        <v>2047.9</v>
      </c>
      <c r="E1240" s="5" t="n">
        <v>0</v>
      </c>
      <c r="F1240" s="4" t="inlineStr">
        <is>
          <t>Data de aquisicao anterior a 21/07/1999</t>
        </is>
      </c>
    </row>
    <row r="1241">
      <c r="A1241" s="4" t="inlineStr">
        <is>
          <t>T10_DATA_ANTERIOR_CONSTITUICAO</t>
        </is>
      </c>
      <c r="B1241" s="4" t="inlineStr">
        <is>
          <t>IMB-0193169</t>
        </is>
      </c>
      <c r="C1241" s="4" t="inlineStr">
        <is>
          <t>OUTROS</t>
        </is>
      </c>
      <c r="D1241" s="5" t="n">
        <v>300.86</v>
      </c>
      <c r="E1241" s="5" t="n">
        <v>0</v>
      </c>
      <c r="F1241" s="4" t="inlineStr">
        <is>
          <t>Data de aquisicao anterior a 21/07/1999</t>
        </is>
      </c>
    </row>
    <row r="1242">
      <c r="A1242" s="4" t="inlineStr">
        <is>
          <t>T10_DATA_ANTERIOR_CONSTITUICAO</t>
        </is>
      </c>
      <c r="B1242" s="4" t="inlineStr">
        <is>
          <t>IMB-0200420</t>
        </is>
      </c>
      <c r="C1242" s="4" t="inlineStr">
        <is>
          <t>OUTROS</t>
        </is>
      </c>
      <c r="D1242" s="5" t="n">
        <v>0</v>
      </c>
      <c r="E1242" s="5" t="n">
        <v>0</v>
      </c>
      <c r="F1242" s="4" t="inlineStr">
        <is>
          <t>Data de aquisicao anterior a 21/07/1999</t>
        </is>
      </c>
    </row>
    <row r="1243">
      <c r="A1243" s="4" t="inlineStr">
        <is>
          <t>T10_DATA_ANTERIOR_CONSTITUICAO</t>
        </is>
      </c>
      <c r="B1243" s="4" t="inlineStr">
        <is>
          <t>IMB-0221496</t>
        </is>
      </c>
      <c r="C1243" s="4" t="inlineStr">
        <is>
          <t>OUTROS</t>
        </is>
      </c>
      <c r="D1243" s="5" t="n">
        <v>0</v>
      </c>
      <c r="E1243" s="5" t="n">
        <v>0</v>
      </c>
      <c r="F1243" s="4" t="inlineStr">
        <is>
          <t>Data de aquisicao anterior a 21/07/1999</t>
        </is>
      </c>
    </row>
    <row r="1244">
      <c r="A1244" s="4" t="inlineStr">
        <is>
          <t>T10_DATA_ANTERIOR_CONSTITUICAO</t>
        </is>
      </c>
      <c r="B1244" s="4" t="inlineStr">
        <is>
          <t>IMB-0260813</t>
        </is>
      </c>
      <c r="C1244" s="4" t="inlineStr">
        <is>
          <t>OUTROS</t>
        </is>
      </c>
      <c r="D1244" s="5" t="n">
        <v>69.48</v>
      </c>
      <c r="E1244" s="5" t="n">
        <v>0</v>
      </c>
      <c r="F1244" s="4" t="inlineStr">
        <is>
          <t>Data de aquisicao anterior a 21/07/1999</t>
        </is>
      </c>
    </row>
    <row r="1245">
      <c r="A1245" s="4" t="inlineStr">
        <is>
          <t>T10_DATA_ANTERIOR_CONSTITUICAO</t>
        </is>
      </c>
      <c r="B1245" s="4" t="inlineStr">
        <is>
          <t>IMB-0264309</t>
        </is>
      </c>
      <c r="C1245" s="4" t="inlineStr">
        <is>
          <t>OUTROS</t>
        </is>
      </c>
      <c r="D1245" s="5" t="n">
        <v>0</v>
      </c>
      <c r="E1245" s="5" t="n">
        <v>0</v>
      </c>
      <c r="F1245" s="4" t="inlineStr">
        <is>
          <t>Data de aquisicao anterior a 21/07/1999</t>
        </is>
      </c>
    </row>
    <row r="1246">
      <c r="A1246" s="4" t="inlineStr">
        <is>
          <t>T10_DATA_ANTERIOR_CONSTITUICAO</t>
        </is>
      </c>
      <c r="B1246" s="4" t="inlineStr">
        <is>
          <t>IMB-0273770</t>
        </is>
      </c>
      <c r="C1246" s="4" t="inlineStr">
        <is>
          <t>OUTROS</t>
        </is>
      </c>
      <c r="D1246" s="5" t="n">
        <v>315.84</v>
      </c>
      <c r="E1246" s="5" t="n">
        <v>0</v>
      </c>
      <c r="F1246" s="4" t="inlineStr">
        <is>
          <t>Data de aquisicao anterior a 21/07/1999</t>
        </is>
      </c>
    </row>
    <row r="1247">
      <c r="A1247" s="4" t="inlineStr">
        <is>
          <t>T10_DATA_ANTERIOR_CONSTITUICAO</t>
        </is>
      </c>
      <c r="B1247" s="4" t="inlineStr">
        <is>
          <t>IMB-0280436</t>
        </is>
      </c>
      <c r="C1247" s="4" t="inlineStr">
        <is>
          <t>OUTROS</t>
        </is>
      </c>
      <c r="D1247" s="5" t="n">
        <v>1985.65</v>
      </c>
      <c r="E1247" s="5" t="n">
        <v>0</v>
      </c>
      <c r="F1247" s="4" t="inlineStr">
        <is>
          <t>Data de aquisicao anterior a 21/07/1999</t>
        </is>
      </c>
    </row>
    <row r="1248">
      <c r="A1248" s="4" t="inlineStr">
        <is>
          <t>T10_DATA_ANTERIOR_CONSTITUICAO</t>
        </is>
      </c>
      <c r="B1248" s="4" t="inlineStr">
        <is>
          <t>IMB-0290478</t>
        </is>
      </c>
      <c r="C1248" s="4" t="inlineStr">
        <is>
          <t>OUTROS</t>
        </is>
      </c>
      <c r="D1248" s="5" t="n">
        <v>660.5</v>
      </c>
      <c r="E1248" s="5" t="n">
        <v>0</v>
      </c>
      <c r="F1248" s="4" t="inlineStr">
        <is>
          <t>Data de aquisicao anterior a 21/07/1999</t>
        </is>
      </c>
    </row>
    <row r="1249">
      <c r="A1249" s="4" t="inlineStr">
        <is>
          <t>T10_DATA_ANTERIOR_CONSTITUICAO</t>
        </is>
      </c>
      <c r="B1249" s="4" t="inlineStr">
        <is>
          <t>IMB-0300571</t>
        </is>
      </c>
      <c r="C1249" s="4" t="inlineStr">
        <is>
          <t>OUTROS</t>
        </is>
      </c>
      <c r="D1249" s="5" t="n">
        <v>0</v>
      </c>
      <c r="E1249" s="5" t="n">
        <v>0</v>
      </c>
      <c r="F1249" s="4" t="inlineStr">
        <is>
          <t>Data de aquisicao anterior a 21/07/1999</t>
        </is>
      </c>
    </row>
    <row r="1250">
      <c r="A1250" s="4" t="inlineStr">
        <is>
          <t>T10_DATA_ANTERIOR_CONSTITUICAO</t>
        </is>
      </c>
      <c r="B1250" s="4" t="inlineStr">
        <is>
          <t>IMB-0312913</t>
        </is>
      </c>
      <c r="C1250" s="4" t="inlineStr">
        <is>
          <t>OUTROS</t>
        </is>
      </c>
      <c r="D1250" s="5" t="n">
        <v>636.02</v>
      </c>
      <c r="E1250" s="5" t="n">
        <v>0</v>
      </c>
      <c r="F1250" s="4" t="inlineStr">
        <is>
          <t>Data de aquisicao anterior a 21/07/1999</t>
        </is>
      </c>
    </row>
    <row r="1251">
      <c r="A1251" s="4" t="inlineStr">
        <is>
          <t>T10_DATA_ANTERIOR_CONSTITUICAO</t>
        </is>
      </c>
      <c r="B1251" s="4" t="inlineStr">
        <is>
          <t>IMB-0341152</t>
        </is>
      </c>
      <c r="C1251" s="4" t="inlineStr">
        <is>
          <t>OUTROS</t>
        </is>
      </c>
      <c r="D1251" s="5" t="n">
        <v>2216.78</v>
      </c>
      <c r="E1251" s="5" t="n">
        <v>0</v>
      </c>
      <c r="F1251" s="4" t="inlineStr">
        <is>
          <t>Data de aquisicao anterior a 21/07/1999</t>
        </is>
      </c>
    </row>
    <row r="1252">
      <c r="A1252" s="4" t="inlineStr">
        <is>
          <t>T10_DATA_ANTERIOR_CONSTITUICAO</t>
        </is>
      </c>
      <c r="B1252" s="4" t="inlineStr">
        <is>
          <t>IMB-0349560</t>
        </is>
      </c>
      <c r="C1252" s="4" t="inlineStr">
        <is>
          <t>OUTROS</t>
        </is>
      </c>
      <c r="D1252" s="5" t="n">
        <v>77.69</v>
      </c>
      <c r="E1252" s="5" t="n">
        <v>0</v>
      </c>
      <c r="F1252" s="4" t="inlineStr">
        <is>
          <t>Data de aquisicao anterior a 21/07/1999</t>
        </is>
      </c>
    </row>
    <row r="1253">
      <c r="A1253" s="4" t="inlineStr">
        <is>
          <t>T10_DATA_ANTERIOR_CONSTITUICAO</t>
        </is>
      </c>
      <c r="B1253" s="4" t="inlineStr">
        <is>
          <t>IMB-0351155</t>
        </is>
      </c>
      <c r="C1253" s="4" t="inlineStr">
        <is>
          <t>OUTROS</t>
        </is>
      </c>
      <c r="D1253" s="5" t="n">
        <v>136.74</v>
      </c>
      <c r="E1253" s="5" t="n">
        <v>0</v>
      </c>
      <c r="F1253" s="4" t="inlineStr">
        <is>
          <t>Data de aquisicao anterior a 21/07/1999</t>
        </is>
      </c>
    </row>
    <row r="1254">
      <c r="A1254" s="4" t="inlineStr">
        <is>
          <t>T10_DATA_ANTERIOR_CONSTITUICAO</t>
        </is>
      </c>
      <c r="B1254" s="4" t="inlineStr">
        <is>
          <t>IMB-0353545</t>
        </is>
      </c>
      <c r="C1254" s="4" t="inlineStr">
        <is>
          <t>OUTROS</t>
        </is>
      </c>
      <c r="D1254" s="5" t="n">
        <v>5105.76</v>
      </c>
      <c r="E1254" s="5" t="n">
        <v>0</v>
      </c>
      <c r="F1254" s="4" t="inlineStr">
        <is>
          <t>Data de aquisicao anterior a 21/07/1999</t>
        </is>
      </c>
    </row>
    <row r="1255">
      <c r="A1255" s="4" t="inlineStr">
        <is>
          <t>T10_DATA_ANTERIOR_CONSTITUICAO</t>
        </is>
      </c>
      <c r="B1255" s="4" t="inlineStr">
        <is>
          <t>IMB-0359374</t>
        </is>
      </c>
      <c r="C1255" s="4" t="inlineStr">
        <is>
          <t>OUTROS</t>
        </is>
      </c>
      <c r="D1255" s="5" t="n">
        <v>175.45</v>
      </c>
      <c r="E1255" s="5" t="n">
        <v>0</v>
      </c>
      <c r="F1255" s="4" t="inlineStr">
        <is>
          <t>Data de aquisicao anterior a 21/07/1999</t>
        </is>
      </c>
    </row>
    <row r="1256">
      <c r="A1256" s="4" t="inlineStr">
        <is>
          <t>T10_DATA_ANTERIOR_CONSTITUICAO</t>
        </is>
      </c>
      <c r="B1256" s="4" t="inlineStr">
        <is>
          <t>IMB-0367015</t>
        </is>
      </c>
      <c r="C1256" s="4" t="inlineStr">
        <is>
          <t>OUTROS</t>
        </is>
      </c>
      <c r="D1256" s="5" t="n">
        <v>1251.74</v>
      </c>
      <c r="E1256" s="5" t="n">
        <v>0</v>
      </c>
      <c r="F1256" s="4" t="inlineStr">
        <is>
          <t>Data de aquisicao anterior a 21/07/1999</t>
        </is>
      </c>
    </row>
    <row r="1257">
      <c r="A1257" s="4" t="inlineStr">
        <is>
          <t>T10_DATA_ANTERIOR_CONSTITUICAO</t>
        </is>
      </c>
      <c r="B1257" s="4" t="inlineStr">
        <is>
          <t>IMB-0404494</t>
        </is>
      </c>
      <c r="C1257" s="4" t="inlineStr">
        <is>
          <t>OUTROS</t>
        </is>
      </c>
      <c r="D1257" s="5" t="n">
        <v>1877.17</v>
      </c>
      <c r="E1257" s="5" t="n">
        <v>0</v>
      </c>
      <c r="F1257" s="4" t="inlineStr">
        <is>
          <t>Data de aquisicao anterior a 21/07/1999</t>
        </is>
      </c>
    </row>
    <row r="1258">
      <c r="A1258" s="4" t="inlineStr">
        <is>
          <t>T10_DATA_ANTERIOR_CONSTITUICAO</t>
        </is>
      </c>
      <c r="B1258" s="4" t="inlineStr">
        <is>
          <t>IMB-0457706</t>
        </is>
      </c>
      <c r="C1258" s="4" t="inlineStr">
        <is>
          <t>OUTROS</t>
        </is>
      </c>
      <c r="D1258" s="5" t="n">
        <v>1679.83</v>
      </c>
      <c r="E1258" s="5" t="n">
        <v>0</v>
      </c>
      <c r="F1258" s="4" t="inlineStr">
        <is>
          <t>Data de aquisicao anterior a 21/07/1999</t>
        </is>
      </c>
    </row>
    <row r="1259">
      <c r="A1259" s="4" t="inlineStr">
        <is>
          <t>T10_DATA_ANTERIOR_CONSTITUICAO</t>
        </is>
      </c>
      <c r="B1259" s="4" t="inlineStr">
        <is>
          <t>IMB-0482111</t>
        </is>
      </c>
      <c r="C1259" s="4" t="inlineStr">
        <is>
          <t>OUTROS</t>
        </is>
      </c>
      <c r="D1259" s="5" t="n">
        <v>452.52</v>
      </c>
      <c r="E1259" s="5" t="n">
        <v>0</v>
      </c>
      <c r="F1259" s="4" t="inlineStr">
        <is>
          <t>Data de aquisicao anterior a 21/07/1999</t>
        </is>
      </c>
    </row>
    <row r="1260">
      <c r="A1260" s="4" t="inlineStr">
        <is>
          <t>T10_DATA_ANTERIOR_CONSTITUICAO</t>
        </is>
      </c>
      <c r="B1260" s="4" t="inlineStr">
        <is>
          <t>IMB-0484115</t>
        </is>
      </c>
      <c r="C1260" s="4" t="inlineStr">
        <is>
          <t>OUTROS</t>
        </is>
      </c>
      <c r="D1260" s="5" t="n">
        <v>162.58</v>
      </c>
      <c r="E1260" s="5" t="n">
        <v>0</v>
      </c>
      <c r="F1260" s="4" t="inlineStr">
        <is>
          <t>Data de aquisicao anterior a 21/07/1999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80" customWidth="1" min="3" max="3"/>
  </cols>
  <sheetData>
    <row r="1">
      <c r="A1" s="1" t="inlineStr">
        <is>
          <t>MUS - parametros e intervalo (Gramling cap. 8; NBC TA 530) - formulas editaveis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Fonte / formula</t>
        </is>
      </c>
    </row>
    <row r="5">
      <c r="A5" s="4" t="inlineStr">
        <is>
          <t>Materialidade global provisoria - MG (R$)</t>
        </is>
      </c>
      <c r="B5" s="5" t="n">
        <v>31500000</v>
      </c>
      <c r="C5" s="4" t="inlineStr">
        <is>
          <t>PT 320: 1% da receita liquida consolidada 2025 (R$ 3.157.609 mil) = 31.576 mil, arredondado p/ baixo (NBC TA 320 itens 10, A5, A8)</t>
        </is>
      </c>
    </row>
    <row r="6">
      <c r="A6" s="4" t="inlineStr">
        <is>
          <t>% da MG para execucao</t>
        </is>
      </c>
      <c r="B6" s="6" t="n">
        <v>0.65</v>
      </c>
      <c r="C6" s="4" t="inlineStr">
        <is>
          <t>Julgamento (NBC TA 320 item 11 e A13): primeira auditoria + inconsistencias de divulgacao + risco de impairment</t>
        </is>
      </c>
    </row>
    <row r="7">
      <c r="A7" s="4" t="inlineStr">
        <is>
          <t>Materialidade para execucao - ME (R$)</t>
        </is>
      </c>
      <c r="B7" s="5">
        <f>B5*B6</f>
        <v/>
      </c>
      <c r="C7" s="4" t="inlineStr">
        <is>
          <t>MG x %</t>
        </is>
      </c>
    </row>
    <row r="8">
      <c r="A8" s="4" t="inlineStr">
        <is>
          <t>Incorrecao toleravel - IT (R$)</t>
        </is>
      </c>
      <c r="B8" s="5">
        <f>B7</f>
        <v/>
      </c>
      <c r="C8" s="4" t="inlineStr">
        <is>
          <t>IT = ME (sem materialidade especifica para o imobilizado)</t>
        </is>
      </c>
    </row>
    <row r="9">
      <c r="A9" s="4" t="inlineStr">
        <is>
          <t>% IT para incorrecao esperada</t>
        </is>
      </c>
      <c r="B9" s="6" t="n">
        <v>0.1</v>
      </c>
      <c r="C9" s="4" t="inlineStr">
        <is>
          <t>Premissa do auditor (sem historico: primeira auditoria)</t>
        </is>
      </c>
    </row>
    <row r="10">
      <c r="A10" s="4" t="inlineStr">
        <is>
          <t>Incorrecao esperada - IE (R$)</t>
        </is>
      </c>
      <c r="B10" s="5">
        <f>B8*B9</f>
        <v/>
      </c>
      <c r="C10" s="4" t="inlineStr">
        <is>
          <t>IT x %</t>
        </is>
      </c>
    </row>
    <row r="11">
      <c r="A11" s="4" t="inlineStr">
        <is>
          <t>Risco de auditoria - RA</t>
        </is>
      </c>
      <c r="B11" s="6" t="n">
        <v>0.05</v>
      </c>
      <c r="C11" s="4" t="inlineStr">
        <is>
          <t>Gramling: RA = RI x RC x RD</t>
        </is>
      </c>
    </row>
    <row r="12">
      <c r="A12" s="4" t="inlineStr">
        <is>
          <t>Risco inerente - RI</t>
        </is>
      </c>
      <c r="B12" s="6" t="n">
        <v>1</v>
      </c>
      <c r="C12" s="4" t="inlineStr">
        <is>
          <t>Maximo: estimativas e julgamentos (PT 315)</t>
        </is>
      </c>
    </row>
    <row r="13">
      <c r="A13" s="4" t="inlineStr">
        <is>
          <t>Risco de controle - RC</t>
        </is>
      </c>
      <c r="B13" s="6" t="n">
        <v>1</v>
      </c>
      <c r="C13" s="4" t="inlineStr">
        <is>
          <t>Maximo: controles nao testados (sem acesso)</t>
        </is>
      </c>
    </row>
    <row r="14">
      <c r="A14" s="4" t="inlineStr">
        <is>
          <t>Risco de deteccao - RD</t>
        </is>
      </c>
      <c r="B14" s="6">
        <f>B11/(B12*B13)</f>
        <v/>
      </c>
      <c r="C14" s="4" t="inlineStr">
        <is>
          <t>RD = RA / (RI x RC)</t>
        </is>
      </c>
    </row>
    <row r="15">
      <c r="A15" s="4" t="inlineStr">
        <is>
          <t>Coluna da Ilustracao 8.7 utilizada</t>
        </is>
      </c>
      <c r="B15" s="6" t="n">
        <v>0.05</v>
      </c>
      <c r="C15" s="4" t="inlineStr">
        <is>
          <t>RD da tabela imediatamente inferior ou igual ao calculado</t>
        </is>
      </c>
    </row>
    <row r="16">
      <c r="A16" s="4" t="inlineStr">
        <is>
          <t>Fator de confiabilidade - FC</t>
        </is>
      </c>
      <c r="B16" s="7" t="n">
        <v>3</v>
      </c>
      <c r="C16" s="4" t="inlineStr">
        <is>
          <t>Ilustracao 8.7</t>
        </is>
      </c>
    </row>
    <row r="17">
      <c r="A17" s="4" t="inlineStr">
        <is>
          <t>Fator de expansao de erro - FEE</t>
        </is>
      </c>
      <c r="B17" s="7" t="n">
        <v>1.6</v>
      </c>
      <c r="C17" s="4" t="inlineStr">
        <is>
          <t>Ilustracao 8.7</t>
        </is>
      </c>
    </row>
    <row r="18">
      <c r="A18" s="4" t="inlineStr">
        <is>
          <t>Intervalo de amostragem - I (R$)</t>
        </is>
      </c>
      <c r="B18" s="5">
        <f>(B8-B10*B17)/B16</f>
        <v/>
      </c>
      <c r="C18" s="4" t="inlineStr">
        <is>
          <t>I = (IT - IE x FEE) / FC</t>
        </is>
      </c>
    </row>
    <row r="19">
      <c r="A19" s="4" t="inlineStr">
        <is>
          <t>Valor contabil da populacao (VCL &gt; 0) (R$)</t>
        </is>
      </c>
      <c r="B19" s="5" t="n">
        <v>6171370101.38</v>
      </c>
      <c r="C19" s="4" t="inlineStr">
        <is>
          <t>517.770 itens; itens com VCL &lt;= 0 testados a parte (T03)</t>
        </is>
      </c>
    </row>
    <row r="20">
      <c r="A20" s="4" t="inlineStr">
        <is>
          <t>Tamanho maximo da amostra - n</t>
        </is>
      </c>
      <c r="B20" s="7">
        <f>B19/B18</f>
        <v/>
      </c>
      <c r="C20" s="4" t="inlineStr">
        <is>
          <t>n = valor contabil / I</t>
        </is>
      </c>
    </row>
    <row r="21">
      <c r="A21" s="4" t="inlineStr">
        <is>
          <t>Ponto de partida aleatorio (R$)</t>
        </is>
      </c>
      <c r="B21" s="5" t="n">
        <v>3429906.838174372</v>
      </c>
      <c r="C21" s="4" t="inlineStr">
        <is>
          <t>Gerador numpy, semente 211059900 (entre 1 e I)</t>
        </is>
      </c>
    </row>
    <row r="22">
      <c r="A22" s="4" t="inlineStr">
        <is>
          <t>Pontos de selecao</t>
        </is>
      </c>
      <c r="B22" s="5" t="n">
        <v>1076</v>
      </c>
      <c r="C22" s="4" t="inlineStr">
        <is>
          <t>inicio + k x I</t>
        </is>
      </c>
    </row>
    <row r="23">
      <c r="A23" s="4" t="inlineStr">
        <is>
          <t>Itens distintos selecionados</t>
        </is>
      </c>
      <c r="B23" s="5" t="n">
        <v>772</v>
      </c>
      <c r="C23" s="4" t="inlineStr">
        <is>
          <t>itens com mais de um ponto contam uma vez</t>
        </is>
      </c>
    </row>
    <row r="24">
      <c r="A24" s="4" t="inlineStr">
        <is>
          <t>Itens do estrato superior (VC &gt;= I)</t>
        </is>
      </c>
      <c r="B24" s="5" t="n">
        <v>56</v>
      </c>
      <c r="C24" s="4" t="inlineStr">
        <is>
          <t>selecao certa (100%)</t>
        </is>
      </c>
    </row>
    <row r="27">
      <c r="A27" s="8" t="inlineStr">
        <is>
          <t>Ilustracao 8.7 (Gramling) - fatores</t>
        </is>
      </c>
    </row>
    <row r="28">
      <c r="A28" s="3" t="inlineStr">
        <is>
          <t>Risco de deteccao</t>
        </is>
      </c>
      <c r="B28" s="3" t="inlineStr">
        <is>
          <t>FC</t>
        </is>
      </c>
      <c r="C28" s="3" t="inlineStr">
        <is>
          <t>FEE</t>
        </is>
      </c>
      <c r="D28" s="3" t="inlineStr">
        <is>
          <t>Incr. 1</t>
        </is>
      </c>
      <c r="E28" s="3" t="inlineStr">
        <is>
          <t>Incr. 2</t>
        </is>
      </c>
      <c r="F28" s="3" t="inlineStr">
        <is>
          <t>Incr. 3</t>
        </is>
      </c>
      <c r="G28" s="3" t="inlineStr">
        <is>
          <t>Incr. 4</t>
        </is>
      </c>
      <c r="H28" s="3" t="inlineStr">
        <is>
          <t>Incr. 5</t>
        </is>
      </c>
      <c r="I28" s="3" t="inlineStr">
        <is>
          <t>Incr. 6</t>
        </is>
      </c>
      <c r="J28" s="3" t="inlineStr">
        <is>
          <t>Incr. 7</t>
        </is>
      </c>
      <c r="K28" s="3" t="inlineStr">
        <is>
          <t>Incr. 8</t>
        </is>
      </c>
      <c r="L28" s="3" t="inlineStr">
        <is>
          <t>Incr. 9</t>
        </is>
      </c>
      <c r="M28" s="3" t="inlineStr">
        <is>
          <t>Incr. 10</t>
        </is>
      </c>
    </row>
    <row r="29">
      <c r="A29" s="4" t="n">
        <v>0.01</v>
      </c>
      <c r="B29" s="4" t="n">
        <v>4.61</v>
      </c>
      <c r="C29" s="4" t="n">
        <v>1.9</v>
      </c>
      <c r="D29" s="4" t="n">
        <v>1.03</v>
      </c>
      <c r="E29" s="4" t="n">
        <v>0.77</v>
      </c>
      <c r="F29" s="4" t="n">
        <v>0.64</v>
      </c>
      <c r="G29" s="4" t="n">
        <v>0.5600000000000001</v>
      </c>
      <c r="H29" s="4" t="n">
        <v>0.5</v>
      </c>
      <c r="I29" s="4" t="n">
        <v>0.46</v>
      </c>
      <c r="J29" s="4" t="n">
        <v>0.43</v>
      </c>
      <c r="K29" s="4" t="n">
        <v>0.41</v>
      </c>
      <c r="L29" s="4" t="n">
        <v>0.38</v>
      </c>
      <c r="M29" s="4" t="n">
        <v>0.38</v>
      </c>
    </row>
    <row r="30">
      <c r="A30" s="4" t="n">
        <v>0.05</v>
      </c>
      <c r="B30" s="4" t="n">
        <v>3</v>
      </c>
      <c r="C30" s="4" t="n">
        <v>1.6</v>
      </c>
      <c r="D30" s="4" t="n">
        <v>0.75</v>
      </c>
      <c r="E30" s="4" t="n">
        <v>0.55</v>
      </c>
      <c r="F30" s="4" t="n">
        <v>0.46</v>
      </c>
      <c r="G30" s="4" t="n">
        <v>0.4</v>
      </c>
      <c r="H30" s="4" t="n">
        <v>0.36</v>
      </c>
      <c r="I30" s="4" t="n">
        <v>0.33</v>
      </c>
      <c r="J30" s="4" t="n">
        <v>0.3</v>
      </c>
      <c r="K30" s="4" t="n">
        <v>0.29</v>
      </c>
      <c r="L30" s="4" t="n">
        <v>0.27</v>
      </c>
      <c r="M30" s="4" t="n">
        <v>0.26</v>
      </c>
    </row>
    <row r="31">
      <c r="A31" s="4" t="n">
        <v>0.1</v>
      </c>
      <c r="B31" s="4" t="n">
        <v>2.31</v>
      </c>
      <c r="C31" s="4" t="n">
        <v>1.5</v>
      </c>
      <c r="D31" s="4" t="n">
        <v>0.58</v>
      </c>
      <c r="E31" s="4" t="n">
        <v>0.44</v>
      </c>
      <c r="F31" s="4" t="n">
        <v>0.36</v>
      </c>
      <c r="G31" s="4" t="n">
        <v>0.31</v>
      </c>
      <c r="H31" s="4" t="n">
        <v>0.28</v>
      </c>
      <c r="I31" s="4" t="n">
        <v>0.26</v>
      </c>
      <c r="J31" s="4" t="n">
        <v>0.24</v>
      </c>
      <c r="K31" s="4" t="n">
        <v>0.22</v>
      </c>
      <c r="L31" s="4" t="n">
        <v>0.21</v>
      </c>
      <c r="M31" s="4" t="n">
        <v>0.2</v>
      </c>
    </row>
    <row r="32">
      <c r="A32" s="4" t="n">
        <v>0.15</v>
      </c>
      <c r="B32" s="4" t="n">
        <v>1.9</v>
      </c>
      <c r="C32" s="4" t="n">
        <v>1.4</v>
      </c>
      <c r="D32" s="4" t="n">
        <v>0.48</v>
      </c>
      <c r="E32" s="4" t="n">
        <v>0.34</v>
      </c>
      <c r="F32" s="4" t="n">
        <v>0.3</v>
      </c>
      <c r="G32" s="4" t="n">
        <v>0.25</v>
      </c>
      <c r="H32" s="4" t="n">
        <v>0.23</v>
      </c>
      <c r="I32" s="4" t="n">
        <v>0.21</v>
      </c>
      <c r="J32" s="4" t="n">
        <v>0.19</v>
      </c>
      <c r="K32" s="4" t="n">
        <v>0.18</v>
      </c>
      <c r="L32" s="4" t="n">
        <v>0.17</v>
      </c>
      <c r="M32" s="4" t="n">
        <v>0.17</v>
      </c>
    </row>
    <row r="33">
      <c r="A33" s="4" t="n">
        <v>0.2</v>
      </c>
      <c r="B33" s="4" t="n">
        <v>1.61</v>
      </c>
      <c r="C33" s="4" t="n">
        <v>1.3</v>
      </c>
      <c r="D33" s="4" t="n">
        <v>0.39</v>
      </c>
      <c r="E33" s="4" t="n">
        <v>0.28</v>
      </c>
      <c r="F33" s="4" t="n">
        <v>0.24</v>
      </c>
      <c r="G33" s="4" t="n">
        <v>0.21</v>
      </c>
      <c r="H33" s="4" t="n">
        <v>0.18</v>
      </c>
      <c r="I33" s="4" t="n">
        <v>0.17</v>
      </c>
      <c r="J33" s="4" t="n">
        <v>0.16</v>
      </c>
      <c r="K33" s="4" t="n">
        <v>0.14</v>
      </c>
      <c r="L33" s="4" t="n">
        <v>0.14</v>
      </c>
      <c r="M33" s="4" t="n">
        <v>0.14</v>
      </c>
    </row>
    <row r="34">
      <c r="A34" s="4" t="n">
        <v>0.25</v>
      </c>
      <c r="B34" s="4" t="n">
        <v>1.39</v>
      </c>
      <c r="C34" s="4" t="n">
        <v>1.25</v>
      </c>
      <c r="D34" s="4" t="n">
        <v>0.31</v>
      </c>
      <c r="E34" s="4" t="n">
        <v>0.23</v>
      </c>
      <c r="F34" s="4" t="n">
        <v>0.18</v>
      </c>
      <c r="G34" s="4" t="n">
        <v>0.17</v>
      </c>
      <c r="H34" s="4" t="n">
        <v>0.15</v>
      </c>
      <c r="I34" s="4" t="n">
        <v>0.13</v>
      </c>
      <c r="J34" s="4" t="n">
        <v>0.13</v>
      </c>
      <c r="K34" s="4" t="n">
        <v>0.12</v>
      </c>
      <c r="L34" s="4" t="n">
        <v>0.11</v>
      </c>
      <c r="M34" s="4" t="n">
        <v>0.1</v>
      </c>
    </row>
    <row r="35">
      <c r="A35" s="4" t="n">
        <v>0.3</v>
      </c>
      <c r="B35" s="4" t="n">
        <v>1.21</v>
      </c>
      <c r="C35" s="4" t="n">
        <v>1.2</v>
      </c>
      <c r="D35" s="4" t="n">
        <v>0.23</v>
      </c>
      <c r="E35" s="4" t="n">
        <v>0.18</v>
      </c>
      <c r="F35" s="4" t="n">
        <v>0.15</v>
      </c>
      <c r="G35" s="4" t="n">
        <v>0.13</v>
      </c>
      <c r="H35" s="4" t="n">
        <v>0.11</v>
      </c>
      <c r="I35" s="4" t="n">
        <v>0.11</v>
      </c>
      <c r="J35" s="4" t="n">
        <v>0.1</v>
      </c>
      <c r="K35" s="4" t="n">
        <v>0.09</v>
      </c>
      <c r="L35" s="4" t="n">
        <v>0.08</v>
      </c>
      <c r="M35" s="4" t="n">
        <v>0.08</v>
      </c>
    </row>
    <row r="36">
      <c r="A36" s="4" t="n">
        <v>0.5</v>
      </c>
      <c r="B36" s="4" t="n">
        <v>0.7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2" customWidth="1" min="4" max="4"/>
    <col width="30" customWidth="1" min="5" max="5"/>
    <col width="18" customWidth="1" min="6" max="6"/>
    <col width="8" customWidth="1" min="7" max="7"/>
    <col width="16" customWidth="1" min="8" max="8"/>
    <col width="18" customWidth="1" min="9" max="9"/>
    <col width="16" customWidth="1" min="10" max="10"/>
    <col width="8" customWidth="1" min="11" max="11"/>
    <col width="12" customWidth="1" min="12" max="12"/>
    <col width="16" customWidth="1" min="13" max="13"/>
    <col width="14" customWidth="1" min="14" max="14"/>
    <col width="10" customWidth="1" min="15" max="15"/>
    <col width="16" customWidth="1" min="16" max="16"/>
    <col width="50" customWidth="1" min="17" max="17"/>
  </cols>
  <sheetData>
    <row r="1">
      <c r="A1" s="1" t="inlineStr">
        <is>
          <t>MUS - itens selecionados e resultado da inspecao documental SIMULADA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id_registro</t>
        </is>
      </c>
      <c r="B4" s="3" t="inlineStr">
        <is>
          <t>classe_ne7</t>
        </is>
      </c>
      <c r="C4" s="3" t="inlineStr">
        <is>
          <t>conta_custo</t>
        </is>
      </c>
      <c r="D4" s="3" t="inlineStr">
        <is>
          <t>campo</t>
        </is>
      </c>
      <c r="E4" s="3" t="inlineStr">
        <is>
          <t>tipo_item</t>
        </is>
      </c>
      <c r="F4" s="3" t="inlineStr">
        <is>
          <t>estrato</t>
        </is>
      </c>
      <c r="G4" s="3" t="inlineStr">
        <is>
          <t>pontos_no_item</t>
        </is>
      </c>
      <c r="H4" s="3" t="inlineStr">
        <is>
          <t>primeiro_ponto</t>
        </is>
      </c>
      <c r="I4" s="3" t="inlineStr">
        <is>
          <t>acumulado</t>
        </is>
      </c>
      <c r="J4" s="3" t="inlineStr">
        <is>
          <t>valor_contabil_liquido</t>
        </is>
      </c>
      <c r="K4" s="3" t="inlineStr">
        <is>
          <t>documento_localizado</t>
        </is>
      </c>
      <c r="L4" s="3" t="inlineStr">
        <is>
          <t>data_documento</t>
        </is>
      </c>
      <c r="M4" s="3" t="inlineStr">
        <is>
          <t>valor_auditado</t>
        </is>
      </c>
      <c r="N4" s="3" t="inlineStr">
        <is>
          <t>incorrecao</t>
        </is>
      </c>
      <c r="O4" s="3" t="inlineStr">
        <is>
          <t>tainting</t>
        </is>
      </c>
      <c r="P4" s="3" t="inlineStr">
        <is>
          <t>incorrecao_projetada</t>
        </is>
      </c>
      <c r="Q4" s="3" t="inlineStr">
        <is>
          <t>observacao_inspecao</t>
        </is>
      </c>
    </row>
    <row r="5">
      <c r="A5" s="4" t="inlineStr">
        <is>
          <t>IMB-0000473</t>
        </is>
      </c>
      <c r="B5" s="4" t="inlineStr">
        <is>
          <t>DESENVOLVIMENTO_CAMPOS</t>
        </is>
      </c>
      <c r="C5" s="4" t="inlineStr">
        <is>
          <t>1.2.03.04.002</t>
        </is>
      </c>
      <c r="D5" s="4" t="inlineStr">
        <is>
          <t>POT-CONC-06 (SINTETICO)</t>
        </is>
      </c>
      <c r="E5" s="4" t="inlineStr">
        <is>
          <t>FRATURAMENTO / ESTIMULACAO CAPITALIZADA</t>
        </is>
      </c>
      <c r="F5" s="4" t="inlineStr">
        <is>
          <t>INFERIOR</t>
        </is>
      </c>
      <c r="G5" s="4" t="n">
        <v>1</v>
      </c>
      <c r="H5" s="5" t="n">
        <v>3429906.838174372</v>
      </c>
      <c r="I5" s="5" t="n">
        <v>3430542.09</v>
      </c>
      <c r="J5" s="5" t="n">
        <v>21543.33</v>
      </c>
      <c r="K5" s="4" t="inlineStr">
        <is>
          <t>S</t>
        </is>
      </c>
      <c r="L5" s="4" t="inlineStr">
        <is>
          <t>2023-09-10</t>
        </is>
      </c>
      <c r="M5" s="5" t="n">
        <v>21543.33</v>
      </c>
      <c r="N5" s="5">
        <f>J5-M5</f>
        <v/>
      </c>
      <c r="O5" s="6">
        <f>IF(F5="INFERIOR",N5/J5,"")</f>
        <v/>
      </c>
      <c r="P5" s="5">
        <f>IF(F5="INFERIOR",O5*MUS_parametros!$B$18,N5)</f>
        <v/>
      </c>
      <c r="Q5" s="4" t="inlineStr">
        <is>
          <t>Documento confere com o registro</t>
        </is>
      </c>
    </row>
    <row r="6">
      <c r="A6" s="4" t="inlineStr">
        <is>
          <t>IMB-0001323</t>
        </is>
      </c>
      <c r="B6" s="4" t="inlineStr">
        <is>
          <t>DESENVOLVIMENTO_CAMPOS</t>
        </is>
      </c>
      <c r="C6" s="4" t="inlineStr">
        <is>
          <t>1.2.03.04.001</t>
        </is>
      </c>
      <c r="D6" s="4" t="inlineStr">
        <is>
          <t>CANABRAVA</t>
        </is>
      </c>
      <c r="E6" s="4" t="inlineStr">
        <is>
          <t>PERFURACAO E COMPLETACAO</t>
        </is>
      </c>
      <c r="F6" s="4" t="inlineStr">
        <is>
          <t>INFERIOR</t>
        </is>
      </c>
      <c r="G6" s="4" t="n">
        <v>1</v>
      </c>
      <c r="H6" s="5" t="n">
        <v>9162906.838174373</v>
      </c>
      <c r="I6" s="5" t="n">
        <v>9185062.64000001</v>
      </c>
      <c r="J6" s="5" t="n">
        <v>30397.2</v>
      </c>
      <c r="K6" s="4" t="inlineStr">
        <is>
          <t>S</t>
        </is>
      </c>
      <c r="L6" s="4" t="inlineStr">
        <is>
          <t>2024-02-07</t>
        </is>
      </c>
      <c r="M6" s="5" t="n">
        <v>30397.2</v>
      </c>
      <c r="N6" s="5">
        <f>J6-M6</f>
        <v/>
      </c>
      <c r="O6" s="6">
        <f>IF(F6="INFERIOR",N6/J6,"")</f>
        <v/>
      </c>
      <c r="P6" s="5">
        <f>IF(F6="INFERIOR",O6*MUS_parametros!$B$18,N6)</f>
        <v/>
      </c>
      <c r="Q6" s="4" t="inlineStr">
        <is>
          <t>Documento confere com o registro</t>
        </is>
      </c>
    </row>
    <row r="7">
      <c r="A7" s="4" t="inlineStr">
        <is>
          <t>IMB-0002284</t>
        </is>
      </c>
      <c r="B7" s="4" t="inlineStr">
        <is>
          <t>DESENVOLVIMENTO_CAMPOS</t>
        </is>
      </c>
      <c r="C7" s="4" t="inlineStr">
        <is>
          <t>1.2.03.04.001</t>
        </is>
      </c>
      <c r="D7" s="4" t="inlineStr">
        <is>
          <t>POT-CONC-18 (SINTETICO)</t>
        </is>
      </c>
      <c r="E7" s="4" t="inlineStr">
        <is>
          <t>PERFURACAO E COMPLETACAO</t>
        </is>
      </c>
      <c r="F7" s="4" t="inlineStr">
        <is>
          <t>INFERIOR</t>
        </is>
      </c>
      <c r="G7" s="4" t="n">
        <v>1</v>
      </c>
      <c r="H7" s="5" t="n">
        <v>14895906.83817437</v>
      </c>
      <c r="I7" s="5" t="n">
        <v>14905870.29999999</v>
      </c>
      <c r="J7" s="5" t="n">
        <v>24426.34</v>
      </c>
      <c r="K7" s="4" t="inlineStr">
        <is>
          <t>S</t>
        </is>
      </c>
      <c r="L7" s="4" t="inlineStr">
        <is>
          <t>2024-08-28</t>
        </is>
      </c>
      <c r="M7" s="5" t="n">
        <v>24426.34</v>
      </c>
      <c r="N7" s="5">
        <f>J7-M7</f>
        <v/>
      </c>
      <c r="O7" s="6">
        <f>IF(F7="INFERIOR",N7/J7,"")</f>
        <v/>
      </c>
      <c r="P7" s="5">
        <f>IF(F7="INFERIOR",O7*MUS_parametros!$B$18,N7)</f>
        <v/>
      </c>
      <c r="Q7" s="4" t="inlineStr">
        <is>
          <t>Documento confere com o registro</t>
        </is>
      </c>
    </row>
    <row r="8">
      <c r="A8" s="4" t="inlineStr">
        <is>
          <t>IMB-0003118</t>
        </is>
      </c>
      <c r="B8" s="4" t="inlineStr">
        <is>
          <t>DESENVOLVIMENTO_CAMPOS</t>
        </is>
      </c>
      <c r="C8" s="4" t="inlineStr">
        <is>
          <t>1.2.03.04.001</t>
        </is>
      </c>
      <c r="D8" s="4" t="inlineStr">
        <is>
          <t>JACUIPE</t>
        </is>
      </c>
      <c r="E8" s="4" t="inlineStr">
        <is>
          <t>PERFURACAO E COMPLETACAO</t>
        </is>
      </c>
      <c r="F8" s="4" t="inlineStr">
        <is>
          <t>INFERIOR</t>
        </is>
      </c>
      <c r="G8" s="4" t="n">
        <v>1</v>
      </c>
      <c r="H8" s="5" t="n">
        <v>20628906.83817437</v>
      </c>
      <c r="I8" s="5" t="n">
        <v>20816751.86000001</v>
      </c>
      <c r="J8" s="5" t="n">
        <v>601235.02</v>
      </c>
      <c r="K8" s="4" t="inlineStr">
        <is>
          <t>S</t>
        </is>
      </c>
      <c r="L8" s="4" t="inlineStr">
        <is>
          <t>2025-06-02</t>
        </is>
      </c>
      <c r="M8" s="5" t="n">
        <v>601235.02</v>
      </c>
      <c r="N8" s="5">
        <f>J8-M8</f>
        <v/>
      </c>
      <c r="O8" s="6">
        <f>IF(F8="INFERIOR",N8/J8,"")</f>
        <v/>
      </c>
      <c r="P8" s="5">
        <f>IF(F8="INFERIOR",O8*MUS_parametros!$B$18,N8)</f>
        <v/>
      </c>
      <c r="Q8" s="4" t="inlineStr">
        <is>
          <t>Documento confere com o registro</t>
        </is>
      </c>
    </row>
    <row r="9">
      <c r="A9" s="4" t="inlineStr">
        <is>
          <t>IMB-0003892</t>
        </is>
      </c>
      <c r="B9" s="4" t="inlineStr">
        <is>
          <t>DESENVOLVIMENTO_CAMPOS</t>
        </is>
      </c>
      <c r="C9" s="4" t="inlineStr">
        <is>
          <t>1.2.03.04.001</t>
        </is>
      </c>
      <c r="D9" s="4" t="inlineStr">
        <is>
          <t>TARTARUGA</t>
        </is>
      </c>
      <c r="E9" s="4" t="inlineStr">
        <is>
          <t>PERFURACAO E COMPLETACAO</t>
        </is>
      </c>
      <c r="F9" s="4" t="inlineStr">
        <is>
          <t>INFERIOR</t>
        </is>
      </c>
      <c r="G9" s="4" t="n">
        <v>1</v>
      </c>
      <c r="H9" s="5" t="n">
        <v>26361906.83817437</v>
      </c>
      <c r="I9" s="5" t="n">
        <v>26514305.22999998</v>
      </c>
      <c r="J9" s="5" t="n">
        <v>812160.05</v>
      </c>
      <c r="K9" s="4" t="inlineStr">
        <is>
          <t>S</t>
        </is>
      </c>
      <c r="L9" s="4" t="inlineStr">
        <is>
          <t>2025-08-04</t>
        </is>
      </c>
      <c r="M9" s="5" t="n">
        <v>812160.05</v>
      </c>
      <c r="N9" s="5">
        <f>J9-M9</f>
        <v/>
      </c>
      <c r="O9" s="6">
        <f>IF(F9="INFERIOR",N9/J9,"")</f>
        <v/>
      </c>
      <c r="P9" s="5">
        <f>IF(F9="INFERIOR",O9*MUS_parametros!$B$18,N9)</f>
        <v/>
      </c>
      <c r="Q9" s="4" t="inlineStr">
        <is>
          <t>Documento confere com o registro</t>
        </is>
      </c>
    </row>
    <row r="10">
      <c r="A10" s="4" t="inlineStr">
        <is>
          <t>IMB-0004632</t>
        </is>
      </c>
      <c r="B10" s="4" t="inlineStr">
        <is>
          <t>DESENVOLVIMENTO_CAMPOS</t>
        </is>
      </c>
      <c r="C10" s="4" t="inlineStr">
        <is>
          <t>1.2.03.04.001</t>
        </is>
      </c>
      <c r="D10" s="4" t="inlineStr">
        <is>
          <t>POT-CONC-12 (SINTETICO)</t>
        </is>
      </c>
      <c r="E10" s="4" t="inlineStr">
        <is>
          <t>PERFURACAO E COMPLETACAO</t>
        </is>
      </c>
      <c r="F10" s="4" t="inlineStr">
        <is>
          <t>INFERIOR</t>
        </is>
      </c>
      <c r="G10" s="4" t="n">
        <v>1</v>
      </c>
      <c r="H10" s="5" t="n">
        <v>32094906.83817437</v>
      </c>
      <c r="I10" s="5" t="n">
        <v>32635638.88999994</v>
      </c>
      <c r="J10" s="5" t="n">
        <v>557888.6899999999</v>
      </c>
      <c r="K10" s="4" t="inlineStr">
        <is>
          <t>S</t>
        </is>
      </c>
      <c r="L10" s="4" t="inlineStr">
        <is>
          <t>2025-12-27</t>
        </is>
      </c>
      <c r="M10" s="5" t="n">
        <v>557888.6899999999</v>
      </c>
      <c r="N10" s="5">
        <f>J10-M10</f>
        <v/>
      </c>
      <c r="O10" s="6">
        <f>IF(F10="INFERIOR",N10/J10,"")</f>
        <v/>
      </c>
      <c r="P10" s="5">
        <f>IF(F10="INFERIOR",O10*MUS_parametros!$B$18,N10)</f>
        <v/>
      </c>
      <c r="Q10" s="4" t="inlineStr">
        <is>
          <t>Documento confere com o registro</t>
        </is>
      </c>
    </row>
    <row r="11">
      <c r="A11" s="4" t="inlineStr">
        <is>
          <t>IMB-0005316</t>
        </is>
      </c>
      <c r="B11" s="4" t="inlineStr">
        <is>
          <t>DESENVOLVIMENTO_CAMPOS</t>
        </is>
      </c>
      <c r="C11" s="4" t="inlineStr">
        <is>
          <t>1.2.03.04.003</t>
        </is>
      </c>
      <c r="D11" s="4" t="inlineStr">
        <is>
          <t>RIO SUBAUMA</t>
        </is>
      </c>
      <c r="E11" s="4" t="inlineStr">
        <is>
          <t>BOMBA DE FUNDO (BM/BCP)</t>
        </is>
      </c>
      <c r="F11" s="4" t="inlineStr">
        <is>
          <t>INFERIOR</t>
        </is>
      </c>
      <c r="G11" s="4" t="n">
        <v>1</v>
      </c>
      <c r="H11" s="5" t="n">
        <v>37827906.83817437</v>
      </c>
      <c r="I11" s="5" t="n">
        <v>37828424.84999999</v>
      </c>
      <c r="J11" s="5" t="n">
        <v>1071.44</v>
      </c>
      <c r="K11" s="4" t="inlineStr">
        <is>
          <t>S</t>
        </is>
      </c>
      <c r="L11" s="4" t="inlineStr">
        <is>
          <t>2025-03-06</t>
        </is>
      </c>
      <c r="M11" s="5" t="n">
        <v>1071.44</v>
      </c>
      <c r="N11" s="5">
        <f>J11-M11</f>
        <v/>
      </c>
      <c r="O11" s="6">
        <f>IF(F11="INFERIOR",N11/J11,"")</f>
        <v/>
      </c>
      <c r="P11" s="5">
        <f>IF(F11="INFERIOR",O11*MUS_parametros!$B$18,N11)</f>
        <v/>
      </c>
      <c r="Q11" s="4" t="inlineStr">
        <is>
          <t>Documento confere com o registro</t>
        </is>
      </c>
    </row>
    <row r="12">
      <c r="A12" s="4" t="inlineStr">
        <is>
          <t>IMB-0005800</t>
        </is>
      </c>
      <c r="B12" s="4" t="inlineStr">
        <is>
          <t>DESENVOLVIMENTO_CAMPOS</t>
        </is>
      </c>
      <c r="C12" s="4" t="inlineStr">
        <is>
          <t>1.2.03.04.001</t>
        </is>
      </c>
      <c r="D12" s="4" t="inlineStr">
        <is>
          <t>POT-CONC-02 (SINTETICO)</t>
        </is>
      </c>
      <c r="E12" s="4" t="inlineStr">
        <is>
          <t>PERFURACAO E COMPLETACAO</t>
        </is>
      </c>
      <c r="F12" s="4" t="inlineStr">
        <is>
          <t>INFERIOR</t>
        </is>
      </c>
      <c r="G12" s="4" t="n">
        <v>1</v>
      </c>
      <c r="H12" s="5" t="n">
        <v>43560906.83817437</v>
      </c>
      <c r="I12" s="5" t="n">
        <v>43588198.55999997</v>
      </c>
      <c r="J12" s="5" t="n">
        <v>256928.04</v>
      </c>
      <c r="K12" s="4" t="inlineStr">
        <is>
          <t>S</t>
        </is>
      </c>
      <c r="L12" s="4" t="inlineStr">
        <is>
          <t>2024-11-29</t>
        </is>
      </c>
      <c r="M12" s="5" t="n">
        <v>256928.04</v>
      </c>
      <c r="N12" s="5">
        <f>J12-M12</f>
        <v/>
      </c>
      <c r="O12" s="6">
        <f>IF(F12="INFERIOR",N12/J12,"")</f>
        <v/>
      </c>
      <c r="P12" s="5">
        <f>IF(F12="INFERIOR",O12*MUS_parametros!$B$18,N12)</f>
        <v/>
      </c>
      <c r="Q12" s="4" t="inlineStr">
        <is>
          <t>Documento confere com o registro</t>
        </is>
      </c>
    </row>
    <row r="13">
      <c r="A13" s="4" t="inlineStr">
        <is>
          <t>IMB-0006566</t>
        </is>
      </c>
      <c r="B13" s="4" t="inlineStr">
        <is>
          <t>MAQUINAS_EQUIPAMENTOS</t>
        </is>
      </c>
      <c r="C13" s="4" t="inlineStr">
        <is>
          <t>1.2.03.01.004</t>
        </is>
      </c>
      <c r="D13" s="4" t="inlineStr">
        <is>
          <t>UPGN GUAMARE</t>
        </is>
      </c>
      <c r="E13" s="4" t="inlineStr">
        <is>
          <t>UTILIDADES E INSTRUMENTACAO</t>
        </is>
      </c>
      <c r="F13" s="4" t="inlineStr">
        <is>
          <t>INFERIOR</t>
        </is>
      </c>
      <c r="G13" s="4" t="n">
        <v>1</v>
      </c>
      <c r="H13" s="5" t="n">
        <v>49293906.83817437</v>
      </c>
      <c r="I13" s="5" t="n">
        <v>49352253.51999997</v>
      </c>
      <c r="J13" s="5" t="n">
        <v>189761.9</v>
      </c>
      <c r="K13" s="4" t="inlineStr">
        <is>
          <t>S</t>
        </is>
      </c>
      <c r="L13" s="4" t="inlineStr">
        <is>
          <t>2025-09-30</t>
        </is>
      </c>
      <c r="M13" s="5" t="n">
        <v>189761.9</v>
      </c>
      <c r="N13" s="5">
        <f>J13-M13</f>
        <v/>
      </c>
      <c r="O13" s="6">
        <f>IF(F13="INFERIOR",N13/J13,"")</f>
        <v/>
      </c>
      <c r="P13" s="5">
        <f>IF(F13="INFERIOR",O13*MUS_parametros!$B$18,N13)</f>
        <v/>
      </c>
      <c r="Q13" s="4" t="inlineStr">
        <is>
          <t>Documento confere com o registro</t>
        </is>
      </c>
    </row>
    <row r="14">
      <c r="A14" s="4" t="inlineStr">
        <is>
          <t>IMB-0006828</t>
        </is>
      </c>
      <c r="B14" s="4" t="inlineStr">
        <is>
          <t>DIREITO_PRODUCAO_OLEO_GAS</t>
        </is>
      </c>
      <c r="C14" s="4" t="inlineStr">
        <is>
          <t>1.2.03.03.001</t>
        </is>
      </c>
      <c r="D14" s="4" t="inlineStr">
        <is>
          <t>SAO PEDRO</t>
        </is>
      </c>
      <c r="E14" s="4" t="inlineStr">
        <is>
          <t>CUSTO DE AQUISICAO DA CONCESSAO</t>
        </is>
      </c>
      <c r="F14" s="4" t="inlineStr">
        <is>
          <t>SUPERIOR (VC &gt;= I)</t>
        </is>
      </c>
      <c r="G14" s="4" t="n">
        <v>1</v>
      </c>
      <c r="H14" s="5" t="n">
        <v>55026906.83817437</v>
      </c>
      <c r="I14" s="5" t="n">
        <v>59073150.76999997</v>
      </c>
      <c r="J14" s="5" t="n">
        <v>7042726.91</v>
      </c>
      <c r="K14" s="4" t="inlineStr">
        <is>
          <t>S</t>
        </is>
      </c>
      <c r="L14" s="4" t="inlineStr">
        <is>
          <t>2021-12-23</t>
        </is>
      </c>
      <c r="M14" s="5" t="n">
        <v>7042726.91</v>
      </c>
      <c r="N14" s="5">
        <f>J14-M14</f>
        <v/>
      </c>
      <c r="O14" s="6">
        <f>IF(F14="INFERIOR",N14/J14,"")</f>
        <v/>
      </c>
      <c r="P14" s="5">
        <f>IF(F14="INFERIOR",O14*MUS_parametros!$B$18,N14)</f>
        <v/>
      </c>
      <c r="Q14" s="4" t="inlineStr">
        <is>
          <t>Documento confere com o registro</t>
        </is>
      </c>
    </row>
    <row r="15">
      <c r="A15" s="4" t="inlineStr">
        <is>
          <t>IMB-0007038</t>
        </is>
      </c>
      <c r="B15" s="4" t="inlineStr">
        <is>
          <t>DESENVOLVIMENTO_CAMPOS</t>
        </is>
      </c>
      <c r="C15" s="4" t="inlineStr">
        <is>
          <t>1.2.03.04.001</t>
        </is>
      </c>
      <c r="D15" s="4" t="inlineStr">
        <is>
          <t>LAGOA DO PAULO</t>
        </is>
      </c>
      <c r="E15" s="4" t="inlineStr">
        <is>
          <t>PERFURACAO E COMPLETACAO</t>
        </is>
      </c>
      <c r="F15" s="4" t="inlineStr">
        <is>
          <t>INFERIOR</t>
        </is>
      </c>
      <c r="G15" s="4" t="n">
        <v>1</v>
      </c>
      <c r="H15" s="5" t="n">
        <v>60759906.83817437</v>
      </c>
      <c r="I15" s="5" t="n">
        <v>61029682.13999993</v>
      </c>
      <c r="J15" s="5" t="n">
        <v>303067.73</v>
      </c>
      <c r="K15" s="4" t="inlineStr">
        <is>
          <t>S</t>
        </is>
      </c>
      <c r="L15" s="4" t="inlineStr">
        <is>
          <t>2023-07-29</t>
        </is>
      </c>
      <c r="M15" s="5" t="n">
        <v>303067.73</v>
      </c>
      <c r="N15" s="5">
        <f>J15-M15</f>
        <v/>
      </c>
      <c r="O15" s="6">
        <f>IF(F15="INFERIOR",N15/J15,"")</f>
        <v/>
      </c>
      <c r="P15" s="5">
        <f>IF(F15="INFERIOR",O15*MUS_parametros!$B$18,N15)</f>
        <v/>
      </c>
      <c r="Q15" s="4" t="inlineStr">
        <is>
          <t>Documento confere com o registro</t>
        </is>
      </c>
    </row>
    <row r="16">
      <c r="A16" s="4" t="inlineStr">
        <is>
          <t>IMB-0007832</t>
        </is>
      </c>
      <c r="B16" s="4" t="inlineStr">
        <is>
          <t>MAQUINAS_EQUIPAMENTOS</t>
        </is>
      </c>
      <c r="C16" s="4" t="inlineStr">
        <is>
          <t>1.2.03.01.005</t>
        </is>
      </c>
      <c r="D16" s="4" t="inlineStr">
        <is>
          <t>BREJINHO</t>
        </is>
      </c>
      <c r="E16" s="4" t="inlineStr">
        <is>
          <t>VEICULO PESADO / CAMINHAO SONDA</t>
        </is>
      </c>
      <c r="F16" s="4" t="inlineStr">
        <is>
          <t>INFERIOR</t>
        </is>
      </c>
      <c r="G16" s="4" t="n">
        <v>1</v>
      </c>
      <c r="H16" s="5" t="n">
        <v>66492906.83817437</v>
      </c>
      <c r="I16" s="5" t="n">
        <v>66525878.75999994</v>
      </c>
      <c r="J16" s="5" t="n">
        <v>42932.01</v>
      </c>
      <c r="K16" s="4" t="inlineStr">
        <is>
          <t>S</t>
        </is>
      </c>
      <c r="L16" s="4" t="inlineStr">
        <is>
          <t>2024-07-06</t>
        </is>
      </c>
      <c r="M16" s="5" t="n">
        <v>42932.01</v>
      </c>
      <c r="N16" s="5">
        <f>J16-M16</f>
        <v/>
      </c>
      <c r="O16" s="6">
        <f>IF(F16="INFERIOR",N16/J16,"")</f>
        <v/>
      </c>
      <c r="P16" s="5">
        <f>IF(F16="INFERIOR",O16*MUS_parametros!$B$18,N16)</f>
        <v/>
      </c>
      <c r="Q16" s="4" t="inlineStr">
        <is>
          <t>Documento confere com o registro</t>
        </is>
      </c>
    </row>
    <row r="17">
      <c r="A17" s="4" t="inlineStr">
        <is>
          <t>IMB-0008308</t>
        </is>
      </c>
      <c r="B17" s="4" t="inlineStr">
        <is>
          <t>DESENVOLVIMENTO_CAMPOS</t>
        </is>
      </c>
      <c r="C17" s="4" t="inlineStr">
        <is>
          <t>1.2.03.04.001</t>
        </is>
      </c>
      <c r="D17" s="4" t="inlineStr">
        <is>
          <t>POT-CONC-18 (SINTETICO)</t>
        </is>
      </c>
      <c r="E17" s="4" t="inlineStr">
        <is>
          <t>PERFURACAO E COMPLETACAO</t>
        </is>
      </c>
      <c r="F17" s="4" t="inlineStr">
        <is>
          <t>INFERIOR</t>
        </is>
      </c>
      <c r="G17" s="4" t="n">
        <v>1</v>
      </c>
      <c r="H17" s="5" t="n">
        <v>72225906.83817437</v>
      </c>
      <c r="I17" s="5" t="n">
        <v>72314196.18999985</v>
      </c>
      <c r="J17" s="5" t="n">
        <v>108544.55</v>
      </c>
      <c r="K17" s="4" t="inlineStr">
        <is>
          <t>S</t>
        </is>
      </c>
      <c r="L17" s="4" t="inlineStr">
        <is>
          <t>2023-06-02</t>
        </is>
      </c>
      <c r="M17" s="5" t="n">
        <v>108544.55</v>
      </c>
      <c r="N17" s="5">
        <f>J17-M17</f>
        <v/>
      </c>
      <c r="O17" s="6">
        <f>IF(F17="INFERIOR",N17/J17,"")</f>
        <v/>
      </c>
      <c r="P17" s="5">
        <f>IF(F17="INFERIOR",O17*MUS_parametros!$B$18,N17)</f>
        <v/>
      </c>
      <c r="Q17" s="4" t="inlineStr">
        <is>
          <t>Documento confere com o registro</t>
        </is>
      </c>
    </row>
    <row r="18">
      <c r="A18" s="4" t="inlineStr">
        <is>
          <t>IMB-0009250</t>
        </is>
      </c>
      <c r="B18" s="4" t="inlineStr">
        <is>
          <t>MAQUINAS_EQUIPAMENTOS</t>
        </is>
      </c>
      <c r="C18" s="4" t="inlineStr">
        <is>
          <t>1.2.03.01.004</t>
        </is>
      </c>
      <c r="D18" s="4" t="inlineStr">
        <is>
          <t>UPGN GUAMARE</t>
        </is>
      </c>
      <c r="E18" s="4" t="inlineStr">
        <is>
          <t>MODULO DE PROCESSAMENTO UPGN III</t>
        </is>
      </c>
      <c r="F18" s="4" t="inlineStr">
        <is>
          <t>INFERIOR</t>
        </is>
      </c>
      <c r="G18" s="4" t="n">
        <v>1</v>
      </c>
      <c r="H18" s="5" t="n">
        <v>77958906.83817437</v>
      </c>
      <c r="I18" s="5" t="n">
        <v>77979289.60999995</v>
      </c>
      <c r="J18" s="5" t="n">
        <v>140862.4</v>
      </c>
      <c r="K18" s="4" t="inlineStr">
        <is>
          <t>S</t>
        </is>
      </c>
      <c r="L18" s="4" t="inlineStr">
        <is>
          <t>2025-09-30</t>
        </is>
      </c>
      <c r="M18" s="5" t="n">
        <v>140862.4</v>
      </c>
      <c r="N18" s="5">
        <f>J18-M18</f>
        <v/>
      </c>
      <c r="O18" s="6">
        <f>IF(F18="INFERIOR",N18/J18,"")</f>
        <v/>
      </c>
      <c r="P18" s="5">
        <f>IF(F18="INFERIOR",O18*MUS_parametros!$B$18,N18)</f>
        <v/>
      </c>
      <c r="Q18" s="4" t="inlineStr">
        <is>
          <t>Documento confere com o registro</t>
        </is>
      </c>
    </row>
    <row r="19">
      <c r="A19" s="4" t="inlineStr">
        <is>
          <t>IMB-0010059</t>
        </is>
      </c>
      <c r="B19" s="4" t="inlineStr">
        <is>
          <t>MAQUINAS_EQUIPAMENTOS</t>
        </is>
      </c>
      <c r="C19" s="4" t="inlineStr">
        <is>
          <t>1.2.03.01.002</t>
        </is>
      </c>
      <c r="D19" s="4" t="inlineStr">
        <is>
          <t>CANABRAVA</t>
        </is>
      </c>
      <c r="E19" s="4" t="inlineStr">
        <is>
          <t>UNIDADE DE BOMBEIO MECANICO</t>
        </is>
      </c>
      <c r="F19" s="4" t="inlineStr">
        <is>
          <t>INFERIOR</t>
        </is>
      </c>
      <c r="G19" s="4" t="n">
        <v>1</v>
      </c>
      <c r="H19" s="5" t="n">
        <v>83691906.83817437</v>
      </c>
      <c r="I19" s="5" t="n">
        <v>83700688.73</v>
      </c>
      <c r="J19" s="5" t="n">
        <v>9538.440000000001</v>
      </c>
      <c r="K19" s="4" t="inlineStr">
        <is>
          <t>S</t>
        </is>
      </c>
      <c r="L19" s="4" t="inlineStr">
        <is>
          <t>2022-12-15</t>
        </is>
      </c>
      <c r="M19" s="5" t="n">
        <v>9538.440000000001</v>
      </c>
      <c r="N19" s="5">
        <f>J19-M19</f>
        <v/>
      </c>
      <c r="O19" s="6">
        <f>IF(F19="INFERIOR",N19/J19,"")</f>
        <v/>
      </c>
      <c r="P19" s="5">
        <f>IF(F19="INFERIOR",O19*MUS_parametros!$B$18,N19)</f>
        <v/>
      </c>
      <c r="Q19" s="4" t="inlineStr">
        <is>
          <t>Documento confere com o registro</t>
        </is>
      </c>
    </row>
    <row r="20">
      <c r="A20" s="4" t="inlineStr">
        <is>
          <t>IMB-0010784</t>
        </is>
      </c>
      <c r="B20" s="4" t="inlineStr">
        <is>
          <t>DESENVOLVIMENTO_CAMPOS</t>
        </is>
      </c>
      <c r="C20" s="4" t="inlineStr">
        <is>
          <t>1.2.03.04.001</t>
        </is>
      </c>
      <c r="D20" s="4" t="inlineStr">
        <is>
          <t>PAJEU</t>
        </is>
      </c>
      <c r="E20" s="4" t="inlineStr">
        <is>
          <t>PERFURACAO E COMPLETACAO</t>
        </is>
      </c>
      <c r="F20" s="4" t="inlineStr">
        <is>
          <t>INFERIOR</t>
        </is>
      </c>
      <c r="G20" s="4" t="n">
        <v>1</v>
      </c>
      <c r="H20" s="5" t="n">
        <v>89424906.83817437</v>
      </c>
      <c r="I20" s="5" t="n">
        <v>89425587.93000007</v>
      </c>
      <c r="J20" s="5" t="n">
        <v>388684.32</v>
      </c>
      <c r="K20" s="4" t="inlineStr">
        <is>
          <t>S</t>
        </is>
      </c>
      <c r="L20" s="4" t="inlineStr">
        <is>
          <t>2025-11-15</t>
        </is>
      </c>
      <c r="M20" s="5" t="n">
        <v>388684.32</v>
      </c>
      <c r="N20" s="5">
        <f>J20-M20</f>
        <v/>
      </c>
      <c r="O20" s="6">
        <f>IF(F20="INFERIOR",N20/J20,"")</f>
        <v/>
      </c>
      <c r="P20" s="5">
        <f>IF(F20="INFERIOR",O20*MUS_parametros!$B$18,N20)</f>
        <v/>
      </c>
      <c r="Q20" s="4" t="inlineStr">
        <is>
          <t>Documento confere com o registro</t>
        </is>
      </c>
    </row>
    <row r="21">
      <c r="A21" s="4" t="inlineStr">
        <is>
          <t>IMB-0011469</t>
        </is>
      </c>
      <c r="B21" s="4" t="inlineStr">
        <is>
          <t>DESENVOLVIMENTO_CAMPOS</t>
        </is>
      </c>
      <c r="C21" s="4" t="inlineStr">
        <is>
          <t>1.2.03.04.001</t>
        </is>
      </c>
      <c r="D21" s="4" t="inlineStr">
        <is>
          <t>REMANSO</t>
        </is>
      </c>
      <c r="E21" s="4" t="inlineStr">
        <is>
          <t>PERFURACAO E COMPLETACAO</t>
        </is>
      </c>
      <c r="F21" s="4" t="inlineStr">
        <is>
          <t>INFERIOR</t>
        </is>
      </c>
      <c r="G21" s="4" t="n">
        <v>1</v>
      </c>
      <c r="H21" s="5" t="n">
        <v>95157906.83817437</v>
      </c>
      <c r="I21" s="5" t="n">
        <v>95167843.29000008</v>
      </c>
      <c r="J21" s="5" t="n">
        <v>322052.17</v>
      </c>
      <c r="K21" s="4" t="inlineStr">
        <is>
          <t>S</t>
        </is>
      </c>
      <c r="L21" s="4" t="inlineStr">
        <is>
          <t>2023-05-02</t>
        </is>
      </c>
      <c r="M21" s="5" t="n">
        <v>322052.17</v>
      </c>
      <c r="N21" s="5">
        <f>J21-M21</f>
        <v/>
      </c>
      <c r="O21" s="6">
        <f>IF(F21="INFERIOR",N21/J21,"")</f>
        <v/>
      </c>
      <c r="P21" s="5">
        <f>IF(F21="INFERIOR",O21*MUS_parametros!$B$18,N21)</f>
        <v/>
      </c>
      <c r="Q21" s="4" t="inlineStr">
        <is>
          <t>Documento confere com o registro</t>
        </is>
      </c>
    </row>
    <row r="22">
      <c r="A22" s="4" t="inlineStr">
        <is>
          <t>IMB-0012018</t>
        </is>
      </c>
      <c r="B22" s="4" t="inlineStr">
        <is>
          <t>DESENVOLVIMENTO_CAMPOS</t>
        </is>
      </c>
      <c r="C22" s="4" t="inlineStr">
        <is>
          <t>1.2.03.04.002</t>
        </is>
      </c>
      <c r="D22" s="4" t="inlineStr">
        <is>
          <t>POT-CONC-07 (SINTETICO)</t>
        </is>
      </c>
      <c r="E22" s="4" t="inlineStr">
        <is>
          <t>WORKOVER / RECOMPLETACAO CAPITALIZADO</t>
        </is>
      </c>
      <c r="F22" s="4" t="inlineStr">
        <is>
          <t>INFERIOR</t>
        </is>
      </c>
      <c r="G22" s="4" t="n">
        <v>1</v>
      </c>
      <c r="H22" s="5" t="n">
        <v>100890906.8381744</v>
      </c>
      <c r="I22" s="5" t="n">
        <v>100904452.5100001</v>
      </c>
      <c r="J22" s="5" t="n">
        <v>13701.52</v>
      </c>
      <c r="K22" s="4" t="inlineStr">
        <is>
          <t>S</t>
        </is>
      </c>
      <c r="L22" s="4" t="inlineStr">
        <is>
          <t>2025-03-09</t>
        </is>
      </c>
      <c r="M22" s="5" t="n">
        <v>13701.52</v>
      </c>
      <c r="N22" s="5">
        <f>J22-M22</f>
        <v/>
      </c>
      <c r="O22" s="6">
        <f>IF(F22="INFERIOR",N22/J22,"")</f>
        <v/>
      </c>
      <c r="P22" s="5">
        <f>IF(F22="INFERIOR",O22*MUS_parametros!$B$18,N22)</f>
        <v/>
      </c>
      <c r="Q22" s="4" t="inlineStr">
        <is>
          <t>Documento confere com o registro</t>
        </is>
      </c>
    </row>
    <row r="23">
      <c r="A23" s="4" t="inlineStr">
        <is>
          <t>IMB-0012744</t>
        </is>
      </c>
      <c r="B23" s="4" t="inlineStr">
        <is>
          <t>DESENVOLVIMENTO_CAMPOS</t>
        </is>
      </c>
      <c r="C23" s="4" t="inlineStr">
        <is>
          <t>1.2.03.04.001</t>
        </is>
      </c>
      <c r="D23" s="4" t="inlineStr">
        <is>
          <t>POT-CONC-04 (SINTETICO)</t>
        </is>
      </c>
      <c r="E23" s="4" t="inlineStr">
        <is>
          <t>PERFURACAO E COMPLETACAO</t>
        </is>
      </c>
      <c r="F23" s="4" t="inlineStr">
        <is>
          <t>INFERIOR</t>
        </is>
      </c>
      <c r="G23" s="4" t="n">
        <v>1</v>
      </c>
      <c r="H23" s="5" t="n">
        <v>106623906.8381744</v>
      </c>
      <c r="I23" s="5" t="n">
        <v>106675436.9299999</v>
      </c>
      <c r="J23" s="5" t="n">
        <v>134595.67</v>
      </c>
      <c r="K23" s="4" t="inlineStr">
        <is>
          <t>S</t>
        </is>
      </c>
      <c r="L23" s="4" t="inlineStr">
        <is>
          <t>2025-07-23</t>
        </is>
      </c>
      <c r="M23" s="5" t="n">
        <v>134595.67</v>
      </c>
      <c r="N23" s="5">
        <f>J23-M23</f>
        <v/>
      </c>
      <c r="O23" s="6">
        <f>IF(F23="INFERIOR",N23/J23,"")</f>
        <v/>
      </c>
      <c r="P23" s="5">
        <f>IF(F23="INFERIOR",O23*MUS_parametros!$B$18,N23)</f>
        <v/>
      </c>
      <c r="Q23" s="4" t="inlineStr">
        <is>
          <t>Documento confere com o registro</t>
        </is>
      </c>
    </row>
    <row r="24">
      <c r="A24" s="4" t="inlineStr">
        <is>
          <t>IMB-0013532</t>
        </is>
      </c>
      <c r="B24" s="4" t="inlineStr">
        <is>
          <t>OUTROS</t>
        </is>
      </c>
      <c r="C24" s="4" t="inlineStr">
        <is>
          <t>1.2.03.09.003</t>
        </is>
      </c>
      <c r="D24" s="4" t="inlineStr">
        <is>
          <t>POT-CONC-08 (SINTETICO)</t>
        </is>
      </c>
      <c r="E24" s="4" t="inlineStr">
        <is>
          <t>MOVEL E UTENSILIO</t>
        </is>
      </c>
      <c r="F24" s="4" t="inlineStr">
        <is>
          <t>INFERIOR</t>
        </is>
      </c>
      <c r="G24" s="4" t="n">
        <v>1</v>
      </c>
      <c r="H24" s="5" t="n">
        <v>112356906.8381744</v>
      </c>
      <c r="I24" s="5" t="n">
        <v>112357171.38</v>
      </c>
      <c r="J24" s="5" t="n">
        <v>310.74</v>
      </c>
      <c r="K24" s="4" t="inlineStr">
        <is>
          <t>S</t>
        </is>
      </c>
      <c r="L24" s="4" t="inlineStr">
        <is>
          <t>2017-12-12</t>
        </is>
      </c>
      <c r="M24" s="5" t="n">
        <v>310.74</v>
      </c>
      <c r="N24" s="5">
        <f>J24-M24</f>
        <v/>
      </c>
      <c r="O24" s="6">
        <f>IF(F24="INFERIOR",N24/J24,"")</f>
        <v/>
      </c>
      <c r="P24" s="5">
        <f>IF(F24="INFERIOR",O24*MUS_parametros!$B$18,N24)</f>
        <v/>
      </c>
      <c r="Q24" s="4" t="inlineStr">
        <is>
          <t>Documento confere com o registro</t>
        </is>
      </c>
    </row>
    <row r="25">
      <c r="A25" s="4" t="inlineStr">
        <is>
          <t>IMB-0014458</t>
        </is>
      </c>
      <c r="B25" s="4" t="inlineStr">
        <is>
          <t>DESENVOLVIMENTO_CAMPOS</t>
        </is>
      </c>
      <c r="C25" s="4" t="inlineStr">
        <is>
          <t>1.2.03.04.003</t>
        </is>
      </c>
      <c r="D25" s="4" t="inlineStr">
        <is>
          <t>RIO PIPIRI</t>
        </is>
      </c>
      <c r="E25" s="4" t="inlineStr">
        <is>
          <t>COLUNA DE PRODUCAO E HASTES</t>
        </is>
      </c>
      <c r="F25" s="4" t="inlineStr">
        <is>
          <t>INFERIOR</t>
        </is>
      </c>
      <c r="G25" s="4" t="n">
        <v>1</v>
      </c>
      <c r="H25" s="5" t="n">
        <v>118089906.8381744</v>
      </c>
      <c r="I25" s="5" t="n">
        <v>118091699.66</v>
      </c>
      <c r="J25" s="5" t="n">
        <v>2554.27</v>
      </c>
      <c r="K25" s="4" t="inlineStr">
        <is>
          <t>S</t>
        </is>
      </c>
      <c r="L25" s="4" t="inlineStr">
        <is>
          <t>2024-11-09</t>
        </is>
      </c>
      <c r="M25" s="5" t="n">
        <v>2554.27</v>
      </c>
      <c r="N25" s="5">
        <f>J25-M25</f>
        <v/>
      </c>
      <c r="O25" s="6">
        <f>IF(F25="INFERIOR",N25/J25,"")</f>
        <v/>
      </c>
      <c r="P25" s="5">
        <f>IF(F25="INFERIOR",O25*MUS_parametros!$B$18,N25)</f>
        <v/>
      </c>
      <c r="Q25" s="4" t="inlineStr">
        <is>
          <t>Documento confere com o registro</t>
        </is>
      </c>
    </row>
    <row r="26">
      <c r="A26" s="4" t="inlineStr">
        <is>
          <t>IMB-0015147</t>
        </is>
      </c>
      <c r="B26" s="4" t="inlineStr">
        <is>
          <t>DESENVOLVIMENTO_CAMPOS</t>
        </is>
      </c>
      <c r="C26" s="4" t="inlineStr">
        <is>
          <t>1.2.03.04.001</t>
        </is>
      </c>
      <c r="D26" s="4" t="inlineStr">
        <is>
          <t>JACUIPE</t>
        </is>
      </c>
      <c r="E26" s="4" t="inlineStr">
        <is>
          <t>PERFURACAO E COMPLETACAO</t>
        </is>
      </c>
      <c r="F26" s="4" t="inlineStr">
        <is>
          <t>INFERIOR</t>
        </is>
      </c>
      <c r="G26" s="4" t="n">
        <v>1</v>
      </c>
      <c r="H26" s="5" t="n">
        <v>123822906.8381744</v>
      </c>
      <c r="I26" s="5" t="n">
        <v>124107499.2599999</v>
      </c>
      <c r="J26" s="5" t="n">
        <v>333399.02</v>
      </c>
      <c r="K26" s="4" t="inlineStr">
        <is>
          <t>S</t>
        </is>
      </c>
      <c r="L26" s="4" t="inlineStr">
        <is>
          <t>2025-11-12</t>
        </is>
      </c>
      <c r="M26" s="5" t="n">
        <v>333399.02</v>
      </c>
      <c r="N26" s="5">
        <f>J26-M26</f>
        <v/>
      </c>
      <c r="O26" s="6">
        <f>IF(F26="INFERIOR",N26/J26,"")</f>
        <v/>
      </c>
      <c r="P26" s="5">
        <f>IF(F26="INFERIOR",O26*MUS_parametros!$B$18,N26)</f>
        <v/>
      </c>
      <c r="Q26" s="4" t="inlineStr">
        <is>
          <t>Documento confere com o registro</t>
        </is>
      </c>
    </row>
    <row r="27">
      <c r="A27" s="4" t="inlineStr">
        <is>
          <t>IMB-0016058</t>
        </is>
      </c>
      <c r="B27" s="4" t="inlineStr">
        <is>
          <t>DESENVOLVIMENTO_CAMPOS</t>
        </is>
      </c>
      <c r="C27" s="4" t="inlineStr">
        <is>
          <t>1.2.03.04.001</t>
        </is>
      </c>
      <c r="D27" s="4" t="inlineStr">
        <is>
          <t>CASSARONGONGO</t>
        </is>
      </c>
      <c r="E27" s="4" t="inlineStr">
        <is>
          <t>PERFURACAO E COMPLETACAO</t>
        </is>
      </c>
      <c r="F27" s="4" t="inlineStr">
        <is>
          <t>INFERIOR</t>
        </is>
      </c>
      <c r="G27" s="4" t="n">
        <v>1</v>
      </c>
      <c r="H27" s="5" t="n">
        <v>129555906.8381744</v>
      </c>
      <c r="I27" s="5" t="n">
        <v>129602632.5599996</v>
      </c>
      <c r="J27" s="5" t="n">
        <v>58217.24</v>
      </c>
      <c r="K27" s="4" t="inlineStr">
        <is>
          <t>S</t>
        </is>
      </c>
      <c r="L27" s="4" t="inlineStr">
        <is>
          <t>2023-10-08</t>
        </is>
      </c>
      <c r="M27" s="5" t="n">
        <v>58217.24</v>
      </c>
      <c r="N27" s="5">
        <f>J27-M27</f>
        <v/>
      </c>
      <c r="O27" s="6">
        <f>IF(F27="INFERIOR",N27/J27,"")</f>
        <v/>
      </c>
      <c r="P27" s="5">
        <f>IF(F27="INFERIOR",O27*MUS_parametros!$B$18,N27)</f>
        <v/>
      </c>
      <c r="Q27" s="4" t="inlineStr">
        <is>
          <t>Documento confere com o registro</t>
        </is>
      </c>
    </row>
    <row r="28">
      <c r="A28" s="4" t="inlineStr">
        <is>
          <t>IMB-0016661</t>
        </is>
      </c>
      <c r="B28" s="4" t="inlineStr">
        <is>
          <t>DESENVOLVIMENTO_CAMPOS</t>
        </is>
      </c>
      <c r="C28" s="4" t="inlineStr">
        <is>
          <t>1.2.03.04.001</t>
        </is>
      </c>
      <c r="D28" s="4" t="inlineStr">
        <is>
          <t>POT-CONC-19 (SINTETICO)</t>
        </is>
      </c>
      <c r="E28" s="4" t="inlineStr">
        <is>
          <t>PERFURACAO E COMPLETACAO</t>
        </is>
      </c>
      <c r="F28" s="4" t="inlineStr">
        <is>
          <t>INFERIOR</t>
        </is>
      </c>
      <c r="G28" s="4" t="n">
        <v>1</v>
      </c>
      <c r="H28" s="5" t="n">
        <v>135288906.8381744</v>
      </c>
      <c r="I28" s="5" t="n">
        <v>135313657.9099995</v>
      </c>
      <c r="J28" s="5" t="n">
        <v>32374.54</v>
      </c>
      <c r="K28" s="4" t="inlineStr">
        <is>
          <t>S</t>
        </is>
      </c>
      <c r="L28" s="4" t="inlineStr">
        <is>
          <t>2025-05-22</t>
        </is>
      </c>
      <c r="M28" s="5" t="n">
        <v>32374.54</v>
      </c>
      <c r="N28" s="5">
        <f>J28-M28</f>
        <v/>
      </c>
      <c r="O28" s="6">
        <f>IF(F28="INFERIOR",N28/J28,"")</f>
        <v/>
      </c>
      <c r="P28" s="5">
        <f>IF(F28="INFERIOR",O28*MUS_parametros!$B$18,N28)</f>
        <v/>
      </c>
      <c r="Q28" s="4" t="inlineStr">
        <is>
          <t>Documento confere com o registro</t>
        </is>
      </c>
    </row>
    <row r="29">
      <c r="A29" s="4" t="inlineStr">
        <is>
          <t>IMB-0017366</t>
        </is>
      </c>
      <c r="B29" s="4" t="inlineStr">
        <is>
          <t>DESENVOLVIMENTO_CAMPOS</t>
        </is>
      </c>
      <c r="C29" s="4" t="inlineStr">
        <is>
          <t>1.2.03.04.001</t>
        </is>
      </c>
      <c r="D29" s="4" t="inlineStr">
        <is>
          <t>GOMO</t>
        </is>
      </c>
      <c r="E29" s="4" t="inlineStr">
        <is>
          <t>PERFURACAO E COMPLETACAO</t>
        </is>
      </c>
      <c r="F29" s="4" t="inlineStr">
        <is>
          <t>INFERIOR</t>
        </is>
      </c>
      <c r="G29" s="4" t="n">
        <v>1</v>
      </c>
      <c r="H29" s="5" t="n">
        <v>141021906.8381744</v>
      </c>
      <c r="I29" s="5" t="n">
        <v>141027587.3299995</v>
      </c>
      <c r="J29" s="5" t="n">
        <v>222855.59</v>
      </c>
      <c r="K29" s="4" t="inlineStr">
        <is>
          <t>S</t>
        </is>
      </c>
      <c r="L29" s="4" t="inlineStr">
        <is>
          <t>2024-02-18</t>
        </is>
      </c>
      <c r="M29" s="5" t="n">
        <v>222855.59</v>
      </c>
      <c r="N29" s="5">
        <f>J29-M29</f>
        <v/>
      </c>
      <c r="O29" s="6">
        <f>IF(F29="INFERIOR",N29/J29,"")</f>
        <v/>
      </c>
      <c r="P29" s="5">
        <f>IF(F29="INFERIOR",O29*MUS_parametros!$B$18,N29)</f>
        <v/>
      </c>
      <c r="Q29" s="4" t="inlineStr">
        <is>
          <t>Documento confere com o registro</t>
        </is>
      </c>
    </row>
    <row r="30">
      <c r="A30" s="4" t="inlineStr">
        <is>
          <t>IMB-0018379</t>
        </is>
      </c>
      <c r="B30" s="4" t="inlineStr">
        <is>
          <t>DESENVOLVIMENTO_CAMPOS</t>
        </is>
      </c>
      <c r="C30" s="4" t="inlineStr">
        <is>
          <t>1.2.03.04.001</t>
        </is>
      </c>
      <c r="D30" s="4" t="inlineStr">
        <is>
          <t>POT-CONC-18 (SINTETICO)</t>
        </is>
      </c>
      <c r="E30" s="4" t="inlineStr">
        <is>
          <t>PERFURACAO E COMPLETACAO</t>
        </is>
      </c>
      <c r="F30" s="4" t="inlineStr">
        <is>
          <t>INFERIOR</t>
        </is>
      </c>
      <c r="G30" s="4" t="n">
        <v>1</v>
      </c>
      <c r="H30" s="5" t="n">
        <v>146754906.8381744</v>
      </c>
      <c r="I30" s="5" t="n">
        <v>146803855.6799996</v>
      </c>
      <c r="J30" s="5" t="n">
        <v>142668.57</v>
      </c>
      <c r="K30" s="4" t="inlineStr">
        <is>
          <t>S</t>
        </is>
      </c>
      <c r="L30" s="4" t="inlineStr">
        <is>
          <t>2025-03-12</t>
        </is>
      </c>
      <c r="M30" s="5" t="n">
        <v>142668.57</v>
      </c>
      <c r="N30" s="5">
        <f>J30-M30</f>
        <v/>
      </c>
      <c r="O30" s="6">
        <f>IF(F30="INFERIOR",N30/J30,"")</f>
        <v/>
      </c>
      <c r="P30" s="5">
        <f>IF(F30="INFERIOR",O30*MUS_parametros!$B$18,N30)</f>
        <v/>
      </c>
      <c r="Q30" s="4" t="inlineStr">
        <is>
          <t>Documento confere com o registro</t>
        </is>
      </c>
    </row>
    <row r="31">
      <c r="A31" s="4" t="inlineStr">
        <is>
          <t>IMB-0018941</t>
        </is>
      </c>
      <c r="B31" s="4" t="inlineStr">
        <is>
          <t>DESENVOLVIMENTO_CAMPOS</t>
        </is>
      </c>
      <c r="C31" s="4" t="inlineStr">
        <is>
          <t>1.2.03.04.004</t>
        </is>
      </c>
      <c r="D31" s="4" t="inlineStr">
        <is>
          <t>TARTARUGA</t>
        </is>
      </c>
      <c r="E31" s="4" t="inlineStr">
        <is>
          <t>LINHA DE SURGENCIA E MANIFOLD</t>
        </is>
      </c>
      <c r="F31" s="4" t="inlineStr">
        <is>
          <t>INFERIOR</t>
        </is>
      </c>
      <c r="G31" s="4" t="n">
        <v>1</v>
      </c>
      <c r="H31" s="5" t="n">
        <v>152487906.8381744</v>
      </c>
      <c r="I31" s="5" t="n">
        <v>152498883.9799997</v>
      </c>
      <c r="J31" s="5" t="n">
        <v>34387.01</v>
      </c>
      <c r="K31" s="4" t="inlineStr">
        <is>
          <t>S</t>
        </is>
      </c>
      <c r="L31" s="4" t="inlineStr">
        <is>
          <t>2025-04-20</t>
        </is>
      </c>
      <c r="M31" s="5" t="n">
        <v>34387.01</v>
      </c>
      <c r="N31" s="5">
        <f>J31-M31</f>
        <v/>
      </c>
      <c r="O31" s="6">
        <f>IF(F31="INFERIOR",N31/J31,"")</f>
        <v/>
      </c>
      <c r="P31" s="5">
        <f>IF(F31="INFERIOR",O31*MUS_parametros!$B$18,N31)</f>
        <v/>
      </c>
      <c r="Q31" s="4" t="inlineStr">
        <is>
          <t>Documento confere com o registro</t>
        </is>
      </c>
    </row>
    <row r="32">
      <c r="A32" s="4" t="inlineStr">
        <is>
          <t>IMB-0019800</t>
        </is>
      </c>
      <c r="B32" s="4" t="inlineStr">
        <is>
          <t>ALMOXARIFADO_INVERSOES_FIXAS</t>
        </is>
      </c>
      <c r="C32" s="4" t="inlineStr">
        <is>
          <t>1.2.03.07.001</t>
        </is>
      </c>
      <c r="D32" s="4" t="inlineStr">
        <is>
          <t>ACAJA-BURIZINHO</t>
        </is>
      </c>
      <c r="E32" s="4" t="inlineStr">
        <is>
          <t>TUBO DE REVESTIMENTO/PRODUCAO (LOTE)</t>
        </is>
      </c>
      <c r="F32" s="4" t="inlineStr">
        <is>
          <t>INFERIOR</t>
        </is>
      </c>
      <c r="G32" s="4" t="n">
        <v>1</v>
      </c>
      <c r="H32" s="5" t="n">
        <v>158220906.8381744</v>
      </c>
      <c r="I32" s="5" t="n">
        <v>158223106.1899992</v>
      </c>
      <c r="J32" s="5" t="n">
        <v>10971.93</v>
      </c>
      <c r="K32" s="4" t="inlineStr">
        <is>
          <t>S</t>
        </is>
      </c>
      <c r="L32" s="4" t="inlineStr">
        <is>
          <t>2024-02-15</t>
        </is>
      </c>
      <c r="M32" s="5" t="n">
        <v>10971.93</v>
      </c>
      <c r="N32" s="5">
        <f>J32-M32</f>
        <v/>
      </c>
      <c r="O32" s="6">
        <f>IF(F32="INFERIOR",N32/J32,"")</f>
        <v/>
      </c>
      <c r="P32" s="5">
        <f>IF(F32="INFERIOR",O32*MUS_parametros!$B$18,N32)</f>
        <v/>
      </c>
      <c r="Q32" s="4" t="inlineStr">
        <is>
          <t>Documento confere com o registro</t>
        </is>
      </c>
    </row>
    <row r="33">
      <c r="A33" s="4" t="inlineStr">
        <is>
          <t>IMB-0020588</t>
        </is>
      </c>
      <c r="B33" s="4" t="inlineStr">
        <is>
          <t>ALMOXARIFADO_INVERSOES_FIXAS</t>
        </is>
      </c>
      <c r="C33" s="4" t="inlineStr">
        <is>
          <t>1.2.03.07.001</t>
        </is>
      </c>
      <c r="D33" s="4" t="inlineStr">
        <is>
          <t>POT-CONC-17 (SINTETICO)</t>
        </is>
      </c>
      <c r="E33" s="4" t="inlineStr">
        <is>
          <t>TUBO DE REVESTIMENTO/PRODUCAO (LOTE)</t>
        </is>
      </c>
      <c r="F33" s="4" t="inlineStr">
        <is>
          <t>INFERIOR</t>
        </is>
      </c>
      <c r="G33" s="4" t="n">
        <v>1</v>
      </c>
      <c r="H33" s="5" t="n">
        <v>163953906.8381744</v>
      </c>
      <c r="I33" s="5" t="n">
        <v>163970627.3399994</v>
      </c>
      <c r="J33" s="5" t="n">
        <v>16768.93</v>
      </c>
      <c r="K33" s="4" t="inlineStr">
        <is>
          <t>S</t>
        </is>
      </c>
      <c r="L33" s="4" t="inlineStr">
        <is>
          <t>2024-06-19</t>
        </is>
      </c>
      <c r="M33" s="5" t="n">
        <v>16768.93</v>
      </c>
      <c r="N33" s="5">
        <f>J33-M33</f>
        <v/>
      </c>
      <c r="O33" s="6">
        <f>IF(F33="INFERIOR",N33/J33,"")</f>
        <v/>
      </c>
      <c r="P33" s="5">
        <f>IF(F33="INFERIOR",O33*MUS_parametros!$B$18,N33)</f>
        <v/>
      </c>
      <c r="Q33" s="4" t="inlineStr">
        <is>
          <t>Documento confere com o registro</t>
        </is>
      </c>
    </row>
    <row r="34">
      <c r="A34" s="4" t="inlineStr">
        <is>
          <t>IMB-0020995</t>
        </is>
      </c>
      <c r="B34" s="4" t="inlineStr">
        <is>
          <t>DESENVOLVIMENTO_CAMPOS</t>
        </is>
      </c>
      <c r="C34" s="4" t="inlineStr">
        <is>
          <t>1.2.03.04.001</t>
        </is>
      </c>
      <c r="D34" s="4" t="inlineStr">
        <is>
          <t>REMANSO</t>
        </is>
      </c>
      <c r="E34" s="4" t="inlineStr">
        <is>
          <t>PERFURACAO E COMPLETACAO</t>
        </is>
      </c>
      <c r="F34" s="4" t="inlineStr">
        <is>
          <t>INFERIOR</t>
        </is>
      </c>
      <c r="G34" s="4" t="n">
        <v>1</v>
      </c>
      <c r="H34" s="5" t="n">
        <v>169686906.8381744</v>
      </c>
      <c r="I34" s="5" t="n">
        <v>170528026.6999996</v>
      </c>
      <c r="J34" s="5" t="n">
        <v>861620.83</v>
      </c>
      <c r="K34" s="4" t="inlineStr">
        <is>
          <t>S</t>
        </is>
      </c>
      <c r="L34" s="4" t="inlineStr">
        <is>
          <t>2025-09-18</t>
        </is>
      </c>
      <c r="M34" s="5" t="n">
        <v>861620.83</v>
      </c>
      <c r="N34" s="5">
        <f>J34-M34</f>
        <v/>
      </c>
      <c r="O34" s="6">
        <f>IF(F34="INFERIOR",N34/J34,"")</f>
        <v/>
      </c>
      <c r="P34" s="5">
        <f>IF(F34="INFERIOR",O34*MUS_parametros!$B$18,N34)</f>
        <v/>
      </c>
      <c r="Q34" s="4" t="inlineStr">
        <is>
          <t>Documento confere com o registro</t>
        </is>
      </c>
    </row>
    <row r="35">
      <c r="A35" s="4" t="inlineStr">
        <is>
          <t>IMB-0021729</t>
        </is>
      </c>
      <c r="B35" s="4" t="inlineStr">
        <is>
          <t>OUTROS</t>
        </is>
      </c>
      <c r="C35" s="4" t="inlineStr">
        <is>
          <t>1.2.03.09.005</t>
        </is>
      </c>
      <c r="D35" s="4" t="inlineStr">
        <is>
          <t>FAZENDA ONCA</t>
        </is>
      </c>
      <c r="E35" s="4" t="inlineStr">
        <is>
          <t>VEICULO LEVE</t>
        </is>
      </c>
      <c r="F35" s="4" t="inlineStr">
        <is>
          <t>INFERIOR</t>
        </is>
      </c>
      <c r="G35" s="4" t="n">
        <v>1</v>
      </c>
      <c r="H35" s="5" t="n">
        <v>175419906.8381744</v>
      </c>
      <c r="I35" s="5" t="n">
        <v>175422863.7999993</v>
      </c>
      <c r="J35" s="5" t="n">
        <v>16273.9</v>
      </c>
      <c r="K35" s="4" t="inlineStr">
        <is>
          <t>S</t>
        </is>
      </c>
      <c r="L35" s="4" t="inlineStr">
        <is>
          <t>2022-02-10</t>
        </is>
      </c>
      <c r="M35" s="5" t="n">
        <v>16273.9</v>
      </c>
      <c r="N35" s="5">
        <f>J35-M35</f>
        <v/>
      </c>
      <c r="O35" s="6">
        <f>IF(F35="INFERIOR",N35/J35,"")</f>
        <v/>
      </c>
      <c r="P35" s="5">
        <f>IF(F35="INFERIOR",O35*MUS_parametros!$B$18,N35)</f>
        <v/>
      </c>
      <c r="Q35" s="4" t="inlineStr">
        <is>
          <t>Documento confere com o registro</t>
        </is>
      </c>
    </row>
    <row r="36">
      <c r="A36" s="4" t="inlineStr">
        <is>
          <t>IMB-0022496</t>
        </is>
      </c>
      <c r="B36" s="4" t="inlineStr">
        <is>
          <t>DESENVOLVIMENTO_CAMPOS</t>
        </is>
      </c>
      <c r="C36" s="4" t="inlineStr">
        <is>
          <t>1.2.03.04.001</t>
        </is>
      </c>
      <c r="D36" s="4" t="inlineStr">
        <is>
          <t>APRAIUS</t>
        </is>
      </c>
      <c r="E36" s="4" t="inlineStr">
        <is>
          <t>PERFURACAO E COMPLETACAO</t>
        </is>
      </c>
      <c r="F36" s="4" t="inlineStr">
        <is>
          <t>INFERIOR</t>
        </is>
      </c>
      <c r="G36" s="4" t="n">
        <v>1</v>
      </c>
      <c r="H36" s="5" t="n">
        <v>181152906.8381744</v>
      </c>
      <c r="I36" s="5" t="n">
        <v>181206561.4099991</v>
      </c>
      <c r="J36" s="5" t="n">
        <v>77809.42</v>
      </c>
      <c r="K36" s="4" t="inlineStr">
        <is>
          <t>S</t>
        </is>
      </c>
      <c r="L36" s="4" t="inlineStr">
        <is>
          <t>2025-10-22</t>
        </is>
      </c>
      <c r="M36" s="5" t="n">
        <v>77809.42</v>
      </c>
      <c r="N36" s="5">
        <f>J36-M36</f>
        <v/>
      </c>
      <c r="O36" s="6">
        <f>IF(F36="INFERIOR",N36/J36,"")</f>
        <v/>
      </c>
      <c r="P36" s="5">
        <f>IF(F36="INFERIOR",O36*MUS_parametros!$B$18,N36)</f>
        <v/>
      </c>
      <c r="Q36" s="4" t="inlineStr">
        <is>
          <t>Documento confere com o registro</t>
        </is>
      </c>
    </row>
    <row r="37">
      <c r="A37" s="4" t="inlineStr">
        <is>
          <t>IMB-0023256</t>
        </is>
      </c>
      <c r="B37" s="4" t="inlineStr">
        <is>
          <t>DESENVOLVIMENTO_CAMPOS</t>
        </is>
      </c>
      <c r="C37" s="4" t="inlineStr">
        <is>
          <t>1.2.03.04.001</t>
        </is>
      </c>
      <c r="D37" s="4" t="inlineStr">
        <is>
          <t>POT-CONC-11 (SINTETICO)</t>
        </is>
      </c>
      <c r="E37" s="4" t="inlineStr">
        <is>
          <t>PERFURACAO E COMPLETACAO</t>
        </is>
      </c>
      <c r="F37" s="4" t="inlineStr">
        <is>
          <t>INFERIOR</t>
        </is>
      </c>
      <c r="G37" s="4" t="n">
        <v>1</v>
      </c>
      <c r="H37" s="5" t="n">
        <v>186885906.8381744</v>
      </c>
      <c r="I37" s="5" t="n">
        <v>186935758.4599992</v>
      </c>
      <c r="J37" s="5" t="n">
        <v>116522.76</v>
      </c>
      <c r="K37" s="4" t="inlineStr">
        <is>
          <t>S</t>
        </is>
      </c>
      <c r="L37" s="4" t="inlineStr">
        <is>
          <t>2025-11-04</t>
        </is>
      </c>
      <c r="M37" s="5" t="n">
        <v>116522.76</v>
      </c>
      <c r="N37" s="5">
        <f>J37-M37</f>
        <v/>
      </c>
      <c r="O37" s="6">
        <f>IF(F37="INFERIOR",N37/J37,"")</f>
        <v/>
      </c>
      <c r="P37" s="5">
        <f>IF(F37="INFERIOR",O37*MUS_parametros!$B$18,N37)</f>
        <v/>
      </c>
      <c r="Q37" s="4" t="inlineStr">
        <is>
          <t>Documento confere com o registro</t>
        </is>
      </c>
    </row>
    <row r="38">
      <c r="A38" s="4" t="inlineStr">
        <is>
          <t>IMB-0023887</t>
        </is>
      </c>
      <c r="B38" s="4" t="inlineStr">
        <is>
          <t>DESENVOLVIMENTO_CAMPOS</t>
        </is>
      </c>
      <c r="C38" s="4" t="inlineStr">
        <is>
          <t>1.2.03.04.001</t>
        </is>
      </c>
      <c r="D38" s="4" t="inlineStr">
        <is>
          <t>TARTARUGA</t>
        </is>
      </c>
      <c r="E38" s="4" t="inlineStr">
        <is>
          <t>PERFURACAO E COMPLETACAO</t>
        </is>
      </c>
      <c r="F38" s="4" t="inlineStr">
        <is>
          <t>SUPERIOR (VC &gt;= I)</t>
        </is>
      </c>
      <c r="G38" s="4" t="n">
        <v>1</v>
      </c>
      <c r="H38" s="5" t="n">
        <v>192618906.8381744</v>
      </c>
      <c r="I38" s="5" t="n">
        <v>196202932.6599993</v>
      </c>
      <c r="J38" s="5" t="n">
        <v>5961972.84</v>
      </c>
      <c r="K38" s="4" t="inlineStr">
        <is>
          <t>S</t>
        </is>
      </c>
      <c r="L38" s="4" t="inlineStr">
        <is>
          <t>2025-09-28</t>
        </is>
      </c>
      <c r="M38" s="5" t="n">
        <v>5961972.84</v>
      </c>
      <c r="N38" s="5">
        <f>J38-M38</f>
        <v/>
      </c>
      <c r="O38" s="6">
        <f>IF(F38="INFERIOR",N38/J38,"")</f>
        <v/>
      </c>
      <c r="P38" s="5">
        <f>IF(F38="INFERIOR",O38*MUS_parametros!$B$18,N38)</f>
        <v/>
      </c>
      <c r="Q38" s="4" t="inlineStr">
        <is>
          <t>Documento confere com o registro</t>
        </is>
      </c>
    </row>
    <row r="39">
      <c r="A39" s="4" t="inlineStr">
        <is>
          <t>IMB-0024127</t>
        </is>
      </c>
      <c r="B39" s="4" t="inlineStr">
        <is>
          <t>BLOCOS_EXPLORATORIOS</t>
        </is>
      </c>
      <c r="C39" s="4" t="inlineStr">
        <is>
          <t>1.2.03.05.001</t>
        </is>
      </c>
      <c r="D39" s="4" t="inlineStr">
        <is>
          <t>BLOCO REC-T-129</t>
        </is>
      </c>
      <c r="E39" s="4" t="inlineStr">
        <is>
          <t>BONUS DE ASSINATURA E GASTOS EXPLORATORIOS</t>
        </is>
      </c>
      <c r="F39" s="4" t="inlineStr">
        <is>
          <t>INFERIOR</t>
        </is>
      </c>
      <c r="G39" s="4" t="n">
        <v>1</v>
      </c>
      <c r="H39" s="5" t="n">
        <v>198351906.8381744</v>
      </c>
      <c r="I39" s="5" t="n">
        <v>200377760.9499993</v>
      </c>
      <c r="J39" s="5" t="n">
        <v>2525527.83</v>
      </c>
      <c r="K39" s="4" t="inlineStr">
        <is>
          <t>S</t>
        </is>
      </c>
      <c r="L39" s="4" t="inlineStr">
        <is>
          <t>2023-02-28</t>
        </is>
      </c>
      <c r="M39" s="5" t="n">
        <v>2525527.83</v>
      </c>
      <c r="N39" s="5">
        <f>J39-M39</f>
        <v/>
      </c>
      <c r="O39" s="6">
        <f>IF(F39="INFERIOR",N39/J39,"")</f>
        <v/>
      </c>
      <c r="P39" s="5">
        <f>IF(F39="INFERIOR",O39*MUS_parametros!$B$18,N39)</f>
        <v/>
      </c>
      <c r="Q39" s="4" t="inlineStr">
        <is>
          <t>Documento confere com o registro</t>
        </is>
      </c>
    </row>
    <row r="40">
      <c r="A40" s="4" t="inlineStr">
        <is>
          <t>IMB-0024423</t>
        </is>
      </c>
      <c r="B40" s="4" t="inlineStr">
        <is>
          <t>DESENVOLVIMENTO_CAMPOS</t>
        </is>
      </c>
      <c r="C40" s="4" t="inlineStr">
        <is>
          <t>1.2.03.04.001</t>
        </is>
      </c>
      <c r="D40" s="4" t="inlineStr">
        <is>
          <t>TARTARUGA</t>
        </is>
      </c>
      <c r="E40" s="4" t="inlineStr">
        <is>
          <t>PERFURACAO E COMPLETACAO</t>
        </is>
      </c>
      <c r="F40" s="4" t="inlineStr">
        <is>
          <t>INFERIOR</t>
        </is>
      </c>
      <c r="G40" s="4" t="n">
        <v>1</v>
      </c>
      <c r="H40" s="5" t="n">
        <v>204084906.8381744</v>
      </c>
      <c r="I40" s="5" t="n">
        <v>206360226.6699993</v>
      </c>
      <c r="J40" s="5" t="n">
        <v>3016312.24</v>
      </c>
      <c r="K40" s="4" t="inlineStr">
        <is>
          <t>S</t>
        </is>
      </c>
      <c r="L40" s="4" t="inlineStr">
        <is>
          <t>2025-12-18</t>
        </is>
      </c>
      <c r="M40" s="5" t="n">
        <v>3016312.24</v>
      </c>
      <c r="N40" s="5">
        <f>J40-M40</f>
        <v/>
      </c>
      <c r="O40" s="6">
        <f>IF(F40="INFERIOR",N40/J40,"")</f>
        <v/>
      </c>
      <c r="P40" s="5">
        <f>IF(F40="INFERIOR",O40*MUS_parametros!$B$18,N40)</f>
        <v/>
      </c>
      <c r="Q40" s="4" t="inlineStr">
        <is>
          <t>Documento confere com o registro</t>
        </is>
      </c>
    </row>
    <row r="41">
      <c r="A41" s="4" t="inlineStr">
        <is>
          <t>IMB-0024786</t>
        </is>
      </c>
      <c r="B41" s="4" t="inlineStr">
        <is>
          <t>DESENVOLVIMENTO_CAMPOS</t>
        </is>
      </c>
      <c r="C41" s="4" t="inlineStr">
        <is>
          <t>1.2.03.04.001</t>
        </is>
      </c>
      <c r="D41" s="4" t="inlineStr">
        <is>
          <t>SUSSUARANA</t>
        </is>
      </c>
      <c r="E41" s="4" t="inlineStr">
        <is>
          <t>PERFURACAO E COMPLETACAO</t>
        </is>
      </c>
      <c r="F41" s="4" t="inlineStr">
        <is>
          <t>INFERIOR</t>
        </is>
      </c>
      <c r="G41" s="4" t="n">
        <v>1</v>
      </c>
      <c r="H41" s="5" t="n">
        <v>209817906.8381744</v>
      </c>
      <c r="I41" s="5" t="n">
        <v>209903613.4699993</v>
      </c>
      <c r="J41" s="5" t="n">
        <v>98077.42</v>
      </c>
      <c r="K41" s="4" t="inlineStr">
        <is>
          <t>S</t>
        </is>
      </c>
      <c r="L41" s="4" t="inlineStr">
        <is>
          <t>2023-06-21</t>
        </is>
      </c>
      <c r="M41" s="5" t="n">
        <v>98077.42</v>
      </c>
      <c r="N41" s="5">
        <f>J41-M41</f>
        <v/>
      </c>
      <c r="O41" s="6">
        <f>IF(F41="INFERIOR",N41/J41,"")</f>
        <v/>
      </c>
      <c r="P41" s="5">
        <f>IF(F41="INFERIOR",O41*MUS_parametros!$B$18,N41)</f>
        <v/>
      </c>
      <c r="Q41" s="4" t="inlineStr">
        <is>
          <t>Documento confere com o registro</t>
        </is>
      </c>
    </row>
    <row r="42">
      <c r="A42" s="4" t="inlineStr">
        <is>
          <t>IMB-0025777</t>
        </is>
      </c>
      <c r="B42" s="4" t="inlineStr">
        <is>
          <t>DESENVOLVIMENTO_CAMPOS</t>
        </is>
      </c>
      <c r="C42" s="4" t="inlineStr">
        <is>
          <t>1.2.03.04.001</t>
        </is>
      </c>
      <c r="D42" s="4" t="inlineStr">
        <is>
          <t>SUSSUARANA</t>
        </is>
      </c>
      <c r="E42" s="4" t="inlineStr">
        <is>
          <t>PERFURACAO E COMPLETACAO</t>
        </is>
      </c>
      <c r="F42" s="4" t="inlineStr">
        <is>
          <t>INFERIOR</t>
        </is>
      </c>
      <c r="G42" s="4" t="n">
        <v>1</v>
      </c>
      <c r="H42" s="5" t="n">
        <v>215550906.8381744</v>
      </c>
      <c r="I42" s="5" t="n">
        <v>215552093.4899991</v>
      </c>
      <c r="J42" s="5" t="n">
        <v>109416.47</v>
      </c>
      <c r="K42" s="4" t="inlineStr">
        <is>
          <t>S</t>
        </is>
      </c>
      <c r="L42" s="4" t="inlineStr">
        <is>
          <t>2025-06-30</t>
        </is>
      </c>
      <c r="M42" s="5" t="n">
        <v>109416.47</v>
      </c>
      <c r="N42" s="5">
        <f>J42-M42</f>
        <v/>
      </c>
      <c r="O42" s="6">
        <f>IF(F42="INFERIOR",N42/J42,"")</f>
        <v/>
      </c>
      <c r="P42" s="5">
        <f>IF(F42="INFERIOR",O42*MUS_parametros!$B$18,N42)</f>
        <v/>
      </c>
      <c r="Q42" s="4" t="inlineStr">
        <is>
          <t>Documento confere com o registro</t>
        </is>
      </c>
    </row>
    <row r="43">
      <c r="A43" s="4" t="inlineStr">
        <is>
          <t>IMB-0026698</t>
        </is>
      </c>
      <c r="B43" s="4" t="inlineStr">
        <is>
          <t>DESENVOLVIMENTO_CAMPOS</t>
        </is>
      </c>
      <c r="C43" s="4" t="inlineStr">
        <is>
          <t>1.2.03.04.002</t>
        </is>
      </c>
      <c r="D43" s="4" t="inlineStr">
        <is>
          <t>JACUIPE</t>
        </is>
      </c>
      <c r="E43" s="4" t="inlineStr">
        <is>
          <t>WORKOVER / RECOMPLETACAO CAPITALIZADO</t>
        </is>
      </c>
      <c r="F43" s="4" t="inlineStr">
        <is>
          <t>INFERIOR</t>
        </is>
      </c>
      <c r="G43" s="4" t="n">
        <v>1</v>
      </c>
      <c r="H43" s="5" t="n">
        <v>221283906.8381744</v>
      </c>
      <c r="I43" s="5" t="n">
        <v>221285299.8999991</v>
      </c>
      <c r="J43" s="5" t="n">
        <v>3616.21</v>
      </c>
      <c r="K43" s="4" t="inlineStr">
        <is>
          <t>S</t>
        </is>
      </c>
      <c r="L43" s="4" t="inlineStr">
        <is>
          <t>2025-03-21</t>
        </is>
      </c>
      <c r="M43" s="5" t="n">
        <v>3616.21</v>
      </c>
      <c r="N43" s="5">
        <f>J43-M43</f>
        <v/>
      </c>
      <c r="O43" s="6">
        <f>IF(F43="INFERIOR",N43/J43,"")</f>
        <v/>
      </c>
      <c r="P43" s="5">
        <f>IF(F43="INFERIOR",O43*MUS_parametros!$B$18,N43)</f>
        <v/>
      </c>
      <c r="Q43" s="4" t="inlineStr">
        <is>
          <t>Documento confere com o registro</t>
        </is>
      </c>
    </row>
    <row r="44">
      <c r="A44" s="4" t="inlineStr">
        <is>
          <t>IMB-0027515</t>
        </is>
      </c>
      <c r="B44" s="4" t="inlineStr">
        <is>
          <t>DESENVOLVIMENTO_CAMPOS</t>
        </is>
      </c>
      <c r="C44" s="4" t="inlineStr">
        <is>
          <t>1.2.03.04.001</t>
        </is>
      </c>
      <c r="D44" s="4" t="inlineStr">
        <is>
          <t>POT-CONC-02 (SINTETICO)</t>
        </is>
      </c>
      <c r="E44" s="4" t="inlineStr">
        <is>
          <t>PERFURACAO E COMPLETACAO</t>
        </is>
      </c>
      <c r="F44" s="4" t="inlineStr">
        <is>
          <t>INFERIOR</t>
        </is>
      </c>
      <c r="G44" s="4" t="n">
        <v>1</v>
      </c>
      <c r="H44" s="5" t="n">
        <v>227016906.8381744</v>
      </c>
      <c r="I44" s="5" t="n">
        <v>227844755.7399986</v>
      </c>
      <c r="J44" s="5" t="n">
        <v>887791.53</v>
      </c>
      <c r="K44" s="4" t="inlineStr">
        <is>
          <t>S</t>
        </is>
      </c>
      <c r="L44" s="4" t="inlineStr">
        <is>
          <t>2025-05-22</t>
        </is>
      </c>
      <c r="M44" s="5" t="n">
        <v>887791.53</v>
      </c>
      <c r="N44" s="5">
        <f>J44-M44</f>
        <v/>
      </c>
      <c r="O44" s="6">
        <f>IF(F44="INFERIOR",N44/J44,"")</f>
        <v/>
      </c>
      <c r="P44" s="5">
        <f>IF(F44="INFERIOR",O44*MUS_parametros!$B$18,N44)</f>
        <v/>
      </c>
      <c r="Q44" s="4" t="inlineStr">
        <is>
          <t>Documento confere com o registro</t>
        </is>
      </c>
    </row>
    <row r="45">
      <c r="A45" s="4" t="inlineStr">
        <is>
          <t>IMB-0027739</t>
        </is>
      </c>
      <c r="B45" s="4" t="inlineStr">
        <is>
          <t>BLOCOS_EXPLORATORIOS</t>
        </is>
      </c>
      <c r="C45" s="4" t="inlineStr">
        <is>
          <t>1.2.03.05.001</t>
        </is>
      </c>
      <c r="D45" s="4" t="inlineStr">
        <is>
          <t>BLOCO REC-T-142</t>
        </is>
      </c>
      <c r="E45" s="4" t="inlineStr">
        <is>
          <t>BONUS DE ASSINATURA E GASTOS EXPLORATORIOS</t>
        </is>
      </c>
      <c r="F45" s="4" t="inlineStr">
        <is>
          <t>INFERIOR</t>
        </is>
      </c>
      <c r="G45" s="4" t="n">
        <v>1</v>
      </c>
      <c r="H45" s="5" t="n">
        <v>232749906.8381744</v>
      </c>
      <c r="I45" s="5" t="n">
        <v>234227745.0699985</v>
      </c>
      <c r="J45" s="5" t="n">
        <v>4925592.84</v>
      </c>
      <c r="K45" s="4" t="inlineStr">
        <is>
          <t>S</t>
        </is>
      </c>
      <c r="L45" s="4" t="inlineStr">
        <is>
          <t>2023-02-28</t>
        </is>
      </c>
      <c r="M45" s="5" t="n">
        <v>4925592.84</v>
      </c>
      <c r="N45" s="5">
        <f>J45-M45</f>
        <v/>
      </c>
      <c r="O45" s="6">
        <f>IF(F45="INFERIOR",N45/J45,"")</f>
        <v/>
      </c>
      <c r="P45" s="5">
        <f>IF(F45="INFERIOR",O45*MUS_parametros!$B$18,N45)</f>
        <v/>
      </c>
      <c r="Q45" s="4" t="inlineStr">
        <is>
          <t>Documento confere com o registro</t>
        </is>
      </c>
    </row>
    <row r="46">
      <c r="A46" s="4" t="inlineStr">
        <is>
          <t>IMB-0028379</t>
        </is>
      </c>
      <c r="B46" s="4" t="inlineStr">
        <is>
          <t>ALMOXARIFADO_INVERSOES_FIXAS</t>
        </is>
      </c>
      <c r="C46" s="4" t="inlineStr">
        <is>
          <t>1.2.03.07.001</t>
        </is>
      </c>
      <c r="D46" s="4" t="inlineStr">
        <is>
          <t>BIRIBA</t>
        </is>
      </c>
      <c r="E46" s="4" t="inlineStr">
        <is>
          <t>TUBO DE REVESTIMENTO/PRODUCAO (LOTE)</t>
        </is>
      </c>
      <c r="F46" s="4" t="inlineStr">
        <is>
          <t>INFERIOR</t>
        </is>
      </c>
      <c r="G46" s="4" t="n">
        <v>1</v>
      </c>
      <c r="H46" s="5" t="n">
        <v>238482906.8381744</v>
      </c>
      <c r="I46" s="5" t="n">
        <v>238482909.9399985</v>
      </c>
      <c r="J46" s="5" t="n">
        <v>2781.08</v>
      </c>
      <c r="K46" s="4" t="inlineStr">
        <is>
          <t>S</t>
        </is>
      </c>
      <c r="L46" s="4" t="inlineStr">
        <is>
          <t>2024-07-22</t>
        </is>
      </c>
      <c r="M46" s="5" t="n">
        <v>2781.08</v>
      </c>
      <c r="N46" s="5">
        <f>J46-M46</f>
        <v/>
      </c>
      <c r="O46" s="6">
        <f>IF(F46="INFERIOR",N46/J46,"")</f>
        <v/>
      </c>
      <c r="P46" s="5">
        <f>IF(F46="INFERIOR",O46*MUS_parametros!$B$18,N46)</f>
        <v/>
      </c>
      <c r="Q46" s="4" t="inlineStr">
        <is>
          <t>Documento confere com o registro</t>
        </is>
      </c>
    </row>
    <row r="47">
      <c r="A47" s="4" t="inlineStr">
        <is>
          <t>IMB-0029065</t>
        </is>
      </c>
      <c r="B47" s="4" t="inlineStr">
        <is>
          <t>DESENVOLVIMENTO_CAMPOS</t>
        </is>
      </c>
      <c r="C47" s="4" t="inlineStr">
        <is>
          <t>1.2.03.04.001</t>
        </is>
      </c>
      <c r="D47" s="4" t="inlineStr">
        <is>
          <t>TARTARUGA</t>
        </is>
      </c>
      <c r="E47" s="4" t="inlineStr">
        <is>
          <t>PERFURACAO E COMPLETACAO</t>
        </is>
      </c>
      <c r="F47" s="4" t="inlineStr">
        <is>
          <t>INFERIOR</t>
        </is>
      </c>
      <c r="G47" s="4" t="n">
        <v>1</v>
      </c>
      <c r="H47" s="5" t="n">
        <v>244215906.8381744</v>
      </c>
      <c r="I47" s="5" t="n">
        <v>244579709.5499986</v>
      </c>
      <c r="J47" s="5" t="n">
        <v>1126659.02</v>
      </c>
      <c r="K47" s="4" t="inlineStr">
        <is>
          <t>S</t>
        </is>
      </c>
      <c r="L47" s="4" t="inlineStr">
        <is>
          <t>2025-10-03</t>
        </is>
      </c>
      <c r="M47" s="5" t="n">
        <v>1126659.02</v>
      </c>
      <c r="N47" s="5">
        <f>J47-M47</f>
        <v/>
      </c>
      <c r="O47" s="6">
        <f>IF(F47="INFERIOR",N47/J47,"")</f>
        <v/>
      </c>
      <c r="P47" s="5">
        <f>IF(F47="INFERIOR",O47*MUS_parametros!$B$18,N47)</f>
        <v/>
      </c>
      <c r="Q47" s="4" t="inlineStr">
        <is>
          <t>Documento confere com o registro</t>
        </is>
      </c>
    </row>
    <row r="48">
      <c r="A48" s="4" t="inlineStr">
        <is>
          <t>IMB-0029957</t>
        </is>
      </c>
      <c r="B48" s="4" t="inlineStr">
        <is>
          <t>DESENVOLVIMENTO_CAMPOS</t>
        </is>
      </c>
      <c r="C48" s="4" t="inlineStr">
        <is>
          <t>1.2.03.04.001</t>
        </is>
      </c>
      <c r="D48" s="4" t="inlineStr">
        <is>
          <t>POT-CONC-17 (SINTETICO)</t>
        </is>
      </c>
      <c r="E48" s="4" t="inlineStr">
        <is>
          <t>PERFURACAO E COMPLETACAO</t>
        </is>
      </c>
      <c r="F48" s="4" t="inlineStr">
        <is>
          <t>INFERIOR</t>
        </is>
      </c>
      <c r="G48" s="4" t="n">
        <v>1</v>
      </c>
      <c r="H48" s="5" t="n">
        <v>249948906.8381744</v>
      </c>
      <c r="I48" s="5" t="n">
        <v>250142937.8699989</v>
      </c>
      <c r="J48" s="5" t="n">
        <v>272980.21</v>
      </c>
      <c r="K48" s="4" t="inlineStr">
        <is>
          <t>S</t>
        </is>
      </c>
      <c r="L48" s="4" t="inlineStr">
        <is>
          <t>2025-07-08</t>
        </is>
      </c>
      <c r="M48" s="5" t="n">
        <v>272980.21</v>
      </c>
      <c r="N48" s="5">
        <f>J48-M48</f>
        <v/>
      </c>
      <c r="O48" s="6">
        <f>IF(F48="INFERIOR",N48/J48,"")</f>
        <v/>
      </c>
      <c r="P48" s="5">
        <f>IF(F48="INFERIOR",O48*MUS_parametros!$B$18,N48)</f>
        <v/>
      </c>
      <c r="Q48" s="4" t="inlineStr">
        <is>
          <t>Documento confere com o registro</t>
        </is>
      </c>
    </row>
    <row r="49">
      <c r="A49" s="4" t="inlineStr">
        <is>
          <t>IMB-0030722</t>
        </is>
      </c>
      <c r="B49" s="4" t="inlineStr">
        <is>
          <t>DESENVOLVIMENTO_CAMPOS</t>
        </is>
      </c>
      <c r="C49" s="4" t="inlineStr">
        <is>
          <t>1.2.03.04.001</t>
        </is>
      </c>
      <c r="D49" s="4" t="inlineStr">
        <is>
          <t>MATA DE SAO JOAO</t>
        </is>
      </c>
      <c r="E49" s="4" t="inlineStr">
        <is>
          <t>PERFURACAO E COMPLETACAO</t>
        </is>
      </c>
      <c r="F49" s="4" t="inlineStr">
        <is>
          <t>INFERIOR</t>
        </is>
      </c>
      <c r="G49" s="4" t="n">
        <v>1</v>
      </c>
      <c r="H49" s="5" t="n">
        <v>255681906.8381744</v>
      </c>
      <c r="I49" s="5" t="n">
        <v>255731762.7099994</v>
      </c>
      <c r="J49" s="5" t="n">
        <v>65545.7</v>
      </c>
      <c r="K49" s="4" t="inlineStr">
        <is>
          <t>S</t>
        </is>
      </c>
      <c r="L49" s="4" t="inlineStr">
        <is>
          <t>2024-02-05</t>
        </is>
      </c>
      <c r="M49" s="5" t="n">
        <v>65545.7</v>
      </c>
      <c r="N49" s="5">
        <f>J49-M49</f>
        <v/>
      </c>
      <c r="O49" s="6">
        <f>IF(F49="INFERIOR",N49/J49,"")</f>
        <v/>
      </c>
      <c r="P49" s="5">
        <f>IF(F49="INFERIOR",O49*MUS_parametros!$B$18,N49)</f>
        <v/>
      </c>
      <c r="Q49" s="4" t="inlineStr">
        <is>
          <t>Documento confere com o registro</t>
        </is>
      </c>
    </row>
    <row r="50">
      <c r="A50" s="4" t="inlineStr">
        <is>
          <t>IMB-0031004</t>
        </is>
      </c>
      <c r="B50" s="4" t="inlineStr">
        <is>
          <t>DIREITO_PRODUCAO_OLEO_GAS</t>
        </is>
      </c>
      <c r="C50" s="4" t="inlineStr">
        <is>
          <t>1.2.03.03.004</t>
        </is>
      </c>
      <c r="D50" s="4" t="inlineStr">
        <is>
          <t>POT-CONC-12 (SINTETICO)</t>
        </is>
      </c>
      <c r="E50" s="4" t="inlineStr">
        <is>
          <t>CUSTO DE AQUISICAO DA CONCESSAO</t>
        </is>
      </c>
      <c r="F50" s="4" t="inlineStr">
        <is>
          <t>SUPERIOR (VC &gt;= I)</t>
        </is>
      </c>
      <c r="G50" s="4" t="n">
        <v>6</v>
      </c>
      <c r="H50" s="5" t="n">
        <v>261414906.8381744</v>
      </c>
      <c r="I50" s="5" t="n">
        <v>292061442.6299993</v>
      </c>
      <c r="J50" s="5" t="n">
        <v>34034487.04</v>
      </c>
      <c r="K50" s="4" t="inlineStr">
        <is>
          <t>S</t>
        </is>
      </c>
      <c r="L50" s="4" t="inlineStr">
        <is>
          <t>2019-12-09</t>
        </is>
      </c>
      <c r="M50" s="5" t="n">
        <v>34034487.04</v>
      </c>
      <c r="N50" s="5">
        <f>J50-M50</f>
        <v/>
      </c>
      <c r="O50" s="6">
        <f>IF(F50="INFERIOR",N50/J50,"")</f>
        <v/>
      </c>
      <c r="P50" s="5">
        <f>IF(F50="INFERIOR",O50*MUS_parametros!$B$18,N50)</f>
        <v/>
      </c>
      <c r="Q50" s="4" t="inlineStr">
        <is>
          <t>Documento confere com o registro</t>
        </is>
      </c>
    </row>
    <row r="51">
      <c r="A51" s="4" t="inlineStr">
        <is>
          <t>IMB-0031630</t>
        </is>
      </c>
      <c r="B51" s="4" t="inlineStr">
        <is>
          <t>OUTROS</t>
        </is>
      </c>
      <c r="C51" s="4" t="inlineStr">
        <is>
          <t>1.2.03.09.004</t>
        </is>
      </c>
      <c r="D51" s="4" t="inlineStr">
        <is>
          <t>POT-CONC-19 (SINTETICO)</t>
        </is>
      </c>
      <c r="E51" s="4" t="inlineStr">
        <is>
          <t>EQUIPAMENTO DE INFORMATICA</t>
        </is>
      </c>
      <c r="F51" s="4" t="inlineStr">
        <is>
          <t>INFERIOR</t>
        </is>
      </c>
      <c r="G51" s="4" t="n">
        <v>1</v>
      </c>
      <c r="H51" s="5" t="n">
        <v>295812906.8381743</v>
      </c>
      <c r="I51" s="5" t="n">
        <v>295813061.1699995</v>
      </c>
      <c r="J51" s="5" t="n">
        <v>420.87</v>
      </c>
      <c r="K51" s="4" t="inlineStr">
        <is>
          <t>S</t>
        </is>
      </c>
      <c r="L51" s="4" t="inlineStr">
        <is>
          <t>2021-03-28</t>
        </is>
      </c>
      <c r="M51" s="5" t="n">
        <v>420.87</v>
      </c>
      <c r="N51" s="5">
        <f>J51-M51</f>
        <v/>
      </c>
      <c r="O51" s="6">
        <f>IF(F51="INFERIOR",N51/J51,"")</f>
        <v/>
      </c>
      <c r="P51" s="5">
        <f>IF(F51="INFERIOR",O51*MUS_parametros!$B$18,N51)</f>
        <v/>
      </c>
      <c r="Q51" s="4" t="inlineStr">
        <is>
          <t>Documento confere com o registro</t>
        </is>
      </c>
    </row>
    <row r="52">
      <c r="A52" s="4" t="inlineStr">
        <is>
          <t>IMB-0032676</t>
        </is>
      </c>
      <c r="B52" s="4" t="inlineStr">
        <is>
          <t>MAQUINAS_EQUIPAMENTOS</t>
        </is>
      </c>
      <c r="C52" s="4" t="inlineStr">
        <is>
          <t>1.2.03.01.002</t>
        </is>
      </c>
      <c r="D52" s="4" t="inlineStr">
        <is>
          <t>POT-CONC-01 (SINTETICO)</t>
        </is>
      </c>
      <c r="E52" s="4" t="inlineStr">
        <is>
          <t>UNIDADE DE BOMBEIO MECANICO</t>
        </is>
      </c>
      <c r="F52" s="4" t="inlineStr">
        <is>
          <t>INFERIOR</t>
        </is>
      </c>
      <c r="G52" s="4" t="n">
        <v>1</v>
      </c>
      <c r="H52" s="5" t="n">
        <v>301545906.8381743</v>
      </c>
      <c r="I52" s="5" t="n">
        <v>301550551.9399989</v>
      </c>
      <c r="J52" s="5" t="n">
        <v>10400.29</v>
      </c>
      <c r="K52" s="4" t="inlineStr">
        <is>
          <t>S</t>
        </is>
      </c>
      <c r="L52" s="4" t="inlineStr">
        <is>
          <t>2022-08-14</t>
        </is>
      </c>
      <c r="M52" s="5" t="n">
        <v>10400.29</v>
      </c>
      <c r="N52" s="5">
        <f>J52-M52</f>
        <v/>
      </c>
      <c r="O52" s="6">
        <f>IF(F52="INFERIOR",N52/J52,"")</f>
        <v/>
      </c>
      <c r="P52" s="5">
        <f>IF(F52="INFERIOR",O52*MUS_parametros!$B$18,N52)</f>
        <v/>
      </c>
      <c r="Q52" s="4" t="inlineStr">
        <is>
          <t>Documento confere com o registro</t>
        </is>
      </c>
    </row>
    <row r="53">
      <c r="A53" s="4" t="inlineStr">
        <is>
          <t>IMB-0033499</t>
        </is>
      </c>
      <c r="B53" s="4" t="inlineStr">
        <is>
          <t>ALMOXARIFADO_INVERSOES_FIXAS</t>
        </is>
      </c>
      <c r="C53" s="4" t="inlineStr">
        <is>
          <t>1.2.03.07.001</t>
        </is>
      </c>
      <c r="D53" s="4" t="inlineStr">
        <is>
          <t>LAGOA DO PAULO SUL</t>
        </is>
      </c>
      <c r="E53" s="4" t="inlineStr">
        <is>
          <t>TUBO DE REVESTIMENTO/PRODUCAO (LOTE)</t>
        </is>
      </c>
      <c r="F53" s="4" t="inlineStr">
        <is>
          <t>INFERIOR</t>
        </is>
      </c>
      <c r="G53" s="4" t="n">
        <v>1</v>
      </c>
      <c r="H53" s="5" t="n">
        <v>307278906.8381743</v>
      </c>
      <c r="I53" s="5" t="n">
        <v>307280651.4999995</v>
      </c>
      <c r="J53" s="5" t="n">
        <v>16074.47</v>
      </c>
      <c r="K53" s="4" t="inlineStr">
        <is>
          <t>S</t>
        </is>
      </c>
      <c r="L53" s="4" t="inlineStr">
        <is>
          <t>2025-03-04</t>
        </is>
      </c>
      <c r="M53" s="5" t="n">
        <v>0</v>
      </c>
      <c r="N53" s="5">
        <f>J53-M53</f>
        <v/>
      </c>
      <c r="O53" s="6">
        <f>IF(F53="INFERIOR",N53/J53,"")</f>
        <v/>
      </c>
      <c r="P53" s="5">
        <f>IF(F53="INFERIOR",O53*MUS_parametros!$B$18,N53)</f>
        <v/>
      </c>
      <c r="Q53" s="4" t="inlineStr">
        <is>
          <t>Documento ja vinculado ao registro IMB-0241466 (duplicidade)</t>
        </is>
      </c>
    </row>
    <row r="54">
      <c r="A54" s="4" t="inlineStr">
        <is>
          <t>IMB-0034407</t>
        </is>
      </c>
      <c r="B54" s="4" t="inlineStr">
        <is>
          <t>MAQUINAS_EQUIPAMENTOS</t>
        </is>
      </c>
      <c r="C54" s="4" t="inlineStr">
        <is>
          <t>1.2.03.01.004</t>
        </is>
      </c>
      <c r="D54" s="4" t="inlineStr">
        <is>
          <t>UPGN GUAMARE</t>
        </is>
      </c>
      <c r="E54" s="4" t="inlineStr">
        <is>
          <t>MODULO DE PROCESSAMENTO UPGN III</t>
        </is>
      </c>
      <c r="F54" s="4" t="inlineStr">
        <is>
          <t>INFERIOR</t>
        </is>
      </c>
      <c r="G54" s="4" t="n">
        <v>1</v>
      </c>
      <c r="H54" s="5" t="n">
        <v>313011906.8381743</v>
      </c>
      <c r="I54" s="5" t="n">
        <v>313016285.5199994</v>
      </c>
      <c r="J54" s="5" t="n">
        <v>60985.68</v>
      </c>
      <c r="K54" s="4" t="inlineStr">
        <is>
          <t>S</t>
        </is>
      </c>
      <c r="L54" s="4" t="inlineStr">
        <is>
          <t>2025-09-30</t>
        </is>
      </c>
      <c r="M54" s="5" t="n">
        <v>60985.68</v>
      </c>
      <c r="N54" s="5">
        <f>J54-M54</f>
        <v/>
      </c>
      <c r="O54" s="6">
        <f>IF(F54="INFERIOR",N54/J54,"")</f>
        <v/>
      </c>
      <c r="P54" s="5">
        <f>IF(F54="INFERIOR",O54*MUS_parametros!$B$18,N54)</f>
        <v/>
      </c>
      <c r="Q54" s="4" t="inlineStr">
        <is>
          <t>Documento confere com o registro</t>
        </is>
      </c>
    </row>
    <row r="55">
      <c r="A55" s="4" t="inlineStr">
        <is>
          <t>IMB-0035201</t>
        </is>
      </c>
      <c r="B55" s="4" t="inlineStr">
        <is>
          <t>MAQUINAS_EQUIPAMENTOS</t>
        </is>
      </c>
      <c r="C55" s="4" t="inlineStr">
        <is>
          <t>1.2.03.01.001</t>
        </is>
      </c>
      <c r="D55" s="4" t="inlineStr">
        <is>
          <t>REMANSO</t>
        </is>
      </c>
      <c r="E55" s="4" t="inlineStr">
        <is>
          <t>COMPONENTE DE SONDA PROPRIA (PERFURACAO/PRODUCAO)</t>
        </is>
      </c>
      <c r="F55" s="4" t="inlineStr">
        <is>
          <t>INFERIOR</t>
        </is>
      </c>
      <c r="G55" s="4" t="n">
        <v>1</v>
      </c>
      <c r="H55" s="5" t="n">
        <v>318744906.8381743</v>
      </c>
      <c r="I55" s="5" t="n">
        <v>318953442.5699996</v>
      </c>
      <c r="J55" s="5" t="n">
        <v>256945.75</v>
      </c>
      <c r="K55" s="4" t="inlineStr">
        <is>
          <t>S</t>
        </is>
      </c>
      <c r="L55" s="4" t="inlineStr">
        <is>
          <t>2016-01-14</t>
        </is>
      </c>
      <c r="M55" s="5" t="n">
        <v>256945.75</v>
      </c>
      <c r="N55" s="5">
        <f>J55-M55</f>
        <v/>
      </c>
      <c r="O55" s="6">
        <f>IF(F55="INFERIOR",N55/J55,"")</f>
        <v/>
      </c>
      <c r="P55" s="5">
        <f>IF(F55="INFERIOR",O55*MUS_parametros!$B$18,N55)</f>
        <v/>
      </c>
      <c r="Q55" s="4" t="inlineStr">
        <is>
          <t>Documento confere com o registro</t>
        </is>
      </c>
    </row>
    <row r="56">
      <c r="A56" s="4" t="inlineStr">
        <is>
          <t>IMB-0036070</t>
        </is>
      </c>
      <c r="B56" s="4" t="inlineStr">
        <is>
          <t>DESENVOLVIMENTO_CAMPOS</t>
        </is>
      </c>
      <c r="C56" s="4" t="inlineStr">
        <is>
          <t>1.2.03.04.002</t>
        </is>
      </c>
      <c r="D56" s="4" t="inlineStr">
        <is>
          <t>POT-CONC-11 (SINTETICO)</t>
        </is>
      </c>
      <c r="E56" s="4" t="inlineStr">
        <is>
          <t>WORKOVER / RECOMPLETACAO CAPITALIZADO</t>
        </is>
      </c>
      <c r="F56" s="4" t="inlineStr">
        <is>
          <t>INFERIOR</t>
        </is>
      </c>
      <c r="G56" s="4" t="n">
        <v>1</v>
      </c>
      <c r="H56" s="5" t="n">
        <v>324477906.8381743</v>
      </c>
      <c r="I56" s="5" t="n">
        <v>324478049.7599992</v>
      </c>
      <c r="J56" s="5" t="n">
        <v>2535.68</v>
      </c>
      <c r="K56" s="4" t="inlineStr">
        <is>
          <t>S</t>
        </is>
      </c>
      <c r="L56" s="4" t="inlineStr">
        <is>
          <t>2025-08-08</t>
        </is>
      </c>
      <c r="M56" s="5" t="n">
        <v>2535.68</v>
      </c>
      <c r="N56" s="5">
        <f>J56-M56</f>
        <v/>
      </c>
      <c r="O56" s="6">
        <f>IF(F56="INFERIOR",N56/J56,"")</f>
        <v/>
      </c>
      <c r="P56" s="5">
        <f>IF(F56="INFERIOR",O56*MUS_parametros!$B$18,N56)</f>
        <v/>
      </c>
      <c r="Q56" s="4" t="inlineStr">
        <is>
          <t>Documento confere com o registro</t>
        </is>
      </c>
    </row>
    <row r="57">
      <c r="A57" s="4" t="inlineStr">
        <is>
          <t>IMB-0037002</t>
        </is>
      </c>
      <c r="B57" s="4" t="inlineStr">
        <is>
          <t>OUTROS</t>
        </is>
      </c>
      <c r="C57" s="4" t="inlineStr">
        <is>
          <t>1.2.03.09.002</t>
        </is>
      </c>
      <c r="D57" s="4" t="inlineStr">
        <is>
          <t>POT-CONC-01 (SINTETICO)</t>
        </is>
      </c>
      <c r="E57" s="4" t="inlineStr">
        <is>
          <t>EDIFICACAO / BENFEITORIA</t>
        </is>
      </c>
      <c r="F57" s="4" t="inlineStr">
        <is>
          <t>INFERIOR</t>
        </is>
      </c>
      <c r="G57" s="4" t="n">
        <v>1</v>
      </c>
      <c r="H57" s="5" t="n">
        <v>330210906.8381743</v>
      </c>
      <c r="I57" s="5" t="n">
        <v>330238409.4799992</v>
      </c>
      <c r="J57" s="5" t="n">
        <v>49940.89</v>
      </c>
      <c r="K57" s="4" t="inlineStr">
        <is>
          <t>S</t>
        </is>
      </c>
      <c r="L57" s="4" t="inlineStr">
        <is>
          <t>2019-01-10</t>
        </is>
      </c>
      <c r="M57" s="5" t="n">
        <v>49940.89</v>
      </c>
      <c r="N57" s="5">
        <f>J57-M57</f>
        <v/>
      </c>
      <c r="O57" s="6">
        <f>IF(F57="INFERIOR",N57/J57,"")</f>
        <v/>
      </c>
      <c r="P57" s="5">
        <f>IF(F57="INFERIOR",O57*MUS_parametros!$B$18,N57)</f>
        <v/>
      </c>
      <c r="Q57" s="4" t="inlineStr">
        <is>
          <t>Documento confere com o registro</t>
        </is>
      </c>
    </row>
    <row r="58">
      <c r="A58" s="4" t="inlineStr">
        <is>
          <t>IMB-0037461</t>
        </is>
      </c>
      <c r="B58" s="4" t="inlineStr">
        <is>
          <t>DESENVOLVIMENTO_CAMPOS</t>
        </is>
      </c>
      <c r="C58" s="4" t="inlineStr">
        <is>
          <t>1.2.03.04.001</t>
        </is>
      </c>
      <c r="D58" s="4" t="inlineStr">
        <is>
          <t>TIE</t>
        </is>
      </c>
      <c r="E58" s="4" t="inlineStr">
        <is>
          <t>PERFURACAO E COMPLETACAO</t>
        </is>
      </c>
      <c r="F58" s="4" t="inlineStr">
        <is>
          <t>INFERIOR</t>
        </is>
      </c>
      <c r="G58" s="4" t="n">
        <v>1</v>
      </c>
      <c r="H58" s="5" t="n">
        <v>335943906.8381743</v>
      </c>
      <c r="I58" s="5" t="n">
        <v>336615567.6399988</v>
      </c>
      <c r="J58" s="5" t="n">
        <v>2486969.2</v>
      </c>
      <c r="K58" s="4" t="inlineStr">
        <is>
          <t>S</t>
        </is>
      </c>
      <c r="L58" s="4" t="inlineStr">
        <is>
          <t>2025-12-25</t>
        </is>
      </c>
      <c r="M58" s="5" t="n">
        <v>2486969.2</v>
      </c>
      <c r="N58" s="5">
        <f>J58-M58</f>
        <v/>
      </c>
      <c r="O58" s="6">
        <f>IF(F58="INFERIOR",N58/J58,"")</f>
        <v/>
      </c>
      <c r="P58" s="5">
        <f>IF(F58="INFERIOR",O58*MUS_parametros!$B$18,N58)</f>
        <v/>
      </c>
      <c r="Q58" s="4" t="inlineStr">
        <is>
          <t>Documento confere com o registro</t>
        </is>
      </c>
    </row>
    <row r="59">
      <c r="A59" s="4" t="inlineStr">
        <is>
          <t>IMB-0038338</t>
        </is>
      </c>
      <c r="B59" s="4" t="inlineStr">
        <is>
          <t>DESENVOLVIMENTO_CAMPOS</t>
        </is>
      </c>
      <c r="C59" s="4" t="inlineStr">
        <is>
          <t>1.2.03.04.002</t>
        </is>
      </c>
      <c r="D59" s="4" t="inlineStr">
        <is>
          <t>SESMARIA</t>
        </is>
      </c>
      <c r="E59" s="4" t="inlineStr">
        <is>
          <t>WORKOVER / RECOMPLETACAO CAPITALIZADO</t>
        </is>
      </c>
      <c r="F59" s="4" t="inlineStr">
        <is>
          <t>INFERIOR</t>
        </is>
      </c>
      <c r="G59" s="4" t="n">
        <v>1</v>
      </c>
      <c r="H59" s="5" t="n">
        <v>341676906.8381743</v>
      </c>
      <c r="I59" s="5" t="n">
        <v>341686402.4499989</v>
      </c>
      <c r="J59" s="5" t="n">
        <v>16059.32</v>
      </c>
      <c r="K59" s="4" t="inlineStr">
        <is>
          <t>S</t>
        </is>
      </c>
      <c r="L59" s="4" t="inlineStr">
        <is>
          <t>2023-12-05</t>
        </is>
      </c>
      <c r="M59" s="5" t="n">
        <v>16059.32</v>
      </c>
      <c r="N59" s="5">
        <f>J59-M59</f>
        <v/>
      </c>
      <c r="O59" s="6">
        <f>IF(F59="INFERIOR",N59/J59,"")</f>
        <v/>
      </c>
      <c r="P59" s="5">
        <f>IF(F59="INFERIOR",O59*MUS_parametros!$B$18,N59)</f>
        <v/>
      </c>
      <c r="Q59" s="4" t="inlineStr">
        <is>
          <t>Documento confere com o registro</t>
        </is>
      </c>
    </row>
    <row r="60">
      <c r="A60" s="4" t="inlineStr">
        <is>
          <t>IMB-0039154</t>
        </is>
      </c>
      <c r="B60" s="4" t="inlineStr">
        <is>
          <t>MAQUINAS_EQUIPAMENTOS</t>
        </is>
      </c>
      <c r="C60" s="4" t="inlineStr">
        <is>
          <t>1.2.03.01.004</t>
        </is>
      </c>
      <c r="D60" s="4" t="inlineStr">
        <is>
          <t>UPGN GUAMARE</t>
        </is>
      </c>
      <c r="E60" s="4" t="inlineStr">
        <is>
          <t>COMPRESSAO E RECEBIMENTO</t>
        </is>
      </c>
      <c r="F60" s="4" t="inlineStr">
        <is>
          <t>INFERIOR</t>
        </is>
      </c>
      <c r="G60" s="4" t="n">
        <v>1</v>
      </c>
      <c r="H60" s="5" t="n">
        <v>347409906.8381743</v>
      </c>
      <c r="I60" s="5" t="n">
        <v>347423208.7099977</v>
      </c>
      <c r="J60" s="5" t="n">
        <v>106171.69</v>
      </c>
      <c r="K60" s="4" t="inlineStr">
        <is>
          <t>S</t>
        </is>
      </c>
      <c r="L60" s="4" t="inlineStr">
        <is>
          <t>2025-09-30</t>
        </is>
      </c>
      <c r="M60" s="5" t="n">
        <v>106171.69</v>
      </c>
      <c r="N60" s="5">
        <f>J60-M60</f>
        <v/>
      </c>
      <c r="O60" s="6">
        <f>IF(F60="INFERIOR",N60/J60,"")</f>
        <v/>
      </c>
      <c r="P60" s="5">
        <f>IF(F60="INFERIOR",O60*MUS_parametros!$B$18,N60)</f>
        <v/>
      </c>
      <c r="Q60" s="4" t="inlineStr">
        <is>
          <t>Documento confere com o registro</t>
        </is>
      </c>
    </row>
    <row r="61">
      <c r="A61" s="4" t="inlineStr">
        <is>
          <t>IMB-0039826</t>
        </is>
      </c>
      <c r="B61" s="4" t="inlineStr">
        <is>
          <t>DESENVOLVIMENTO_CAMPOS</t>
        </is>
      </c>
      <c r="C61" s="4" t="inlineStr">
        <is>
          <t>1.2.03.04.001</t>
        </is>
      </c>
      <c r="D61" s="4" t="inlineStr">
        <is>
          <t>BIRIBA</t>
        </is>
      </c>
      <c r="E61" s="4" t="inlineStr">
        <is>
          <t>PERFURACAO E COMPLETACAO</t>
        </is>
      </c>
      <c r="F61" s="4" t="inlineStr">
        <is>
          <t>INFERIOR</t>
        </is>
      </c>
      <c r="G61" s="4" t="n">
        <v>1</v>
      </c>
      <c r="H61" s="5" t="n">
        <v>353142906.8381743</v>
      </c>
      <c r="I61" s="5" t="n">
        <v>353953401.1599976</v>
      </c>
      <c r="J61" s="5" t="n">
        <v>2673205.08</v>
      </c>
      <c r="K61" s="4" t="inlineStr">
        <is>
          <t>S</t>
        </is>
      </c>
      <c r="L61" s="4" t="inlineStr">
        <is>
          <t>2025-09-12</t>
        </is>
      </c>
      <c r="M61" s="5" t="n">
        <v>2673205.08</v>
      </c>
      <c r="N61" s="5">
        <f>J61-M61</f>
        <v/>
      </c>
      <c r="O61" s="6">
        <f>IF(F61="INFERIOR",N61/J61,"")</f>
        <v/>
      </c>
      <c r="P61" s="5">
        <f>IF(F61="INFERIOR",O61*MUS_parametros!$B$18,N61)</f>
        <v/>
      </c>
      <c r="Q61" s="4" t="inlineStr">
        <is>
          <t>Documento confere com o registro</t>
        </is>
      </c>
    </row>
    <row r="62">
      <c r="A62" s="4" t="inlineStr">
        <is>
          <t>IMB-0040514</t>
        </is>
      </c>
      <c r="B62" s="4" t="inlineStr">
        <is>
          <t>DESENVOLVIMENTO_CAMPOS</t>
        </is>
      </c>
      <c r="C62" s="4" t="inlineStr">
        <is>
          <t>1.2.03.04.001</t>
        </is>
      </c>
      <c r="D62" s="4" t="inlineStr">
        <is>
          <t>POT-CONC-11 (SINTETICO)</t>
        </is>
      </c>
      <c r="E62" s="4" t="inlineStr">
        <is>
          <t>PERFURACAO E COMPLETACAO</t>
        </is>
      </c>
      <c r="F62" s="4" t="inlineStr">
        <is>
          <t>INFERIOR</t>
        </is>
      </c>
      <c r="G62" s="4" t="n">
        <v>1</v>
      </c>
      <c r="H62" s="5" t="n">
        <v>358875906.8381743</v>
      </c>
      <c r="I62" s="5" t="n">
        <v>359264594.8399968</v>
      </c>
      <c r="J62" s="5" t="n">
        <v>982880.15</v>
      </c>
      <c r="K62" s="4" t="inlineStr">
        <is>
          <t>S</t>
        </is>
      </c>
      <c r="L62" s="4" t="inlineStr">
        <is>
          <t>2024-04-06</t>
        </is>
      </c>
      <c r="M62" s="5" t="n">
        <v>982880.15</v>
      </c>
      <c r="N62" s="5">
        <f>J62-M62</f>
        <v/>
      </c>
      <c r="O62" s="6">
        <f>IF(F62="INFERIOR",N62/J62,"")</f>
        <v/>
      </c>
      <c r="P62" s="5">
        <f>IF(F62="INFERIOR",O62*MUS_parametros!$B$18,N62)</f>
        <v/>
      </c>
      <c r="Q62" s="4" t="inlineStr">
        <is>
          <t>Documento confere com o registro</t>
        </is>
      </c>
    </row>
    <row r="63">
      <c r="A63" s="4" t="inlineStr">
        <is>
          <t>IMB-0041357</t>
        </is>
      </c>
      <c r="B63" s="4" t="inlineStr">
        <is>
          <t>DESENVOLVIMENTO_CAMPOS</t>
        </is>
      </c>
      <c r="C63" s="4" t="inlineStr">
        <is>
          <t>1.2.03.04.005</t>
        </is>
      </c>
      <c r="D63" s="4" t="inlineStr">
        <is>
          <t>POT-CONC-15 (SINTETICO)</t>
        </is>
      </c>
      <c r="E63" s="4" t="inlineStr">
        <is>
          <t>CONVERSAO EM POCO INJETOR</t>
        </is>
      </c>
      <c r="F63" s="4" t="inlineStr">
        <is>
          <t>INFERIOR</t>
        </is>
      </c>
      <c r="G63" s="4" t="n">
        <v>1</v>
      </c>
      <c r="H63" s="5" t="n">
        <v>364608906.8381743</v>
      </c>
      <c r="I63" s="5" t="n">
        <v>364613787.2099961</v>
      </c>
      <c r="J63" s="5" t="n">
        <v>25121.03</v>
      </c>
      <c r="K63" s="4" t="inlineStr">
        <is>
          <t>S</t>
        </is>
      </c>
      <c r="L63" s="4" t="inlineStr">
        <is>
          <t>2025-10-02</t>
        </is>
      </c>
      <c r="M63" s="5" t="n">
        <v>25121.03</v>
      </c>
      <c r="N63" s="5">
        <f>J63-M63</f>
        <v/>
      </c>
      <c r="O63" s="6">
        <f>IF(F63="INFERIOR",N63/J63,"")</f>
        <v/>
      </c>
      <c r="P63" s="5">
        <f>IF(F63="INFERIOR",O63*MUS_parametros!$B$18,N63)</f>
        <v/>
      </c>
      <c r="Q63" s="4" t="inlineStr">
        <is>
          <t>Documento confere com o registro</t>
        </is>
      </c>
    </row>
    <row r="64">
      <c r="A64" s="4" t="inlineStr">
        <is>
          <t>IMB-0042248</t>
        </is>
      </c>
      <c r="B64" s="4" t="inlineStr">
        <is>
          <t>DESENVOLVIMENTO_CAMPOS</t>
        </is>
      </c>
      <c r="C64" s="4" t="inlineStr">
        <is>
          <t>1.2.03.04.002</t>
        </is>
      </c>
      <c r="D64" s="4" t="inlineStr">
        <is>
          <t>CASSARONGONGO</t>
        </is>
      </c>
      <c r="E64" s="4" t="inlineStr">
        <is>
          <t>WORKOVER / RECOMPLETACAO CAPITALIZADO</t>
        </is>
      </c>
      <c r="F64" s="4" t="inlineStr">
        <is>
          <t>INFERIOR</t>
        </is>
      </c>
      <c r="G64" s="4" t="n">
        <v>1</v>
      </c>
      <c r="H64" s="5" t="n">
        <v>370341906.8381743</v>
      </c>
      <c r="I64" s="5" t="n">
        <v>370348032.3999968</v>
      </c>
      <c r="J64" s="5" t="n">
        <v>6356.66</v>
      </c>
      <c r="K64" s="4" t="inlineStr">
        <is>
          <t>S</t>
        </is>
      </c>
      <c r="L64" s="4" t="inlineStr">
        <is>
          <t>2025-11-19</t>
        </is>
      </c>
      <c r="M64" s="5" t="n">
        <v>6356.66</v>
      </c>
      <c r="N64" s="5">
        <f>J64-M64</f>
        <v/>
      </c>
      <c r="O64" s="6">
        <f>IF(F64="INFERIOR",N64/J64,"")</f>
        <v/>
      </c>
      <c r="P64" s="5">
        <f>IF(F64="INFERIOR",O64*MUS_parametros!$B$18,N64)</f>
        <v/>
      </c>
      <c r="Q64" s="4" t="inlineStr">
        <is>
          <t>Documento confere com o registro</t>
        </is>
      </c>
    </row>
    <row r="65">
      <c r="A65" s="4" t="inlineStr">
        <is>
          <t>IMB-0043135</t>
        </is>
      </c>
      <c r="B65" s="4" t="inlineStr">
        <is>
          <t>DESENVOLVIMENTO_CAMPOS</t>
        </is>
      </c>
      <c r="C65" s="4" t="inlineStr">
        <is>
          <t>1.2.03.04.001</t>
        </is>
      </c>
      <c r="D65" s="4" t="inlineStr">
        <is>
          <t>ACAUA</t>
        </is>
      </c>
      <c r="E65" s="4" t="inlineStr">
        <is>
          <t>PERFURACAO E COMPLETACAO</t>
        </is>
      </c>
      <c r="F65" s="4" t="inlineStr">
        <is>
          <t>INFERIOR</t>
        </is>
      </c>
      <c r="G65" s="4" t="n">
        <v>1</v>
      </c>
      <c r="H65" s="5" t="n">
        <v>376074906.8381743</v>
      </c>
      <c r="I65" s="5" t="n">
        <v>376170613.6299962</v>
      </c>
      <c r="J65" s="5" t="n">
        <v>143940.27</v>
      </c>
      <c r="K65" s="4" t="inlineStr">
        <is>
          <t>S</t>
        </is>
      </c>
      <c r="L65" s="4" t="inlineStr">
        <is>
          <t>2025-06-24</t>
        </is>
      </c>
      <c r="M65" s="5" t="n">
        <v>143940.27</v>
      </c>
      <c r="N65" s="5">
        <f>J65-M65</f>
        <v/>
      </c>
      <c r="O65" s="6">
        <f>IF(F65="INFERIOR",N65/J65,"")</f>
        <v/>
      </c>
      <c r="P65" s="5">
        <f>IF(F65="INFERIOR",O65*MUS_parametros!$B$18,N65)</f>
        <v/>
      </c>
      <c r="Q65" s="4" t="inlineStr">
        <is>
          <t>Documento confere com o registro</t>
        </is>
      </c>
    </row>
    <row r="66">
      <c r="A66" s="4" t="inlineStr">
        <is>
          <t>IMB-0043822</t>
        </is>
      </c>
      <c r="B66" s="4" t="inlineStr">
        <is>
          <t>DESENVOLVIMENTO_CAMPOS</t>
        </is>
      </c>
      <c r="C66" s="4" t="inlineStr">
        <is>
          <t>1.2.03.04.002</t>
        </is>
      </c>
      <c r="D66" s="4" t="inlineStr">
        <is>
          <t>TARTARUGA</t>
        </is>
      </c>
      <c r="E66" s="4" t="inlineStr">
        <is>
          <t>FRATURAMENTO / ESTIMULACAO CAPITALIZADA</t>
        </is>
      </c>
      <c r="F66" s="4" t="inlineStr">
        <is>
          <t>INFERIOR</t>
        </is>
      </c>
      <c r="G66" s="4" t="n">
        <v>1</v>
      </c>
      <c r="H66" s="5" t="n">
        <v>381807906.8381743</v>
      </c>
      <c r="I66" s="5" t="n">
        <v>381834283.8299965</v>
      </c>
      <c r="J66" s="5" t="n">
        <v>38998.66</v>
      </c>
      <c r="K66" s="4" t="inlineStr">
        <is>
          <t>S</t>
        </is>
      </c>
      <c r="L66" s="4" t="inlineStr">
        <is>
          <t>2025-07-09</t>
        </is>
      </c>
      <c r="M66" s="5" t="n">
        <v>38998.66</v>
      </c>
      <c r="N66" s="5">
        <f>J66-M66</f>
        <v/>
      </c>
      <c r="O66" s="6">
        <f>IF(F66="INFERIOR",N66/J66,"")</f>
        <v/>
      </c>
      <c r="P66" s="5">
        <f>IF(F66="INFERIOR",O66*MUS_parametros!$B$18,N66)</f>
        <v/>
      </c>
      <c r="Q66" s="4" t="inlineStr">
        <is>
          <t>Documento confere com o registro</t>
        </is>
      </c>
    </row>
    <row r="67">
      <c r="A67" s="4" t="inlineStr">
        <is>
          <t>IMB-0044535</t>
        </is>
      </c>
      <c r="B67" s="4" t="inlineStr">
        <is>
          <t>DIREITO_PRODUCAO_OLEO_GAS</t>
        </is>
      </c>
      <c r="C67" s="4" t="inlineStr">
        <is>
          <t>1.2.03.03.004</t>
        </is>
      </c>
      <c r="D67" s="4" t="inlineStr">
        <is>
          <t>POT-CONC-19 (SINTETICO)</t>
        </is>
      </c>
      <c r="E67" s="4" t="inlineStr">
        <is>
          <t>CUSTO DE AQUISICAO DA CONCESSAO</t>
        </is>
      </c>
      <c r="F67" s="4" t="inlineStr">
        <is>
          <t>SUPERIOR (VC &gt;= I)</t>
        </is>
      </c>
      <c r="G67" s="4" t="n">
        <v>22</v>
      </c>
      <c r="H67" s="5" t="n">
        <v>387540906.8381743</v>
      </c>
      <c r="I67" s="5" t="n">
        <v>511292560.3999967</v>
      </c>
      <c r="J67" s="5" t="n">
        <v>124225082.18</v>
      </c>
      <c r="K67" s="4" t="inlineStr">
        <is>
          <t>S</t>
        </is>
      </c>
      <c r="L67" s="4" t="inlineStr">
        <is>
          <t>2019-12-09</t>
        </is>
      </c>
      <c r="M67" s="5" t="n">
        <v>124225082.18</v>
      </c>
      <c r="N67" s="5">
        <f>J67-M67</f>
        <v/>
      </c>
      <c r="O67" s="6">
        <f>IF(F67="INFERIOR",N67/J67,"")</f>
        <v/>
      </c>
      <c r="P67" s="5">
        <f>IF(F67="INFERIOR",O67*MUS_parametros!$B$18,N67)</f>
        <v/>
      </c>
      <c r="Q67" s="4" t="inlineStr">
        <is>
          <t>Documento confere com o registro</t>
        </is>
      </c>
    </row>
    <row r="68">
      <c r="A68" s="4" t="inlineStr">
        <is>
          <t>IMB-0044779</t>
        </is>
      </c>
      <c r="B68" s="4" t="inlineStr">
        <is>
          <t>DESENVOLVIMENTO_CAMPOS</t>
        </is>
      </c>
      <c r="C68" s="4" t="inlineStr">
        <is>
          <t>1.2.03.04.001</t>
        </is>
      </c>
      <c r="D68" s="4" t="inlineStr">
        <is>
          <t>TARTARUGA</t>
        </is>
      </c>
      <c r="E68" s="4" t="inlineStr">
        <is>
          <t>PERFURACAO E COMPLETACAO</t>
        </is>
      </c>
      <c r="F68" s="4" t="inlineStr">
        <is>
          <t>INFERIOR</t>
        </is>
      </c>
      <c r="G68" s="4" t="n">
        <v>1</v>
      </c>
      <c r="H68" s="5" t="n">
        <v>513666906.8381743</v>
      </c>
      <c r="I68" s="5" t="n">
        <v>514347192.0699969</v>
      </c>
      <c r="J68" s="5" t="n">
        <v>1020910.29</v>
      </c>
      <c r="K68" s="4" t="inlineStr">
        <is>
          <t>S</t>
        </is>
      </c>
      <c r="L68" s="4" t="inlineStr">
        <is>
          <t>2025-02-19</t>
        </is>
      </c>
      <c r="M68" s="5" t="n">
        <v>1020910.29</v>
      </c>
      <c r="N68" s="5">
        <f>J68-M68</f>
        <v/>
      </c>
      <c r="O68" s="6">
        <f>IF(F68="INFERIOR",N68/J68,"")</f>
        <v/>
      </c>
      <c r="P68" s="5">
        <f>IF(F68="INFERIOR",O68*MUS_parametros!$B$18,N68)</f>
        <v/>
      </c>
      <c r="Q68" s="4" t="inlineStr">
        <is>
          <t>Documento confere com o registro</t>
        </is>
      </c>
    </row>
    <row r="69">
      <c r="A69" s="4" t="inlineStr">
        <is>
          <t>IMB-0045348</t>
        </is>
      </c>
      <c r="B69" s="4" t="inlineStr">
        <is>
          <t>DESENVOLVIMENTO_CAMPOS</t>
        </is>
      </c>
      <c r="C69" s="4" t="inlineStr">
        <is>
          <t>1.2.03.04.002</t>
        </is>
      </c>
      <c r="D69" s="4" t="inlineStr">
        <is>
          <t>TARTARUGA</t>
        </is>
      </c>
      <c r="E69" s="4" t="inlineStr">
        <is>
          <t>FRATURAMENTO / ESTIMULACAO CAPITALIZADA</t>
        </is>
      </c>
      <c r="F69" s="4" t="inlineStr">
        <is>
          <t>INFERIOR</t>
        </is>
      </c>
      <c r="G69" s="4" t="n">
        <v>1</v>
      </c>
      <c r="H69" s="5" t="n">
        <v>519399906.8381743</v>
      </c>
      <c r="I69" s="5" t="n">
        <v>519476491.3099968</v>
      </c>
      <c r="J69" s="5" t="n">
        <v>209827.69</v>
      </c>
      <c r="K69" s="4" t="inlineStr">
        <is>
          <t>S</t>
        </is>
      </c>
      <c r="L69" s="4" t="inlineStr">
        <is>
          <t>2025-10-12</t>
        </is>
      </c>
      <c r="M69" s="5" t="n">
        <v>209827.69</v>
      </c>
      <c r="N69" s="5">
        <f>J69-M69</f>
        <v/>
      </c>
      <c r="O69" s="6">
        <f>IF(F69="INFERIOR",N69/J69,"")</f>
        <v/>
      </c>
      <c r="P69" s="5">
        <f>IF(F69="INFERIOR",O69*MUS_parametros!$B$18,N69)</f>
        <v/>
      </c>
      <c r="Q69" s="4" t="inlineStr">
        <is>
          <t>Documento confere com o registro</t>
        </is>
      </c>
    </row>
    <row r="70">
      <c r="A70" s="4" t="inlineStr">
        <is>
          <t>IMB-0046064</t>
        </is>
      </c>
      <c r="B70" s="4" t="inlineStr">
        <is>
          <t>ALMOXARIFADO_INVERSOES_FIXAS</t>
        </is>
      </c>
      <c r="C70" s="4" t="inlineStr">
        <is>
          <t>1.2.03.07.001</t>
        </is>
      </c>
      <c r="D70" s="4" t="inlineStr">
        <is>
          <t>TRES MARIAS</t>
        </is>
      </c>
      <c r="E70" s="4" t="inlineStr">
        <is>
          <t>TUBO DE REVESTIMENTO/PRODUCAO (LOTE)</t>
        </is>
      </c>
      <c r="F70" s="4" t="inlineStr">
        <is>
          <t>INFERIOR</t>
        </is>
      </c>
      <c r="G70" s="4" t="n">
        <v>1</v>
      </c>
      <c r="H70" s="5" t="n">
        <v>525132906.8381743</v>
      </c>
      <c r="I70" s="5" t="n">
        <v>525138917.429997</v>
      </c>
      <c r="J70" s="5" t="n">
        <v>8392.16</v>
      </c>
      <c r="K70" s="4" t="inlineStr">
        <is>
          <t>S</t>
        </is>
      </c>
      <c r="L70" s="4" t="inlineStr">
        <is>
          <t>2025-04-02</t>
        </is>
      </c>
      <c r="M70" s="5" t="n">
        <v>8392.16</v>
      </c>
      <c r="N70" s="5">
        <f>J70-M70</f>
        <v/>
      </c>
      <c r="O70" s="6">
        <f>IF(F70="INFERIOR",N70/J70,"")</f>
        <v/>
      </c>
      <c r="P70" s="5">
        <f>IF(F70="INFERIOR",O70*MUS_parametros!$B$18,N70)</f>
        <v/>
      </c>
      <c r="Q70" s="4" t="inlineStr">
        <is>
          <t>Documento confere com o registro</t>
        </is>
      </c>
    </row>
    <row r="71">
      <c r="A71" s="4" t="inlineStr">
        <is>
          <t>IMB-0046790</t>
        </is>
      </c>
      <c r="B71" s="4" t="inlineStr">
        <is>
          <t>DESENVOLVIMENTO_CAMPOS</t>
        </is>
      </c>
      <c r="C71" s="4" t="inlineStr">
        <is>
          <t>1.2.03.04.001</t>
        </is>
      </c>
      <c r="D71" s="4" t="inlineStr">
        <is>
          <t>FAZENDA ONCA</t>
        </is>
      </c>
      <c r="E71" s="4" t="inlineStr">
        <is>
          <t>PERFURACAO E COMPLETACAO</t>
        </is>
      </c>
      <c r="F71" s="4" t="inlineStr">
        <is>
          <t>INFERIOR</t>
        </is>
      </c>
      <c r="G71" s="4" t="n">
        <v>1</v>
      </c>
      <c r="H71" s="5" t="n">
        <v>530865906.8381743</v>
      </c>
      <c r="I71" s="5" t="n">
        <v>530897969.7299972</v>
      </c>
      <c r="J71" s="5" t="n">
        <v>330067.27</v>
      </c>
      <c r="K71" s="4" t="inlineStr">
        <is>
          <t>S</t>
        </is>
      </c>
      <c r="L71" s="4" t="inlineStr">
        <is>
          <t>2025-12-11</t>
        </is>
      </c>
      <c r="M71" s="5" t="n">
        <v>330067.27</v>
      </c>
      <c r="N71" s="5">
        <f>J71-M71</f>
        <v/>
      </c>
      <c r="O71" s="6">
        <f>IF(F71="INFERIOR",N71/J71,"")</f>
        <v/>
      </c>
      <c r="P71" s="5">
        <f>IF(F71="INFERIOR",O71*MUS_parametros!$B$18,N71)</f>
        <v/>
      </c>
      <c r="Q71" s="4" t="inlineStr">
        <is>
          <t>Documento confere com o registro</t>
        </is>
      </c>
    </row>
    <row r="72">
      <c r="A72" s="4" t="inlineStr">
        <is>
          <t>IMB-0047410</t>
        </is>
      </c>
      <c r="B72" s="4" t="inlineStr">
        <is>
          <t>DESENVOLVIMENTO_CAMPOS</t>
        </is>
      </c>
      <c r="C72" s="4" t="inlineStr">
        <is>
          <t>1.2.03.04.001</t>
        </is>
      </c>
      <c r="D72" s="4" t="inlineStr">
        <is>
          <t>MATA DE SAO JOAO</t>
        </is>
      </c>
      <c r="E72" s="4" t="inlineStr">
        <is>
          <t>PERFURACAO E COMPLETACAO</t>
        </is>
      </c>
      <c r="F72" s="4" t="inlineStr">
        <is>
          <t>INFERIOR</t>
        </is>
      </c>
      <c r="G72" s="4" t="n">
        <v>1</v>
      </c>
      <c r="H72" s="5" t="n">
        <v>536598906.8381743</v>
      </c>
      <c r="I72" s="5" t="n">
        <v>536636172.5499967</v>
      </c>
      <c r="J72" s="5" t="n">
        <v>85581.53999999999</v>
      </c>
      <c r="K72" s="4" t="inlineStr">
        <is>
          <t>S</t>
        </is>
      </c>
      <c r="L72" s="4" t="inlineStr">
        <is>
          <t>2024-09-19</t>
        </is>
      </c>
      <c r="M72" s="5" t="n">
        <v>85581.53999999999</v>
      </c>
      <c r="N72" s="5">
        <f>J72-M72</f>
        <v/>
      </c>
      <c r="O72" s="6">
        <f>IF(F72="INFERIOR",N72/J72,"")</f>
        <v/>
      </c>
      <c r="P72" s="5">
        <f>IF(F72="INFERIOR",O72*MUS_parametros!$B$18,N72)</f>
        <v/>
      </c>
      <c r="Q72" s="4" t="inlineStr">
        <is>
          <t>Documento confere com o registro</t>
        </is>
      </c>
    </row>
    <row r="73">
      <c r="A73" s="4" t="inlineStr">
        <is>
          <t>IMB-0048138</t>
        </is>
      </c>
      <c r="B73" s="4" t="inlineStr">
        <is>
          <t>DESENVOLVIMENTO_CAMPOS</t>
        </is>
      </c>
      <c r="C73" s="4" t="inlineStr">
        <is>
          <t>1.2.03.04.001</t>
        </is>
      </c>
      <c r="D73" s="4" t="inlineStr">
        <is>
          <t>APRAIUS</t>
        </is>
      </c>
      <c r="E73" s="4" t="inlineStr">
        <is>
          <t>PERFURACAO E COMPLETACAO</t>
        </is>
      </c>
      <c r="F73" s="4" t="inlineStr">
        <is>
          <t>INFERIOR</t>
        </is>
      </c>
      <c r="G73" s="4" t="n">
        <v>1</v>
      </c>
      <c r="H73" s="5" t="n">
        <v>542331906.8381743</v>
      </c>
      <c r="I73" s="5" t="n">
        <v>542360851.7599974</v>
      </c>
      <c r="J73" s="5" t="n">
        <v>144944.68</v>
      </c>
      <c r="K73" s="4" t="inlineStr">
        <is>
          <t>S</t>
        </is>
      </c>
      <c r="L73" s="4" t="inlineStr">
        <is>
          <t>2025-10-11</t>
        </is>
      </c>
      <c r="M73" s="5" t="n">
        <v>144944.68</v>
      </c>
      <c r="N73" s="5">
        <f>J73-M73</f>
        <v/>
      </c>
      <c r="O73" s="6">
        <f>IF(F73="INFERIOR",N73/J73,"")</f>
        <v/>
      </c>
      <c r="P73" s="5">
        <f>IF(F73="INFERIOR",O73*MUS_parametros!$B$18,N73)</f>
        <v/>
      </c>
      <c r="Q73" s="4" t="inlineStr">
        <is>
          <t>Documento confere com o registro</t>
        </is>
      </c>
    </row>
    <row r="74">
      <c r="A74" s="4" t="inlineStr">
        <is>
          <t>IMB-0048943</t>
        </is>
      </c>
      <c r="B74" s="4" t="inlineStr">
        <is>
          <t>ALMOXARIFADO_INVERSOES_FIXAS</t>
        </is>
      </c>
      <c r="C74" s="4" t="inlineStr">
        <is>
          <t>1.2.03.07.004</t>
        </is>
      </c>
      <c r="D74" s="4" t="inlineStr">
        <is>
          <t>ACAJA-BURIZINHO</t>
        </is>
      </c>
      <c r="E74" s="4" t="inlineStr">
        <is>
          <t>MATERIAL DIVERSO DE INVESTIMENTO</t>
        </is>
      </c>
      <c r="F74" s="4" t="inlineStr">
        <is>
          <t>INFERIOR</t>
        </is>
      </c>
      <c r="G74" s="4" t="n">
        <v>1</v>
      </c>
      <c r="H74" s="5" t="n">
        <v>548064906.8381743</v>
      </c>
      <c r="I74" s="5" t="n">
        <v>548068679.3999959</v>
      </c>
      <c r="J74" s="5" t="n">
        <v>5186.16</v>
      </c>
      <c r="K74" s="4" t="inlineStr">
        <is>
          <t>S</t>
        </is>
      </c>
      <c r="L74" s="4" t="inlineStr">
        <is>
          <t>2023-07-09</t>
        </is>
      </c>
      <c r="M74" s="5" t="n">
        <v>5186.16</v>
      </c>
      <c r="N74" s="5">
        <f>J74-M74</f>
        <v/>
      </c>
      <c r="O74" s="6">
        <f>IF(F74="INFERIOR",N74/J74,"")</f>
        <v/>
      </c>
      <c r="P74" s="5">
        <f>IF(F74="INFERIOR",O74*MUS_parametros!$B$18,N74)</f>
        <v/>
      </c>
      <c r="Q74" s="4" t="inlineStr">
        <is>
          <t>Documento confere com o registro</t>
        </is>
      </c>
    </row>
    <row r="75">
      <c r="A75" s="4" t="inlineStr">
        <is>
          <t>IMB-0049689</t>
        </is>
      </c>
      <c r="B75" s="4" t="inlineStr">
        <is>
          <t>ALMOXARIFADO_INVERSOES_FIXAS</t>
        </is>
      </c>
      <c r="C75" s="4" t="inlineStr">
        <is>
          <t>1.2.03.07.001</t>
        </is>
      </c>
      <c r="D75" s="4" t="inlineStr">
        <is>
          <t>MATA DE SAO JOAO</t>
        </is>
      </c>
      <c r="E75" s="4" t="inlineStr">
        <is>
          <t>TUBO DE REVESTIMENTO/PRODUCAO (LOTE)</t>
        </is>
      </c>
      <c r="F75" s="4" t="inlineStr">
        <is>
          <t>INFERIOR</t>
        </is>
      </c>
      <c r="G75" s="4" t="n">
        <v>1</v>
      </c>
      <c r="H75" s="5" t="n">
        <v>553797906.8381743</v>
      </c>
      <c r="I75" s="5" t="n">
        <v>553803617.219996</v>
      </c>
      <c r="J75" s="5" t="n">
        <v>8711.969999999999</v>
      </c>
      <c r="K75" s="4" t="inlineStr">
        <is>
          <t>S</t>
        </is>
      </c>
      <c r="L75" s="4" t="inlineStr">
        <is>
          <t>2025-05-14</t>
        </is>
      </c>
      <c r="M75" s="5" t="n">
        <v>8711.969999999999</v>
      </c>
      <c r="N75" s="5">
        <f>J75-M75</f>
        <v/>
      </c>
      <c r="O75" s="6">
        <f>IF(F75="INFERIOR",N75/J75,"")</f>
        <v/>
      </c>
      <c r="P75" s="5">
        <f>IF(F75="INFERIOR",O75*MUS_parametros!$B$18,N75)</f>
        <v/>
      </c>
      <c r="Q75" s="4" t="inlineStr">
        <is>
          <t>Documento confere com o registro</t>
        </is>
      </c>
    </row>
    <row r="76">
      <c r="A76" s="4" t="inlineStr">
        <is>
          <t>IMB-0050579</t>
        </is>
      </c>
      <c r="B76" s="4" t="inlineStr">
        <is>
          <t>DESENVOLVIMENTO_CAMPOS</t>
        </is>
      </c>
      <c r="C76" s="4" t="inlineStr">
        <is>
          <t>1.2.03.04.001</t>
        </is>
      </c>
      <c r="D76" s="4" t="inlineStr">
        <is>
          <t>POT-CONC-01 (SINTETICO)</t>
        </is>
      </c>
      <c r="E76" s="4" t="inlineStr">
        <is>
          <t>PERFURACAO E COMPLETACAO</t>
        </is>
      </c>
      <c r="F76" s="4" t="inlineStr">
        <is>
          <t>INFERIOR</t>
        </is>
      </c>
      <c r="G76" s="4" t="n">
        <v>1</v>
      </c>
      <c r="H76" s="5" t="n">
        <v>559530906.8381743</v>
      </c>
      <c r="I76" s="5" t="n">
        <v>559570444.2299968</v>
      </c>
      <c r="J76" s="5" t="n">
        <v>223062.46</v>
      </c>
      <c r="K76" s="4" t="inlineStr">
        <is>
          <t>S</t>
        </is>
      </c>
      <c r="L76" s="4" t="inlineStr">
        <is>
          <t>2022-02-02</t>
        </is>
      </c>
      <c r="M76" s="5" t="n">
        <v>223062.46</v>
      </c>
      <c r="N76" s="5">
        <f>J76-M76</f>
        <v/>
      </c>
      <c r="O76" s="6">
        <f>IF(F76="INFERIOR",N76/J76,"")</f>
        <v/>
      </c>
      <c r="P76" s="5">
        <f>IF(F76="INFERIOR",O76*MUS_parametros!$B$18,N76)</f>
        <v/>
      </c>
      <c r="Q76" s="4" t="inlineStr">
        <is>
          <t>Documento confere com o registro</t>
        </is>
      </c>
    </row>
    <row r="77">
      <c r="A77" s="4" t="inlineStr">
        <is>
          <t>IMB-0050847</t>
        </is>
      </c>
      <c r="B77" s="4" t="inlineStr">
        <is>
          <t>DESENVOLVIMENTO_CAMPOS</t>
        </is>
      </c>
      <c r="C77" s="4" t="inlineStr">
        <is>
          <t>1.2.03.04.001</t>
        </is>
      </c>
      <c r="D77" s="4" t="inlineStr">
        <is>
          <t>BREJINHO</t>
        </is>
      </c>
      <c r="E77" s="4" t="inlineStr">
        <is>
          <t>PERFURACAO E COMPLETACAO</t>
        </is>
      </c>
      <c r="F77" s="4" t="inlineStr">
        <is>
          <t>INFERIOR</t>
        </is>
      </c>
      <c r="G77" s="4" t="n">
        <v>1</v>
      </c>
      <c r="H77" s="5" t="n">
        <v>565263906.8381743</v>
      </c>
      <c r="I77" s="5" t="n">
        <v>565368229.1099973</v>
      </c>
      <c r="J77" s="5" t="n">
        <v>209082.97</v>
      </c>
      <c r="K77" s="4" t="inlineStr">
        <is>
          <t>S</t>
        </is>
      </c>
      <c r="L77" s="4" t="inlineStr">
        <is>
          <t>2022-11-02</t>
        </is>
      </c>
      <c r="M77" s="5" t="n">
        <v>209082.97</v>
      </c>
      <c r="N77" s="5">
        <f>J77-M77</f>
        <v/>
      </c>
      <c r="O77" s="6">
        <f>IF(F77="INFERIOR",N77/J77,"")</f>
        <v/>
      </c>
      <c r="P77" s="5">
        <f>IF(F77="INFERIOR",O77*MUS_parametros!$B$18,N77)</f>
        <v/>
      </c>
      <c r="Q77" s="4" t="inlineStr">
        <is>
          <t>Documento confere com o registro</t>
        </is>
      </c>
    </row>
    <row r="78">
      <c r="A78" s="4" t="inlineStr">
        <is>
          <t>IMB-0051267</t>
        </is>
      </c>
      <c r="B78" s="4" t="inlineStr">
        <is>
          <t>DESENVOLVIMENTO_CAMPOS</t>
        </is>
      </c>
      <c r="C78" s="4" t="inlineStr">
        <is>
          <t>1.2.03.04.001</t>
        </is>
      </c>
      <c r="D78" s="4" t="inlineStr">
        <is>
          <t>TARTARUGA</t>
        </is>
      </c>
      <c r="E78" s="4" t="inlineStr">
        <is>
          <t>PERFURACAO E COMPLETACAO</t>
        </is>
      </c>
      <c r="F78" s="4" t="inlineStr">
        <is>
          <t>SUPERIOR (VC &gt;= I)</t>
        </is>
      </c>
      <c r="G78" s="4" t="n">
        <v>2</v>
      </c>
      <c r="H78" s="5" t="n">
        <v>570996906.8381743</v>
      </c>
      <c r="I78" s="5" t="n">
        <v>576935467.7399969</v>
      </c>
      <c r="J78" s="5" t="n">
        <v>8997410.57</v>
      </c>
      <c r="K78" s="4" t="inlineStr">
        <is>
          <t>S</t>
        </is>
      </c>
      <c r="L78" s="4" t="inlineStr">
        <is>
          <t>2025-10-20</t>
        </is>
      </c>
      <c r="M78" s="5" t="n">
        <v>8997410.57</v>
      </c>
      <c r="N78" s="5">
        <f>J78-M78</f>
        <v/>
      </c>
      <c r="O78" s="6">
        <f>IF(F78="INFERIOR",N78/J78,"")</f>
        <v/>
      </c>
      <c r="P78" s="5">
        <f>IF(F78="INFERIOR",O78*MUS_parametros!$B$18,N78)</f>
        <v/>
      </c>
      <c r="Q78" s="4" t="inlineStr">
        <is>
          <t>Documento confere com o registro</t>
        </is>
      </c>
    </row>
    <row r="79">
      <c r="A79" s="4" t="inlineStr">
        <is>
          <t>IMB-0051976</t>
        </is>
      </c>
      <c r="B79" s="4" t="inlineStr">
        <is>
          <t>DESENVOLVIMENTO_CAMPOS</t>
        </is>
      </c>
      <c r="C79" s="4" t="inlineStr">
        <is>
          <t>1.2.03.04.003</t>
        </is>
      </c>
      <c r="D79" s="4" t="inlineStr">
        <is>
          <t>TIE</t>
        </is>
      </c>
      <c r="E79" s="4" t="inlineStr">
        <is>
          <t>COLUNA DE PRODUCAO E HASTES</t>
        </is>
      </c>
      <c r="F79" s="4" t="inlineStr">
        <is>
          <t>INFERIOR</t>
        </is>
      </c>
      <c r="G79" s="4" t="n">
        <v>1</v>
      </c>
      <c r="H79" s="5" t="n">
        <v>582462906.8381743</v>
      </c>
      <c r="I79" s="5" t="n">
        <v>582474685.2799966</v>
      </c>
      <c r="J79" s="5" t="n">
        <v>17171.83</v>
      </c>
      <c r="K79" s="4" t="inlineStr">
        <is>
          <t>S</t>
        </is>
      </c>
      <c r="L79" s="4" t="inlineStr">
        <is>
          <t>2025-08-02</t>
        </is>
      </c>
      <c r="M79" s="5" t="n">
        <v>17171.83</v>
      </c>
      <c r="N79" s="5">
        <f>J79-M79</f>
        <v/>
      </c>
      <c r="O79" s="6">
        <f>IF(F79="INFERIOR",N79/J79,"")</f>
        <v/>
      </c>
      <c r="P79" s="5">
        <f>IF(F79="INFERIOR",O79*MUS_parametros!$B$18,N79)</f>
        <v/>
      </c>
      <c r="Q79" s="4" t="inlineStr">
        <is>
          <t>Documento confere com o registro</t>
        </is>
      </c>
    </row>
    <row r="80">
      <c r="A80" s="4" t="inlineStr">
        <is>
          <t>IMB-0052742</t>
        </is>
      </c>
      <c r="B80" s="4" t="inlineStr">
        <is>
          <t>DESENVOLVIMENTO_CAMPOS</t>
        </is>
      </c>
      <c r="C80" s="4" t="inlineStr">
        <is>
          <t>1.2.03.04.001</t>
        </is>
      </c>
      <c r="D80" s="4" t="inlineStr">
        <is>
          <t>TIE</t>
        </is>
      </c>
      <c r="E80" s="4" t="inlineStr">
        <is>
          <t>PERFURACAO E COMPLETACAO</t>
        </is>
      </c>
      <c r="F80" s="4" t="inlineStr">
        <is>
          <t>INFERIOR</t>
        </is>
      </c>
      <c r="G80" s="4" t="n">
        <v>1</v>
      </c>
      <c r="H80" s="5" t="n">
        <v>588195906.8381743</v>
      </c>
      <c r="I80" s="5" t="n">
        <v>588478173.3599964</v>
      </c>
      <c r="J80" s="5" t="n">
        <v>295970.64</v>
      </c>
      <c r="K80" s="4" t="inlineStr">
        <is>
          <t>S</t>
        </is>
      </c>
      <c r="L80" s="4" t="inlineStr">
        <is>
          <t>2024-12-19</t>
        </is>
      </c>
      <c r="M80" s="5" t="n">
        <v>295970.64</v>
      </c>
      <c r="N80" s="5">
        <f>J80-M80</f>
        <v/>
      </c>
      <c r="O80" s="6">
        <f>IF(F80="INFERIOR",N80/J80,"")</f>
        <v/>
      </c>
      <c r="P80" s="5">
        <f>IF(F80="INFERIOR",O80*MUS_parametros!$B$18,N80)</f>
        <v/>
      </c>
      <c r="Q80" s="4" t="inlineStr">
        <is>
          <t>Documento confere com o registro</t>
        </is>
      </c>
    </row>
    <row r="81">
      <c r="A81" s="4" t="inlineStr">
        <is>
          <t>IMB-0053564</t>
        </is>
      </c>
      <c r="B81" s="4" t="inlineStr">
        <is>
          <t>DESENVOLVIMENTO_CAMPOS</t>
        </is>
      </c>
      <c r="C81" s="4" t="inlineStr">
        <is>
          <t>1.2.03.04.002</t>
        </is>
      </c>
      <c r="D81" s="4" t="inlineStr">
        <is>
          <t>SESMARIA</t>
        </is>
      </c>
      <c r="E81" s="4" t="inlineStr">
        <is>
          <t>WORKOVER / RECOMPLETACAO CAPITALIZADO</t>
        </is>
      </c>
      <c r="F81" s="4" t="inlineStr">
        <is>
          <t>INFERIOR</t>
        </is>
      </c>
      <c r="G81" s="4" t="n">
        <v>1</v>
      </c>
      <c r="H81" s="5" t="n">
        <v>593928906.8381743</v>
      </c>
      <c r="I81" s="5" t="n">
        <v>593939868.629997</v>
      </c>
      <c r="J81" s="5" t="n">
        <v>14162.01</v>
      </c>
      <c r="K81" s="4" t="inlineStr">
        <is>
          <t>S</t>
        </is>
      </c>
      <c r="L81" s="4" t="inlineStr">
        <is>
          <t>2025-11-01</t>
        </is>
      </c>
      <c r="M81" s="5" t="n">
        <v>14162.01</v>
      </c>
      <c r="N81" s="5">
        <f>J81-M81</f>
        <v/>
      </c>
      <c r="O81" s="6">
        <f>IF(F81="INFERIOR",N81/J81,"")</f>
        <v/>
      </c>
      <c r="P81" s="5">
        <f>IF(F81="INFERIOR",O81*MUS_parametros!$B$18,N81)</f>
        <v/>
      </c>
      <c r="Q81" s="4" t="inlineStr">
        <is>
          <t>Documento confere com o registro</t>
        </is>
      </c>
    </row>
    <row r="82">
      <c r="A82" s="4" t="inlineStr">
        <is>
          <t>IMB-0054289</t>
        </is>
      </c>
      <c r="B82" s="4" t="inlineStr">
        <is>
          <t>DESENVOLVIMENTO_CAMPOS</t>
        </is>
      </c>
      <c r="C82" s="4" t="inlineStr">
        <is>
          <t>1.2.03.04.001</t>
        </is>
      </c>
      <c r="D82" s="4" t="inlineStr">
        <is>
          <t>FAZENDA CURRAL</t>
        </is>
      </c>
      <c r="E82" s="4" t="inlineStr">
        <is>
          <t>PERFURACAO E COMPLETACAO</t>
        </is>
      </c>
      <c r="F82" s="4" t="inlineStr">
        <is>
          <t>INFERIOR</t>
        </is>
      </c>
      <c r="G82" s="4" t="n">
        <v>1</v>
      </c>
      <c r="H82" s="5" t="n">
        <v>599661906.8381743</v>
      </c>
      <c r="I82" s="5" t="n">
        <v>599703685.5399984</v>
      </c>
      <c r="J82" s="5" t="n">
        <v>671315.28</v>
      </c>
      <c r="K82" s="4" t="inlineStr">
        <is>
          <t>S</t>
        </is>
      </c>
      <c r="L82" s="4" t="inlineStr">
        <is>
          <t>2021-05-01</t>
        </is>
      </c>
      <c r="M82" s="5" t="n">
        <v>671315.28</v>
      </c>
      <c r="N82" s="5">
        <f>J82-M82</f>
        <v/>
      </c>
      <c r="O82" s="6">
        <f>IF(F82="INFERIOR",N82/J82,"")</f>
        <v/>
      </c>
      <c r="P82" s="5">
        <f>IF(F82="INFERIOR",O82*MUS_parametros!$B$18,N82)</f>
        <v/>
      </c>
      <c r="Q82" s="4" t="inlineStr">
        <is>
          <t>Documento confere com o registro</t>
        </is>
      </c>
    </row>
    <row r="83">
      <c r="A83" s="4" t="inlineStr">
        <is>
          <t>IMB-0055022</t>
        </is>
      </c>
      <c r="B83" s="4" t="inlineStr">
        <is>
          <t>DESENVOLVIMENTO_CAMPOS</t>
        </is>
      </c>
      <c r="C83" s="4" t="inlineStr">
        <is>
          <t>1.2.03.04.001</t>
        </is>
      </c>
      <c r="D83" s="4" t="inlineStr">
        <is>
          <t>SUSSUARANA</t>
        </is>
      </c>
      <c r="E83" s="4" t="inlineStr">
        <is>
          <t>PERFURACAO E COMPLETACAO</t>
        </is>
      </c>
      <c r="F83" s="4" t="inlineStr">
        <is>
          <t>INFERIOR</t>
        </is>
      </c>
      <c r="G83" s="4" t="n">
        <v>1</v>
      </c>
      <c r="H83" s="5" t="n">
        <v>605394906.8381743</v>
      </c>
      <c r="I83" s="5" t="n">
        <v>605427630.9499983</v>
      </c>
      <c r="J83" s="5" t="n">
        <v>63583.45</v>
      </c>
      <c r="K83" s="4" t="inlineStr">
        <is>
          <t>S</t>
        </is>
      </c>
      <c r="L83" s="4" t="inlineStr">
        <is>
          <t>2024-04-27</t>
        </is>
      </c>
      <c r="M83" s="5" t="n">
        <v>63583.45</v>
      </c>
      <c r="N83" s="5">
        <f>J83-M83</f>
        <v/>
      </c>
      <c r="O83" s="6">
        <f>IF(F83="INFERIOR",N83/J83,"")</f>
        <v/>
      </c>
      <c r="P83" s="5">
        <f>IF(F83="INFERIOR",O83*MUS_parametros!$B$18,N83)</f>
        <v/>
      </c>
      <c r="Q83" s="4" t="inlineStr">
        <is>
          <t>Documento confere com o registro</t>
        </is>
      </c>
    </row>
    <row r="84">
      <c r="A84" s="4" t="inlineStr">
        <is>
          <t>IMB-0055148</t>
        </is>
      </c>
      <c r="B84" s="4" t="inlineStr">
        <is>
          <t>DIREITO_PRODUCAO_OLEO_GAS</t>
        </is>
      </c>
      <c r="C84" s="4" t="inlineStr">
        <is>
          <t>1.2.03.03.004</t>
        </is>
      </c>
      <c r="D84" s="4" t="inlineStr">
        <is>
          <t>POT-CONC-04 (SINTETICO)</t>
        </is>
      </c>
      <c r="E84" s="4" t="inlineStr">
        <is>
          <t>CUSTO DE AQUISICAO DA CONCESSAO</t>
        </is>
      </c>
      <c r="F84" s="4" t="inlineStr">
        <is>
          <t>SUPERIOR (VC &gt;= I)</t>
        </is>
      </c>
      <c r="G84" s="4" t="n">
        <v>4</v>
      </c>
      <c r="H84" s="5" t="n">
        <v>611127906.8381743</v>
      </c>
      <c r="I84" s="5" t="n">
        <v>632399089.0399982</v>
      </c>
      <c r="J84" s="5" t="n">
        <v>26451810.42</v>
      </c>
      <c r="K84" s="4" t="inlineStr">
        <is>
          <t>S</t>
        </is>
      </c>
      <c r="L84" s="4" t="inlineStr">
        <is>
          <t>2019-12-09</t>
        </is>
      </c>
      <c r="M84" s="5" t="n">
        <v>26451810.42</v>
      </c>
      <c r="N84" s="5">
        <f>J84-M84</f>
        <v/>
      </c>
      <c r="O84" s="6">
        <f>IF(F84="INFERIOR",N84/J84,"")</f>
        <v/>
      </c>
      <c r="P84" s="5">
        <f>IF(F84="INFERIOR",O84*MUS_parametros!$B$18,N84)</f>
        <v/>
      </c>
      <c r="Q84" s="4" t="inlineStr">
        <is>
          <t>Documento confere com o registro</t>
        </is>
      </c>
    </row>
    <row r="85">
      <c r="A85" s="4" t="inlineStr">
        <is>
          <t>IMB-0055297</t>
        </is>
      </c>
      <c r="B85" s="4" t="inlineStr">
        <is>
          <t>DESENVOLVIMENTO_CAMPOS</t>
        </is>
      </c>
      <c r="C85" s="4" t="inlineStr">
        <is>
          <t>1.2.03.04.001</t>
        </is>
      </c>
      <c r="D85" s="4" t="inlineStr">
        <is>
          <t>FAZENDA CURRAL</t>
        </is>
      </c>
      <c r="E85" s="4" t="inlineStr">
        <is>
          <t>PERFURACAO E COMPLETACAO</t>
        </is>
      </c>
      <c r="F85" s="4" t="inlineStr">
        <is>
          <t>INFERIOR</t>
        </is>
      </c>
      <c r="G85" s="4" t="n">
        <v>1</v>
      </c>
      <c r="H85" s="5" t="n">
        <v>634059906.8381743</v>
      </c>
      <c r="I85" s="5" t="n">
        <v>634356995.8199977</v>
      </c>
      <c r="J85" s="5" t="n">
        <v>472095.12</v>
      </c>
      <c r="K85" s="4" t="inlineStr">
        <is>
          <t>S</t>
        </is>
      </c>
      <c r="L85" s="4" t="inlineStr">
        <is>
          <t>2025-12-13</t>
        </is>
      </c>
      <c r="M85" s="5" t="n">
        <v>472095.12</v>
      </c>
      <c r="N85" s="5">
        <f>J85-M85</f>
        <v/>
      </c>
      <c r="O85" s="6">
        <f>IF(F85="INFERIOR",N85/J85,"")</f>
        <v/>
      </c>
      <c r="P85" s="5">
        <f>IF(F85="INFERIOR",O85*MUS_parametros!$B$18,N85)</f>
        <v/>
      </c>
      <c r="Q85" s="4" t="inlineStr">
        <is>
          <t>Documento confere com o registro</t>
        </is>
      </c>
    </row>
    <row r="86">
      <c r="A86" s="4" t="inlineStr">
        <is>
          <t>IMB-0055792</t>
        </is>
      </c>
      <c r="B86" s="4" t="inlineStr">
        <is>
          <t>MAQUINAS_EQUIPAMENTOS</t>
        </is>
      </c>
      <c r="C86" s="4" t="inlineStr">
        <is>
          <t>1.2.03.01.005</t>
        </is>
      </c>
      <c r="D86" s="4" t="inlineStr">
        <is>
          <t>POT-CONC-10 (SINTETICO)</t>
        </is>
      </c>
      <c r="E86" s="4" t="inlineStr">
        <is>
          <t>FERRAMENTA/EQUIPAMENTO DE CAMPO</t>
        </is>
      </c>
      <c r="F86" s="4" t="inlineStr">
        <is>
          <t>INFERIOR</t>
        </is>
      </c>
      <c r="G86" s="4" t="n">
        <v>1</v>
      </c>
      <c r="H86" s="5" t="n">
        <v>639792906.8381743</v>
      </c>
      <c r="I86" s="5" t="n">
        <v>639793738.5899988</v>
      </c>
      <c r="J86" s="5" t="n">
        <v>10453.23</v>
      </c>
      <c r="K86" s="4" t="inlineStr">
        <is>
          <t>S</t>
        </is>
      </c>
      <c r="L86" s="4" t="inlineStr">
        <is>
          <t>2020-03-06</t>
        </is>
      </c>
      <c r="M86" s="5" t="n">
        <v>10453.23</v>
      </c>
      <c r="N86" s="5">
        <f>J86-M86</f>
        <v/>
      </c>
      <c r="O86" s="6">
        <f>IF(F86="INFERIOR",N86/J86,"")</f>
        <v/>
      </c>
      <c r="P86" s="5">
        <f>IF(F86="INFERIOR",O86*MUS_parametros!$B$18,N86)</f>
        <v/>
      </c>
      <c r="Q86" s="4" t="inlineStr">
        <is>
          <t>Documento confere com o registro</t>
        </is>
      </c>
    </row>
    <row r="87">
      <c r="A87" s="4" t="inlineStr">
        <is>
          <t>IMB-0056442</t>
        </is>
      </c>
      <c r="B87" s="4" t="inlineStr">
        <is>
          <t>MAQUINAS_EQUIPAMENTOS</t>
        </is>
      </c>
      <c r="C87" s="4" t="inlineStr">
        <is>
          <t>1.2.03.01.001</t>
        </is>
      </c>
      <c r="D87" s="4" t="inlineStr">
        <is>
          <t>RIO PIPIRI</t>
        </is>
      </c>
      <c r="E87" s="4" t="inlineStr">
        <is>
          <t>COMPONENTE DE SONDA PROPRIA (PERFURACAO/PRODUCAO)</t>
        </is>
      </c>
      <c r="F87" s="4" t="inlineStr">
        <is>
          <t>INFERIOR</t>
        </is>
      </c>
      <c r="G87" s="4" t="n">
        <v>1</v>
      </c>
      <c r="H87" s="5" t="n">
        <v>645525906.8381743</v>
      </c>
      <c r="I87" s="5" t="n">
        <v>645536049.6099982</v>
      </c>
      <c r="J87" s="5" t="n">
        <v>36166.22</v>
      </c>
      <c r="K87" s="4" t="inlineStr">
        <is>
          <t>S</t>
        </is>
      </c>
      <c r="L87" s="4" t="inlineStr">
        <is>
          <t>2023-06-20</t>
        </is>
      </c>
      <c r="M87" s="5" t="n">
        <v>36166.22</v>
      </c>
      <c r="N87" s="5">
        <f>J87-M87</f>
        <v/>
      </c>
      <c r="O87" s="6">
        <f>IF(F87="INFERIOR",N87/J87,"")</f>
        <v/>
      </c>
      <c r="P87" s="5">
        <f>IF(F87="INFERIOR",O87*MUS_parametros!$B$18,N87)</f>
        <v/>
      </c>
      <c r="Q87" s="4" t="inlineStr">
        <is>
          <t>Documento confere com o registro</t>
        </is>
      </c>
    </row>
    <row r="88">
      <c r="A88" s="4" t="inlineStr">
        <is>
          <t>IMB-0057278</t>
        </is>
      </c>
      <c r="B88" s="4" t="inlineStr">
        <is>
          <t>DESENVOLVIMENTO_CAMPOS</t>
        </is>
      </c>
      <c r="C88" s="4" t="inlineStr">
        <is>
          <t>1.2.03.04.001</t>
        </is>
      </c>
      <c r="D88" s="4" t="inlineStr">
        <is>
          <t>POT-CONC-15 (SINTETICO)</t>
        </is>
      </c>
      <c r="E88" s="4" t="inlineStr">
        <is>
          <t>PERFURACAO E COMPLETACAO</t>
        </is>
      </c>
      <c r="F88" s="4" t="inlineStr">
        <is>
          <t>INFERIOR</t>
        </is>
      </c>
      <c r="G88" s="4" t="n">
        <v>1</v>
      </c>
      <c r="H88" s="5" t="n">
        <v>651258906.8381743</v>
      </c>
      <c r="I88" s="5" t="n">
        <v>651270238.3699976</v>
      </c>
      <c r="J88" s="5" t="n">
        <v>42764.64</v>
      </c>
      <c r="K88" s="4" t="inlineStr">
        <is>
          <t>S</t>
        </is>
      </c>
      <c r="L88" s="4" t="inlineStr">
        <is>
          <t>2024-12-30</t>
        </is>
      </c>
      <c r="M88" s="5" t="n">
        <v>42764.64</v>
      </c>
      <c r="N88" s="5">
        <f>J88-M88</f>
        <v/>
      </c>
      <c r="O88" s="6">
        <f>IF(F88="INFERIOR",N88/J88,"")</f>
        <v/>
      </c>
      <c r="P88" s="5">
        <f>IF(F88="INFERIOR",O88*MUS_parametros!$B$18,N88)</f>
        <v/>
      </c>
      <c r="Q88" s="4" t="inlineStr">
        <is>
          <t>Documento confere com o registro</t>
        </is>
      </c>
    </row>
    <row r="89">
      <c r="A89" s="4" t="inlineStr">
        <is>
          <t>IMB-0057795</t>
        </is>
      </c>
      <c r="B89" s="4" t="inlineStr">
        <is>
          <t>DESENVOLVIMENTO_CAMPOS</t>
        </is>
      </c>
      <c r="C89" s="4" t="inlineStr">
        <is>
          <t>1.2.03.04.002</t>
        </is>
      </c>
      <c r="D89" s="4" t="inlineStr">
        <is>
          <t>MATA DE SAO JOAO</t>
        </is>
      </c>
      <c r="E89" s="4" t="inlineStr">
        <is>
          <t>WORKOVER / RECOMPLETACAO CAPITALIZADO</t>
        </is>
      </c>
      <c r="F89" s="4" t="inlineStr">
        <is>
          <t>INFERIOR</t>
        </is>
      </c>
      <c r="G89" s="4" t="n">
        <v>1</v>
      </c>
      <c r="H89" s="5" t="n">
        <v>656991906.8381743</v>
      </c>
      <c r="I89" s="5" t="n">
        <v>656994055.429997</v>
      </c>
      <c r="J89" s="5" t="n">
        <v>5191.93</v>
      </c>
      <c r="K89" s="4" t="inlineStr">
        <is>
          <t>S</t>
        </is>
      </c>
      <c r="L89" s="4" t="inlineStr">
        <is>
          <t>2025-10-06</t>
        </is>
      </c>
      <c r="M89" s="5" t="n">
        <v>5191.93</v>
      </c>
      <c r="N89" s="5">
        <f>J89-M89</f>
        <v/>
      </c>
      <c r="O89" s="6">
        <f>IF(F89="INFERIOR",N89/J89,"")</f>
        <v/>
      </c>
      <c r="P89" s="5">
        <f>IF(F89="INFERIOR",O89*MUS_parametros!$B$18,N89)</f>
        <v/>
      </c>
      <c r="Q89" s="4" t="inlineStr">
        <is>
          <t>Documento confere com o registro</t>
        </is>
      </c>
    </row>
    <row r="90">
      <c r="A90" s="4" t="inlineStr">
        <is>
          <t>IMB-0058804</t>
        </is>
      </c>
      <c r="B90" s="4" t="inlineStr">
        <is>
          <t>DESENVOLVIMENTO_CAMPOS</t>
        </is>
      </c>
      <c r="C90" s="4" t="inlineStr">
        <is>
          <t>1.2.03.04.001</t>
        </is>
      </c>
      <c r="D90" s="4" t="inlineStr">
        <is>
          <t>JACUIPE</t>
        </is>
      </c>
      <c r="E90" s="4" t="inlineStr">
        <is>
          <t>PERFURACAO E COMPLETACAO</t>
        </is>
      </c>
      <c r="F90" s="4" t="inlineStr">
        <is>
          <t>INFERIOR</t>
        </is>
      </c>
      <c r="G90" s="4" t="n">
        <v>1</v>
      </c>
      <c r="H90" s="5" t="n">
        <v>662724906.8381743</v>
      </c>
      <c r="I90" s="5" t="n">
        <v>662759294.3899981</v>
      </c>
      <c r="J90" s="5" t="n">
        <v>101701.14</v>
      </c>
      <c r="K90" s="4" t="inlineStr">
        <is>
          <t>S</t>
        </is>
      </c>
      <c r="L90" s="4" t="inlineStr">
        <is>
          <t>2025-11-08</t>
        </is>
      </c>
      <c r="M90" s="5" t="n">
        <v>101701.14</v>
      </c>
      <c r="N90" s="5">
        <f>J90-M90</f>
        <v/>
      </c>
      <c r="O90" s="6">
        <f>IF(F90="INFERIOR",N90/J90,"")</f>
        <v/>
      </c>
      <c r="P90" s="5">
        <f>IF(F90="INFERIOR",O90*MUS_parametros!$B$18,N90)</f>
        <v/>
      </c>
      <c r="Q90" s="4" t="inlineStr">
        <is>
          <t>Documento confere com o registro</t>
        </is>
      </c>
    </row>
    <row r="91">
      <c r="A91" s="4" t="inlineStr">
        <is>
          <t>IMB-0059359</t>
        </is>
      </c>
      <c r="B91" s="4" t="inlineStr">
        <is>
          <t>DESENVOLVIMENTO_CAMPOS</t>
        </is>
      </c>
      <c r="C91" s="4" t="inlineStr">
        <is>
          <t>1.2.03.04.002</t>
        </is>
      </c>
      <c r="D91" s="4" t="inlineStr">
        <is>
          <t>BIRIBA</t>
        </is>
      </c>
      <c r="E91" s="4" t="inlineStr">
        <is>
          <t>FRATURAMENTO / ESTIMULACAO CAPITALIZADA</t>
        </is>
      </c>
      <c r="F91" s="4" t="inlineStr">
        <is>
          <t>INFERIOR</t>
        </is>
      </c>
      <c r="G91" s="4" t="n">
        <v>1</v>
      </c>
      <c r="H91" s="5" t="n">
        <v>668457906.8381743</v>
      </c>
      <c r="I91" s="5" t="n">
        <v>668458540.8999991</v>
      </c>
      <c r="J91" s="5" t="n">
        <v>53481.13</v>
      </c>
      <c r="K91" s="4" t="inlineStr">
        <is>
          <t>S</t>
        </is>
      </c>
      <c r="L91" s="4" t="inlineStr">
        <is>
          <t>2024-08-28</t>
        </is>
      </c>
      <c r="M91" s="5" t="n">
        <v>53481.13</v>
      </c>
      <c r="N91" s="5">
        <f>J91-M91</f>
        <v/>
      </c>
      <c r="O91" s="6">
        <f>IF(F91="INFERIOR",N91/J91,"")</f>
        <v/>
      </c>
      <c r="P91" s="5">
        <f>IF(F91="INFERIOR",O91*MUS_parametros!$B$18,N91)</f>
        <v/>
      </c>
      <c r="Q91" s="4" t="inlineStr">
        <is>
          <t>Documento confere com o registro</t>
        </is>
      </c>
    </row>
    <row r="92">
      <c r="A92" s="4" t="inlineStr">
        <is>
          <t>IMB-0060093</t>
        </is>
      </c>
      <c r="B92" s="4" t="inlineStr">
        <is>
          <t>DESENVOLVIMENTO_CAMPOS</t>
        </is>
      </c>
      <c r="C92" s="4" t="inlineStr">
        <is>
          <t>1.2.03.04.001</t>
        </is>
      </c>
      <c r="D92" s="4" t="inlineStr">
        <is>
          <t>LIVRAMENTO</t>
        </is>
      </c>
      <c r="E92" s="4" t="inlineStr">
        <is>
          <t>PERFURACAO E COMPLETACAO</t>
        </is>
      </c>
      <c r="F92" s="4" t="inlineStr">
        <is>
          <t>INFERIOR</t>
        </is>
      </c>
      <c r="G92" s="4" t="n">
        <v>1</v>
      </c>
      <c r="H92" s="5" t="n">
        <v>674190906.8381743</v>
      </c>
      <c r="I92" s="5" t="n">
        <v>674382305.1099987</v>
      </c>
      <c r="J92" s="5" t="n">
        <v>266592.24</v>
      </c>
      <c r="K92" s="4" t="inlineStr">
        <is>
          <t>S</t>
        </is>
      </c>
      <c r="L92" s="4" t="inlineStr">
        <is>
          <t>2025-12-27</t>
        </is>
      </c>
      <c r="M92" s="5" t="n">
        <v>266592.24</v>
      </c>
      <c r="N92" s="5">
        <f>J92-M92</f>
        <v/>
      </c>
      <c r="O92" s="6">
        <f>IF(F92="INFERIOR",N92/J92,"")</f>
        <v/>
      </c>
      <c r="P92" s="5">
        <f>IF(F92="INFERIOR",O92*MUS_parametros!$B$18,N92)</f>
        <v/>
      </c>
      <c r="Q92" s="4" t="inlineStr">
        <is>
          <t>Documento confere com o registro</t>
        </is>
      </c>
    </row>
    <row r="93">
      <c r="A93" s="4" t="inlineStr">
        <is>
          <t>IMB-0060547</t>
        </is>
      </c>
      <c r="B93" s="4" t="inlineStr">
        <is>
          <t>DESENVOLVIMENTO_CAMPOS</t>
        </is>
      </c>
      <c r="C93" s="4" t="inlineStr">
        <is>
          <t>1.2.03.04.001</t>
        </is>
      </c>
      <c r="D93" s="4" t="inlineStr">
        <is>
          <t>TARTARUGA</t>
        </is>
      </c>
      <c r="E93" s="4" t="inlineStr">
        <is>
          <t>PERFURACAO E COMPLETACAO</t>
        </is>
      </c>
      <c r="F93" s="4" t="inlineStr">
        <is>
          <t>INFERIOR</t>
        </is>
      </c>
      <c r="G93" s="4" t="n">
        <v>1</v>
      </c>
      <c r="H93" s="5" t="n">
        <v>679923906.8381743</v>
      </c>
      <c r="I93" s="5" t="n">
        <v>680206455.1999997</v>
      </c>
      <c r="J93" s="5" t="n">
        <v>2718600.66</v>
      </c>
      <c r="K93" s="4" t="inlineStr">
        <is>
          <t>S</t>
        </is>
      </c>
      <c r="L93" s="4" t="inlineStr">
        <is>
          <t>2025-11-19</t>
        </is>
      </c>
      <c r="M93" s="5" t="n">
        <v>2718600.66</v>
      </c>
      <c r="N93" s="5">
        <f>J93-M93</f>
        <v/>
      </c>
      <c r="O93" s="6">
        <f>IF(F93="INFERIOR",N93/J93,"")</f>
        <v/>
      </c>
      <c r="P93" s="5">
        <f>IF(F93="INFERIOR",O93*MUS_parametros!$B$18,N93)</f>
        <v/>
      </c>
      <c r="Q93" s="4" t="inlineStr">
        <is>
          <t>Documento confere com o registro</t>
        </is>
      </c>
    </row>
    <row r="94">
      <c r="A94" s="4" t="inlineStr">
        <is>
          <t>IMB-0061360</t>
        </is>
      </c>
      <c r="B94" s="4" t="inlineStr">
        <is>
          <t>DESENVOLVIMENTO_CAMPOS</t>
        </is>
      </c>
      <c r="C94" s="4" t="inlineStr">
        <is>
          <t>1.2.03.04.001</t>
        </is>
      </c>
      <c r="D94" s="4" t="inlineStr">
        <is>
          <t>POT-CONC-19 (SINTETICO)</t>
        </is>
      </c>
      <c r="E94" s="4" t="inlineStr">
        <is>
          <t>PERFURACAO E COMPLETACAO</t>
        </is>
      </c>
      <c r="F94" s="4" t="inlineStr">
        <is>
          <t>INFERIOR</t>
        </is>
      </c>
      <c r="G94" s="4" t="n">
        <v>1</v>
      </c>
      <c r="H94" s="5" t="n">
        <v>685656906.8381743</v>
      </c>
      <c r="I94" s="5" t="n">
        <v>685678770.7500002</v>
      </c>
      <c r="J94" s="5" t="n">
        <v>164708.48</v>
      </c>
      <c r="K94" s="4" t="inlineStr">
        <is>
          <t>S</t>
        </is>
      </c>
      <c r="L94" s="4" t="inlineStr">
        <is>
          <t>2025-10-10</t>
        </is>
      </c>
      <c r="M94" s="5" t="n">
        <v>164708.48</v>
      </c>
      <c r="N94" s="5">
        <f>J94-M94</f>
        <v/>
      </c>
      <c r="O94" s="6">
        <f>IF(F94="INFERIOR",N94/J94,"")</f>
        <v/>
      </c>
      <c r="P94" s="5">
        <f>IF(F94="INFERIOR",O94*MUS_parametros!$B$18,N94)</f>
        <v/>
      </c>
      <c r="Q94" s="4" t="inlineStr">
        <is>
          <t>Documento confere com o registro</t>
        </is>
      </c>
    </row>
    <row r="95">
      <c r="A95" s="4" t="inlineStr">
        <is>
          <t>IMB-0062021</t>
        </is>
      </c>
      <c r="B95" s="4" t="inlineStr">
        <is>
          <t>DESENVOLVIMENTO_CAMPOS</t>
        </is>
      </c>
      <c r="C95" s="4" t="inlineStr">
        <is>
          <t>1.2.03.04.001</t>
        </is>
      </c>
      <c r="D95" s="4" t="inlineStr">
        <is>
          <t>JACUIPE</t>
        </is>
      </c>
      <c r="E95" s="4" t="inlineStr">
        <is>
          <t>PERFURACAO E COMPLETACAO</t>
        </is>
      </c>
      <c r="F95" s="4" t="inlineStr">
        <is>
          <t>INFERIOR</t>
        </is>
      </c>
      <c r="G95" s="4" t="n">
        <v>1</v>
      </c>
      <c r="H95" s="5" t="n">
        <v>691389906.8381743</v>
      </c>
      <c r="I95" s="5" t="n">
        <v>691844450.88</v>
      </c>
      <c r="J95" s="5" t="n">
        <v>632653.5699999999</v>
      </c>
      <c r="K95" s="4" t="inlineStr">
        <is>
          <t>S</t>
        </is>
      </c>
      <c r="L95" s="4" t="inlineStr">
        <is>
          <t>2025-08-01</t>
        </is>
      </c>
      <c r="M95" s="5" t="n">
        <v>632653.5699999999</v>
      </c>
      <c r="N95" s="5">
        <f>J95-M95</f>
        <v/>
      </c>
      <c r="O95" s="6">
        <f>IF(F95="INFERIOR",N95/J95,"")</f>
        <v/>
      </c>
      <c r="P95" s="5">
        <f>IF(F95="INFERIOR",O95*MUS_parametros!$B$18,N95)</f>
        <v/>
      </c>
      <c r="Q95" s="4" t="inlineStr">
        <is>
          <t>Documento confere com o registro</t>
        </is>
      </c>
    </row>
    <row r="96">
      <c r="A96" s="4" t="inlineStr">
        <is>
          <t>IMB-0062843</t>
        </is>
      </c>
      <c r="B96" s="4" t="inlineStr">
        <is>
          <t>DESENVOLVIMENTO_CAMPOS</t>
        </is>
      </c>
      <c r="C96" s="4" t="inlineStr">
        <is>
          <t>1.2.03.04.001</t>
        </is>
      </c>
      <c r="D96" s="4" t="inlineStr">
        <is>
          <t>GOMO</t>
        </is>
      </c>
      <c r="E96" s="4" t="inlineStr">
        <is>
          <t>PERFURACAO E COMPLETACAO</t>
        </is>
      </c>
      <c r="F96" s="4" t="inlineStr">
        <is>
          <t>INFERIOR</t>
        </is>
      </c>
      <c r="G96" s="4" t="n">
        <v>1</v>
      </c>
      <c r="H96" s="5" t="n">
        <v>697122906.8381743</v>
      </c>
      <c r="I96" s="5" t="n">
        <v>697235610.5799985</v>
      </c>
      <c r="J96" s="5" t="n">
        <v>455733.68</v>
      </c>
      <c r="K96" s="4" t="inlineStr">
        <is>
          <t>S</t>
        </is>
      </c>
      <c r="L96" s="4" t="inlineStr">
        <is>
          <t>2022-08-17</t>
        </is>
      </c>
      <c r="M96" s="5" t="n">
        <v>455733.68</v>
      </c>
      <c r="N96" s="5">
        <f>J96-M96</f>
        <v/>
      </c>
      <c r="O96" s="6">
        <f>IF(F96="INFERIOR",N96/J96,"")</f>
        <v/>
      </c>
      <c r="P96" s="5">
        <f>IF(F96="INFERIOR",O96*MUS_parametros!$B$18,N96)</f>
        <v/>
      </c>
      <c r="Q96" s="4" t="inlineStr">
        <is>
          <t>Documento confere com o registro</t>
        </is>
      </c>
    </row>
    <row r="97">
      <c r="A97" s="4" t="inlineStr">
        <is>
          <t>IMB-0063579</t>
        </is>
      </c>
      <c r="B97" s="4" t="inlineStr">
        <is>
          <t>DESENVOLVIMENTO_CAMPOS</t>
        </is>
      </c>
      <c r="C97" s="4" t="inlineStr">
        <is>
          <t>1.2.03.04.001</t>
        </is>
      </c>
      <c r="D97" s="4" t="inlineStr">
        <is>
          <t>FAZENDA ONCA</t>
        </is>
      </c>
      <c r="E97" s="4" t="inlineStr">
        <is>
          <t>PERFURACAO E COMPLETACAO</t>
        </is>
      </c>
      <c r="F97" s="4" t="inlineStr">
        <is>
          <t>INFERIOR</t>
        </is>
      </c>
      <c r="G97" s="4" t="n">
        <v>1</v>
      </c>
      <c r="H97" s="5" t="n">
        <v>702855906.8381743</v>
      </c>
      <c r="I97" s="5" t="n">
        <v>703021499.0199983</v>
      </c>
      <c r="J97" s="5" t="n">
        <v>271679.56</v>
      </c>
      <c r="K97" s="4" t="inlineStr">
        <is>
          <t>S</t>
        </is>
      </c>
      <c r="L97" s="4" t="inlineStr">
        <is>
          <t>2025-06-28</t>
        </is>
      </c>
      <c r="M97" s="5" t="n">
        <v>271679.56</v>
      </c>
      <c r="N97" s="5">
        <f>J97-M97</f>
        <v/>
      </c>
      <c r="O97" s="6">
        <f>IF(F97="INFERIOR",N97/J97,"")</f>
        <v/>
      </c>
      <c r="P97" s="5">
        <f>IF(F97="INFERIOR",O97*MUS_parametros!$B$18,N97)</f>
        <v/>
      </c>
      <c r="Q97" s="4" t="inlineStr">
        <is>
          <t>Documento confere com o registro</t>
        </is>
      </c>
    </row>
    <row r="98">
      <c r="A98" s="4" t="inlineStr">
        <is>
          <t>IMB-0064183</t>
        </is>
      </c>
      <c r="B98" s="4" t="inlineStr">
        <is>
          <t>DESENVOLVIMENTO_CAMPOS</t>
        </is>
      </c>
      <c r="C98" s="4" t="inlineStr">
        <is>
          <t>1.2.03.04.001</t>
        </is>
      </c>
      <c r="D98" s="4" t="inlineStr">
        <is>
          <t>REMANSO</t>
        </is>
      </c>
      <c r="E98" s="4" t="inlineStr">
        <is>
          <t>PERFURACAO E COMPLETACAO</t>
        </is>
      </c>
      <c r="F98" s="4" t="inlineStr">
        <is>
          <t>INFERIOR</t>
        </is>
      </c>
      <c r="G98" s="4" t="n">
        <v>1</v>
      </c>
      <c r="H98" s="5" t="n">
        <v>708588906.8381743</v>
      </c>
      <c r="I98" s="5" t="n">
        <v>708655136.5399988</v>
      </c>
      <c r="J98" s="5" t="n">
        <v>80626.71000000001</v>
      </c>
      <c r="K98" s="4" t="inlineStr">
        <is>
          <t>S</t>
        </is>
      </c>
      <c r="L98" s="4" t="inlineStr">
        <is>
          <t>2025-04-26</t>
        </is>
      </c>
      <c r="M98" s="5" t="n">
        <v>80626.71000000001</v>
      </c>
      <c r="N98" s="5">
        <f>J98-M98</f>
        <v/>
      </c>
      <c r="O98" s="6">
        <f>IF(F98="INFERIOR",N98/J98,"")</f>
        <v/>
      </c>
      <c r="P98" s="5">
        <f>IF(F98="INFERIOR",O98*MUS_parametros!$B$18,N98)</f>
        <v/>
      </c>
      <c r="Q98" s="4" t="inlineStr">
        <is>
          <t>Documento confere com o registro</t>
        </is>
      </c>
    </row>
    <row r="99">
      <c r="A99" s="4" t="inlineStr">
        <is>
          <t>IMB-0064704</t>
        </is>
      </c>
      <c r="B99" s="4" t="inlineStr">
        <is>
          <t>IMOBILIZADO_EM_ANDAMENTO</t>
        </is>
      </c>
      <c r="C99" s="4" t="inlineStr">
        <is>
          <t>1.2.03.02.002</t>
        </is>
      </c>
      <c r="D99" s="4" t="inlineStr">
        <is>
          <t>POT-CONC-10 (SINTETICO)</t>
        </is>
      </c>
      <c r="E99" s="4" t="inlineStr">
        <is>
          <t>ORDEM DE INVESTIMENTO EM ANDAMENTO</t>
        </is>
      </c>
      <c r="F99" s="4" t="inlineStr">
        <is>
          <t>INFERIOR</t>
        </is>
      </c>
      <c r="G99" s="4" t="n">
        <v>1</v>
      </c>
      <c r="H99" s="5" t="n">
        <v>714321906.8381743</v>
      </c>
      <c r="I99" s="5" t="n">
        <v>714566843.7199981</v>
      </c>
      <c r="J99" s="5" t="n">
        <v>254764.17</v>
      </c>
      <c r="K99" s="4" t="inlineStr">
        <is>
          <t>S</t>
        </is>
      </c>
      <c r="L99" s="4" t="inlineStr">
        <is>
          <t>2025-02-11</t>
        </is>
      </c>
      <c r="M99" s="5" t="n">
        <v>254764.17</v>
      </c>
      <c r="N99" s="5">
        <f>J99-M99</f>
        <v/>
      </c>
      <c r="O99" s="6">
        <f>IF(F99="INFERIOR",N99/J99,"")</f>
        <v/>
      </c>
      <c r="P99" s="5">
        <f>IF(F99="INFERIOR",O99*MUS_parametros!$B$18,N99)</f>
        <v/>
      </c>
      <c r="Q99" s="4" t="inlineStr">
        <is>
          <t>Documento confere com o registro</t>
        </is>
      </c>
    </row>
    <row r="100">
      <c r="A100" s="4" t="inlineStr">
        <is>
          <t>IMB-0065373</t>
        </is>
      </c>
      <c r="B100" s="4" t="inlineStr">
        <is>
          <t>IMOBILIZADO_EM_ANDAMENTO</t>
        </is>
      </c>
      <c r="C100" s="4" t="inlineStr">
        <is>
          <t>1.2.03.02.001</t>
        </is>
      </c>
      <c r="D100" s="4" t="inlineStr">
        <is>
          <t>TARTARUGA</t>
        </is>
      </c>
      <c r="E100" s="4" t="inlineStr">
        <is>
          <t>ORDEM DE INVESTIMENTO EM ANDAMENTO</t>
        </is>
      </c>
      <c r="F100" s="4" t="inlineStr">
        <is>
          <t>INFERIOR</t>
        </is>
      </c>
      <c r="G100" s="4" t="n">
        <v>1</v>
      </c>
      <c r="H100" s="5" t="n">
        <v>720054906.8381743</v>
      </c>
      <c r="I100" s="5" t="n">
        <v>720120116.4599981</v>
      </c>
      <c r="J100" s="5" t="n">
        <v>70832.48</v>
      </c>
      <c r="K100" s="4" t="inlineStr">
        <is>
          <t>S</t>
        </is>
      </c>
      <c r="L100" s="4" t="inlineStr">
        <is>
          <t>2025-11-10</t>
        </is>
      </c>
      <c r="M100" s="5" t="n">
        <v>70832.48</v>
      </c>
      <c r="N100" s="5">
        <f>J100-M100</f>
        <v/>
      </c>
      <c r="O100" s="6">
        <f>IF(F100="INFERIOR",N100/J100,"")</f>
        <v/>
      </c>
      <c r="P100" s="5">
        <f>IF(F100="INFERIOR",O100*MUS_parametros!$B$18,N100)</f>
        <v/>
      </c>
      <c r="Q100" s="4" t="inlineStr">
        <is>
          <t>Documento confere com o registro</t>
        </is>
      </c>
    </row>
    <row r="101">
      <c r="A101" s="4" t="inlineStr">
        <is>
          <t>IMB-0066244</t>
        </is>
      </c>
      <c r="B101" s="4" t="inlineStr">
        <is>
          <t>DESENVOLVIMENTO_CAMPOS</t>
        </is>
      </c>
      <c r="C101" s="4" t="inlineStr">
        <is>
          <t>1.2.03.04.005</t>
        </is>
      </c>
      <c r="D101" s="4" t="inlineStr">
        <is>
          <t>BAIXA DO ALGODAO</t>
        </is>
      </c>
      <c r="E101" s="4" t="inlineStr">
        <is>
          <t>CONVERSAO EM POCO INJETOR</t>
        </is>
      </c>
      <c r="F101" s="4" t="inlineStr">
        <is>
          <t>INFERIOR</t>
        </is>
      </c>
      <c r="G101" s="4" t="n">
        <v>1</v>
      </c>
      <c r="H101" s="5" t="n">
        <v>725787906.8381743</v>
      </c>
      <c r="I101" s="5" t="n">
        <v>725801877.0999972</v>
      </c>
      <c r="J101" s="5" t="n">
        <v>14052.44</v>
      </c>
      <c r="K101" s="4" t="inlineStr">
        <is>
          <t>S</t>
        </is>
      </c>
      <c r="L101" s="4" t="inlineStr">
        <is>
          <t>2025-10-19</t>
        </is>
      </c>
      <c r="M101" s="5" t="n">
        <v>14052.44</v>
      </c>
      <c r="N101" s="5">
        <f>J101-M101</f>
        <v/>
      </c>
      <c r="O101" s="6">
        <f>IF(F101="INFERIOR",N101/J101,"")</f>
        <v/>
      </c>
      <c r="P101" s="5">
        <f>IF(F101="INFERIOR",O101*MUS_parametros!$B$18,N101)</f>
        <v/>
      </c>
      <c r="Q101" s="4" t="inlineStr">
        <is>
          <t>Documento confere com o registro</t>
        </is>
      </c>
    </row>
    <row r="102">
      <c r="A102" s="4" t="inlineStr">
        <is>
          <t>IMB-0067075</t>
        </is>
      </c>
      <c r="B102" s="4" t="inlineStr">
        <is>
          <t>DESENVOLVIMENTO_CAMPOS</t>
        </is>
      </c>
      <c r="C102" s="4" t="inlineStr">
        <is>
          <t>1.2.03.04.003</t>
        </is>
      </c>
      <c r="D102" s="4" t="inlineStr">
        <is>
          <t>TARTARUGA</t>
        </is>
      </c>
      <c r="E102" s="4" t="inlineStr">
        <is>
          <t>CABECA DE POCO / ARVORE DE NATAL</t>
        </is>
      </c>
      <c r="F102" s="4" t="inlineStr">
        <is>
          <t>INFERIOR</t>
        </is>
      </c>
      <c r="G102" s="4" t="n">
        <v>1</v>
      </c>
      <c r="H102" s="5" t="n">
        <v>731520906.8381743</v>
      </c>
      <c r="I102" s="5" t="n">
        <v>731520989.1799964</v>
      </c>
      <c r="J102" s="5" t="n">
        <v>4915.11</v>
      </c>
      <c r="K102" s="4" t="inlineStr">
        <is>
          <t>S</t>
        </is>
      </c>
      <c r="L102" s="4" t="inlineStr">
        <is>
          <t>2025-07-29</t>
        </is>
      </c>
      <c r="M102" s="5" t="n">
        <v>4915.11</v>
      </c>
      <c r="N102" s="5">
        <f>J102-M102</f>
        <v/>
      </c>
      <c r="O102" s="6">
        <f>IF(F102="INFERIOR",N102/J102,"")</f>
        <v/>
      </c>
      <c r="P102" s="5">
        <f>IF(F102="INFERIOR",O102*MUS_parametros!$B$18,N102)</f>
        <v/>
      </c>
      <c r="Q102" s="4" t="inlineStr">
        <is>
          <t>Documento confere com o registro</t>
        </is>
      </c>
    </row>
    <row r="103">
      <c r="A103" s="4" t="inlineStr">
        <is>
          <t>IMB-0067969</t>
        </is>
      </c>
      <c r="B103" s="4" t="inlineStr">
        <is>
          <t>DESENVOLVIMENTO_CAMPOS</t>
        </is>
      </c>
      <c r="C103" s="4" t="inlineStr">
        <is>
          <t>1.2.03.04.002</t>
        </is>
      </c>
      <c r="D103" s="4" t="inlineStr">
        <is>
          <t>JACUIPE</t>
        </is>
      </c>
      <c r="E103" s="4" t="inlineStr">
        <is>
          <t>WORKOVER / RECOMPLETACAO CAPITALIZADO</t>
        </is>
      </c>
      <c r="F103" s="4" t="inlineStr">
        <is>
          <t>INFERIOR</t>
        </is>
      </c>
      <c r="G103" s="4" t="n">
        <v>1</v>
      </c>
      <c r="H103" s="5" t="n">
        <v>737253906.8381743</v>
      </c>
      <c r="I103" s="5" t="n">
        <v>737257664.4899955</v>
      </c>
      <c r="J103" s="5" t="n">
        <v>11936.79</v>
      </c>
      <c r="K103" s="4" t="inlineStr">
        <is>
          <t>S</t>
        </is>
      </c>
      <c r="L103" s="4" t="inlineStr">
        <is>
          <t>2025-11-20</t>
        </is>
      </c>
      <c r="M103" s="5" t="n">
        <v>11936.79</v>
      </c>
      <c r="N103" s="5">
        <f>J103-M103</f>
        <v/>
      </c>
      <c r="O103" s="6">
        <f>IF(F103="INFERIOR",N103/J103,"")</f>
        <v/>
      </c>
      <c r="P103" s="5">
        <f>IF(F103="INFERIOR",O103*MUS_parametros!$B$18,N103)</f>
        <v/>
      </c>
      <c r="Q103" s="4" t="inlineStr">
        <is>
          <t>Documento confere com o registro</t>
        </is>
      </c>
    </row>
    <row r="104">
      <c r="A104" s="4" t="inlineStr">
        <is>
          <t>IMB-0068644</t>
        </is>
      </c>
      <c r="B104" s="4" t="inlineStr">
        <is>
          <t>DESENVOLVIMENTO_CAMPOS</t>
        </is>
      </c>
      <c r="C104" s="4" t="inlineStr">
        <is>
          <t>1.2.03.04.001</t>
        </is>
      </c>
      <c r="D104" s="4" t="inlineStr">
        <is>
          <t>TARTARUGA</t>
        </is>
      </c>
      <c r="E104" s="4" t="inlineStr">
        <is>
          <t>PERFURACAO E COMPLETACAO</t>
        </is>
      </c>
      <c r="F104" s="4" t="inlineStr">
        <is>
          <t>INFERIOR</t>
        </is>
      </c>
      <c r="G104" s="4" t="n">
        <v>1</v>
      </c>
      <c r="H104" s="5" t="n">
        <v>742986906.8381743</v>
      </c>
      <c r="I104" s="5" t="n">
        <v>745591186.5699962</v>
      </c>
      <c r="J104" s="5" t="n">
        <v>3506399.07</v>
      </c>
      <c r="K104" s="4" t="inlineStr">
        <is>
          <t>S</t>
        </is>
      </c>
      <c r="L104" s="4" t="inlineStr">
        <is>
          <t>2025-09-10</t>
        </is>
      </c>
      <c r="M104" s="5" t="n">
        <v>3506399.07</v>
      </c>
      <c r="N104" s="5">
        <f>J104-M104</f>
        <v/>
      </c>
      <c r="O104" s="6">
        <f>IF(F104="INFERIOR",N104/J104,"")</f>
        <v/>
      </c>
      <c r="P104" s="5">
        <f>IF(F104="INFERIOR",O104*MUS_parametros!$B$18,N104)</f>
        <v/>
      </c>
      <c r="Q104" s="4" t="inlineStr">
        <is>
          <t>Documento confere com o registro</t>
        </is>
      </c>
    </row>
    <row r="105">
      <c r="A105" s="4" t="inlineStr">
        <is>
          <t>IMB-0069351</t>
        </is>
      </c>
      <c r="B105" s="4" t="inlineStr">
        <is>
          <t>DESENVOLVIMENTO_CAMPOS</t>
        </is>
      </c>
      <c r="C105" s="4" t="inlineStr">
        <is>
          <t>1.2.03.04.001</t>
        </is>
      </c>
      <c r="D105" s="4" t="inlineStr">
        <is>
          <t>POT-CONC-15 (SINTETICO)</t>
        </is>
      </c>
      <c r="E105" s="4" t="inlineStr">
        <is>
          <t>PERFURACAO E COMPLETACAO</t>
        </is>
      </c>
      <c r="F105" s="4" t="inlineStr">
        <is>
          <t>INFERIOR</t>
        </is>
      </c>
      <c r="G105" s="4" t="n">
        <v>1</v>
      </c>
      <c r="H105" s="5" t="n">
        <v>748719906.8381743</v>
      </c>
      <c r="I105" s="5" t="n">
        <v>749231076.279997</v>
      </c>
      <c r="J105" s="5" t="n">
        <v>762636.09</v>
      </c>
      <c r="K105" s="4" t="inlineStr">
        <is>
          <t>S</t>
        </is>
      </c>
      <c r="L105" s="4" t="inlineStr">
        <is>
          <t>2025-02-06</t>
        </is>
      </c>
      <c r="M105" s="5" t="n">
        <v>762636.09</v>
      </c>
      <c r="N105" s="5">
        <f>J105-M105</f>
        <v/>
      </c>
      <c r="O105" s="6">
        <f>IF(F105="INFERIOR",N105/J105,"")</f>
        <v/>
      </c>
      <c r="P105" s="5">
        <f>IF(F105="INFERIOR",O105*MUS_parametros!$B$18,N105)</f>
        <v/>
      </c>
      <c r="Q105" s="4" t="inlineStr">
        <is>
          <t>Documento confere com o registro</t>
        </is>
      </c>
    </row>
    <row r="106">
      <c r="A106" s="4" t="inlineStr">
        <is>
          <t>IMB-0069880</t>
        </is>
      </c>
      <c r="B106" s="4" t="inlineStr">
        <is>
          <t>DESENVOLVIMENTO_CAMPOS</t>
        </is>
      </c>
      <c r="C106" s="4" t="inlineStr">
        <is>
          <t>1.2.03.04.001</t>
        </is>
      </c>
      <c r="D106" s="4" t="inlineStr">
        <is>
          <t>MIRANGA NORTE</t>
        </is>
      </c>
      <c r="E106" s="4" t="inlineStr">
        <is>
          <t>PERFURACAO E COMPLETACAO</t>
        </is>
      </c>
      <c r="F106" s="4" t="inlineStr">
        <is>
          <t>INFERIOR</t>
        </is>
      </c>
      <c r="G106" s="4" t="n">
        <v>1</v>
      </c>
      <c r="H106" s="5" t="n">
        <v>754452906.8381743</v>
      </c>
      <c r="I106" s="5" t="n">
        <v>754461856.4299965</v>
      </c>
      <c r="J106" s="5" t="n">
        <v>535911.33</v>
      </c>
      <c r="K106" s="4" t="inlineStr">
        <is>
          <t>S</t>
        </is>
      </c>
      <c r="L106" s="4" t="inlineStr">
        <is>
          <t>2024-11-11</t>
        </is>
      </c>
      <c r="M106" s="5" t="n">
        <v>535911.33</v>
      </c>
      <c r="N106" s="5">
        <f>J106-M106</f>
        <v/>
      </c>
      <c r="O106" s="6">
        <f>IF(F106="INFERIOR",N106/J106,"")</f>
        <v/>
      </c>
      <c r="P106" s="5">
        <f>IF(F106="INFERIOR",O106*MUS_parametros!$B$18,N106)</f>
        <v/>
      </c>
      <c r="Q106" s="4" t="inlineStr">
        <is>
          <t>Documento confere com o registro</t>
        </is>
      </c>
    </row>
    <row r="107">
      <c r="A107" s="4" t="inlineStr">
        <is>
          <t>IMB-0070706</t>
        </is>
      </c>
      <c r="B107" s="4" t="inlineStr">
        <is>
          <t>DESENVOLVIMENTO_CAMPOS</t>
        </is>
      </c>
      <c r="C107" s="4" t="inlineStr">
        <is>
          <t>1.2.03.04.001</t>
        </is>
      </c>
      <c r="D107" s="4" t="inlineStr">
        <is>
          <t>MATA DE SAO JOAO</t>
        </is>
      </c>
      <c r="E107" s="4" t="inlineStr">
        <is>
          <t>PERFURACAO E COMPLETACAO</t>
        </is>
      </c>
      <c r="F107" s="4" t="inlineStr">
        <is>
          <t>INFERIOR</t>
        </is>
      </c>
      <c r="G107" s="4" t="n">
        <v>1</v>
      </c>
      <c r="H107" s="5" t="n">
        <v>760185906.8381743</v>
      </c>
      <c r="I107" s="5" t="n">
        <v>760194223.5199946</v>
      </c>
      <c r="J107" s="5" t="n">
        <v>33609.16</v>
      </c>
      <c r="K107" s="4" t="inlineStr">
        <is>
          <t>S</t>
        </is>
      </c>
      <c r="L107" s="4" t="inlineStr">
        <is>
          <t>2024-05-29</t>
        </is>
      </c>
      <c r="M107" s="5" t="n">
        <v>33609.16</v>
      </c>
      <c r="N107" s="5">
        <f>J107-M107</f>
        <v/>
      </c>
      <c r="O107" s="6">
        <f>IF(F107="INFERIOR",N107/J107,"")</f>
        <v/>
      </c>
      <c r="P107" s="5">
        <f>IF(F107="INFERIOR",O107*MUS_parametros!$B$18,N107)</f>
        <v/>
      </c>
      <c r="Q107" s="4" t="inlineStr">
        <is>
          <t>Documento confere com o registro</t>
        </is>
      </c>
    </row>
    <row r="108">
      <c r="A108" s="4" t="inlineStr">
        <is>
          <t>IMB-0071649</t>
        </is>
      </c>
      <c r="B108" s="4" t="inlineStr">
        <is>
          <t>ALMOXARIFADO_INVERSOES_FIXAS</t>
        </is>
      </c>
      <c r="C108" s="4" t="inlineStr">
        <is>
          <t>1.2.03.07.001</t>
        </is>
      </c>
      <c r="D108" s="4" t="inlineStr">
        <is>
          <t>APRAIUS</t>
        </is>
      </c>
      <c r="E108" s="4" t="inlineStr">
        <is>
          <t>TUBO DE REVESTIMENTO/PRODUCAO (LOTE)</t>
        </is>
      </c>
      <c r="F108" s="4" t="inlineStr">
        <is>
          <t>INFERIOR</t>
        </is>
      </c>
      <c r="G108" s="4" t="n">
        <v>1</v>
      </c>
      <c r="H108" s="5" t="n">
        <v>765918906.8381743</v>
      </c>
      <c r="I108" s="5" t="n">
        <v>765927261.8999944</v>
      </c>
      <c r="J108" s="5" t="n">
        <v>9782.43</v>
      </c>
      <c r="K108" s="4" t="inlineStr">
        <is>
          <t>S</t>
        </is>
      </c>
      <c r="L108" s="4" t="inlineStr">
        <is>
          <t>2024-10-23</t>
        </is>
      </c>
      <c r="M108" s="5" t="n">
        <v>9782.43</v>
      </c>
      <c r="N108" s="5">
        <f>J108-M108</f>
        <v/>
      </c>
      <c r="O108" s="6">
        <f>IF(F108="INFERIOR",N108/J108,"")</f>
        <v/>
      </c>
      <c r="P108" s="5">
        <f>IF(F108="INFERIOR",O108*MUS_parametros!$B$18,N108)</f>
        <v/>
      </c>
      <c r="Q108" s="4" t="inlineStr">
        <is>
          <t>Documento confere com o registro</t>
        </is>
      </c>
    </row>
    <row r="109">
      <c r="A109" s="4" t="inlineStr">
        <is>
          <t>IMB-0072487</t>
        </is>
      </c>
      <c r="B109" s="4" t="inlineStr">
        <is>
          <t>OUTROS</t>
        </is>
      </c>
      <c r="C109" s="4" t="inlineStr">
        <is>
          <t>1.2.03.09.002</t>
        </is>
      </c>
      <c r="D109" s="4" t="inlineStr">
        <is>
          <t>LIVRAMENTO</t>
        </is>
      </c>
      <c r="E109" s="4" t="inlineStr">
        <is>
          <t>EDIFICACAO / BENFEITORIA</t>
        </is>
      </c>
      <c r="F109" s="4" t="inlineStr">
        <is>
          <t>INFERIOR</t>
        </is>
      </c>
      <c r="G109" s="4" t="n">
        <v>1</v>
      </c>
      <c r="H109" s="5" t="n">
        <v>771651906.8381743</v>
      </c>
      <c r="I109" s="5" t="n">
        <v>771660194.2199945</v>
      </c>
      <c r="J109" s="5" t="n">
        <v>10936.35</v>
      </c>
      <c r="K109" s="4" t="inlineStr">
        <is>
          <t>S</t>
        </is>
      </c>
      <c r="L109" s="4" t="inlineStr">
        <is>
          <t>2021-06-14</t>
        </is>
      </c>
      <c r="M109" s="5" t="n">
        <v>10936.35</v>
      </c>
      <c r="N109" s="5">
        <f>J109-M109</f>
        <v/>
      </c>
      <c r="O109" s="6">
        <f>IF(F109="INFERIOR",N109/J109,"")</f>
        <v/>
      </c>
      <c r="P109" s="5">
        <f>IF(F109="INFERIOR",O109*MUS_parametros!$B$18,N109)</f>
        <v/>
      </c>
      <c r="Q109" s="4" t="inlineStr">
        <is>
          <t>Documento confere com o registro</t>
        </is>
      </c>
    </row>
    <row r="110">
      <c r="A110" s="4" t="inlineStr">
        <is>
          <t>IMB-0073336</t>
        </is>
      </c>
      <c r="B110" s="4" t="inlineStr">
        <is>
          <t>DESENVOLVIMENTO_CAMPOS</t>
        </is>
      </c>
      <c r="C110" s="4" t="inlineStr">
        <is>
          <t>1.2.03.04.001</t>
        </is>
      </c>
      <c r="D110" s="4" t="inlineStr">
        <is>
          <t>POT-CONC-19 (SINTETICO)</t>
        </is>
      </c>
      <c r="E110" s="4" t="inlineStr">
        <is>
          <t>PERFURACAO E COMPLETACAO</t>
        </is>
      </c>
      <c r="F110" s="4" t="inlineStr">
        <is>
          <t>INFERIOR</t>
        </is>
      </c>
      <c r="G110" s="4" t="n">
        <v>1</v>
      </c>
      <c r="H110" s="5" t="n">
        <v>777384906.8381743</v>
      </c>
      <c r="I110" s="5" t="n">
        <v>777445685.8899937</v>
      </c>
      <c r="J110" s="5" t="n">
        <v>62422.25</v>
      </c>
      <c r="K110" s="4" t="inlineStr">
        <is>
          <t>S</t>
        </is>
      </c>
      <c r="L110" s="4" t="inlineStr">
        <is>
          <t>2022-10-08</t>
        </is>
      </c>
      <c r="M110" s="5" t="n">
        <v>62422.25</v>
      </c>
      <c r="N110" s="5">
        <f>J110-M110</f>
        <v/>
      </c>
      <c r="O110" s="6">
        <f>IF(F110="INFERIOR",N110/J110,"")</f>
        <v/>
      </c>
      <c r="P110" s="5">
        <f>IF(F110="INFERIOR",O110*MUS_parametros!$B$18,N110)</f>
        <v/>
      </c>
      <c r="Q110" s="4" t="inlineStr">
        <is>
          <t>Documento confere com o registro</t>
        </is>
      </c>
    </row>
    <row r="111">
      <c r="A111" s="4" t="inlineStr">
        <is>
          <t>IMB-0073887</t>
        </is>
      </c>
      <c r="B111" s="4" t="inlineStr">
        <is>
          <t>DESENVOLVIMENTO_CAMPOS</t>
        </is>
      </c>
      <c r="C111" s="4" t="inlineStr">
        <is>
          <t>1.2.03.04.001</t>
        </is>
      </c>
      <c r="D111" s="4" t="inlineStr">
        <is>
          <t>TIE</t>
        </is>
      </c>
      <c r="E111" s="4" t="inlineStr">
        <is>
          <t>PERFURACAO E COMPLETACAO</t>
        </is>
      </c>
      <c r="F111" s="4" t="inlineStr">
        <is>
          <t>SUPERIOR (VC &gt;= I)</t>
        </is>
      </c>
      <c r="G111" s="4" t="n">
        <v>2</v>
      </c>
      <c r="H111" s="5" t="n">
        <v>783117906.8381743</v>
      </c>
      <c r="I111" s="5" t="n">
        <v>791051225.8899937</v>
      </c>
      <c r="J111" s="5" t="n">
        <v>9830455.609999999</v>
      </c>
      <c r="K111" s="4" t="inlineStr">
        <is>
          <t>S</t>
        </is>
      </c>
      <c r="L111" s="4" t="inlineStr">
        <is>
          <t>2025-12-24</t>
        </is>
      </c>
      <c r="M111" s="5" t="n">
        <v>9830455.609999999</v>
      </c>
      <c r="N111" s="5">
        <f>J111-M111</f>
        <v/>
      </c>
      <c r="O111" s="6">
        <f>IF(F111="INFERIOR",N111/J111,"")</f>
        <v/>
      </c>
      <c r="P111" s="5">
        <f>IF(F111="INFERIOR",O111*MUS_parametros!$B$18,N111)</f>
        <v/>
      </c>
      <c r="Q111" s="4" t="inlineStr">
        <is>
          <t>Documento confere com o registro</t>
        </is>
      </c>
    </row>
    <row r="112">
      <c r="A112" s="4" t="inlineStr">
        <is>
          <t>IMB-0074200</t>
        </is>
      </c>
      <c r="B112" s="4" t="inlineStr">
        <is>
          <t>BLOCOS_EXPLORATORIOS</t>
        </is>
      </c>
      <c r="C112" s="4" t="inlineStr">
        <is>
          <t>1.2.03.05.001</t>
        </is>
      </c>
      <c r="D112" s="4" t="inlineStr">
        <is>
          <t>BLOCO POT-T-793</t>
        </is>
      </c>
      <c r="E112" s="4" t="inlineStr">
        <is>
          <t>BONUS DE ASSINATURA E GASTOS EXPLORATORIOS</t>
        </is>
      </c>
      <c r="F112" s="4" t="inlineStr">
        <is>
          <t>INFERIOR</t>
        </is>
      </c>
      <c r="G112" s="4" t="n">
        <v>1</v>
      </c>
      <c r="H112" s="5" t="n">
        <v>794583906.8381743</v>
      </c>
      <c r="I112" s="5" t="n">
        <v>795198717.6799934</v>
      </c>
      <c r="J112" s="5" t="n">
        <v>1877058.47</v>
      </c>
      <c r="K112" s="4" t="inlineStr">
        <is>
          <t>S</t>
        </is>
      </c>
      <c r="L112" s="4" t="inlineStr">
        <is>
          <t>2024-06-27</t>
        </is>
      </c>
      <c r="M112" s="5" t="n">
        <v>1877058.47</v>
      </c>
      <c r="N112" s="5">
        <f>J112-M112</f>
        <v/>
      </c>
      <c r="O112" s="6">
        <f>IF(F112="INFERIOR",N112/J112,"")</f>
        <v/>
      </c>
      <c r="P112" s="5">
        <f>IF(F112="INFERIOR",O112*MUS_parametros!$B$18,N112)</f>
        <v/>
      </c>
      <c r="Q112" s="4" t="inlineStr">
        <is>
          <t>Documento confere com o registro</t>
        </is>
      </c>
    </row>
    <row r="113">
      <c r="A113" s="4" t="inlineStr">
        <is>
          <t>IMB-0074446</t>
        </is>
      </c>
      <c r="B113" s="4" t="inlineStr">
        <is>
          <t>DIREITO_PRODUCAO_OLEO_GAS</t>
        </is>
      </c>
      <c r="C113" s="4" t="inlineStr">
        <is>
          <t>1.2.03.03.004</t>
        </is>
      </c>
      <c r="D113" s="4" t="inlineStr">
        <is>
          <t>RIACHO DA FORQUILHA</t>
        </is>
      </c>
      <c r="E113" s="4" t="inlineStr">
        <is>
          <t>CUSTO DE AQUISICAO DA CONCESSAO</t>
        </is>
      </c>
      <c r="F113" s="4" t="inlineStr">
        <is>
          <t>SUPERIOR (VC &gt;= I)</t>
        </is>
      </c>
      <c r="G113" s="4" t="n">
        <v>3</v>
      </c>
      <c r="H113" s="5" t="n">
        <v>800316906.8381743</v>
      </c>
      <c r="I113" s="5" t="n">
        <v>812786666.9699931</v>
      </c>
      <c r="J113" s="5" t="n">
        <v>15602992.14</v>
      </c>
      <c r="K113" s="4" t="inlineStr">
        <is>
          <t>S</t>
        </is>
      </c>
      <c r="L113" s="4" t="inlineStr">
        <is>
          <t>2019-12-09</t>
        </is>
      </c>
      <c r="M113" s="5" t="n">
        <v>15602992.14</v>
      </c>
      <c r="N113" s="5">
        <f>J113-M113</f>
        <v/>
      </c>
      <c r="O113" s="6">
        <f>IF(F113="INFERIOR",N113/J113,"")</f>
        <v/>
      </c>
      <c r="P113" s="5">
        <f>IF(F113="INFERIOR",O113*MUS_parametros!$B$18,N113)</f>
        <v/>
      </c>
      <c r="Q113" s="4" t="inlineStr">
        <is>
          <t>Documento confere com o registro</t>
        </is>
      </c>
    </row>
    <row r="114">
      <c r="A114" s="4" t="inlineStr">
        <is>
          <t>IMB-0075036</t>
        </is>
      </c>
      <c r="B114" s="4" t="inlineStr">
        <is>
          <t>DESENVOLVIMENTO_CAMPOS</t>
        </is>
      </c>
      <c r="C114" s="4" t="inlineStr">
        <is>
          <t>1.2.03.04.001</t>
        </is>
      </c>
      <c r="D114" s="4" t="inlineStr">
        <is>
          <t>POT-CONC-07 (SINTETICO)</t>
        </is>
      </c>
      <c r="E114" s="4" t="inlineStr">
        <is>
          <t>PERFURACAO E COMPLETACAO</t>
        </is>
      </c>
      <c r="F114" s="4" t="inlineStr">
        <is>
          <t>INFERIOR</t>
        </is>
      </c>
      <c r="G114" s="4" t="n">
        <v>1</v>
      </c>
      <c r="H114" s="5" t="n">
        <v>817515906.8381743</v>
      </c>
      <c r="I114" s="5" t="n">
        <v>817539767.3099933</v>
      </c>
      <c r="J114" s="5" t="n">
        <v>205603.53</v>
      </c>
      <c r="K114" s="4" t="inlineStr">
        <is>
          <t>S</t>
        </is>
      </c>
      <c r="L114" s="4" t="inlineStr">
        <is>
          <t>2025-02-14</t>
        </is>
      </c>
      <c r="M114" s="5" t="n">
        <v>205603.53</v>
      </c>
      <c r="N114" s="5">
        <f>J114-M114</f>
        <v/>
      </c>
      <c r="O114" s="6">
        <f>IF(F114="INFERIOR",N114/J114,"")</f>
        <v/>
      </c>
      <c r="P114" s="5">
        <f>IF(F114="INFERIOR",O114*MUS_parametros!$B$18,N114)</f>
        <v/>
      </c>
      <c r="Q114" s="4" t="inlineStr">
        <is>
          <t>Documento confere com o registro</t>
        </is>
      </c>
    </row>
    <row r="115">
      <c r="A115" s="4" t="inlineStr">
        <is>
          <t>IMB-0075902</t>
        </is>
      </c>
      <c r="B115" s="4" t="inlineStr">
        <is>
          <t>DESENVOLVIMENTO_CAMPOS</t>
        </is>
      </c>
      <c r="C115" s="4" t="inlineStr">
        <is>
          <t>1.2.03.04.001</t>
        </is>
      </c>
      <c r="D115" s="4" t="inlineStr">
        <is>
          <t>JACUIPE</t>
        </is>
      </c>
      <c r="E115" s="4" t="inlineStr">
        <is>
          <t>PERFURACAO E COMPLETACAO</t>
        </is>
      </c>
      <c r="F115" s="4" t="inlineStr">
        <is>
          <t>INFERIOR</t>
        </is>
      </c>
      <c r="G115" s="4" t="n">
        <v>1</v>
      </c>
      <c r="H115" s="5" t="n">
        <v>823248906.8381743</v>
      </c>
      <c r="I115" s="5" t="n">
        <v>823274535.3999937</v>
      </c>
      <c r="J115" s="5" t="n">
        <v>194264.95</v>
      </c>
      <c r="K115" s="4" t="inlineStr">
        <is>
          <t>S</t>
        </is>
      </c>
      <c r="L115" s="4" t="inlineStr">
        <is>
          <t>2025-05-30</t>
        </is>
      </c>
      <c r="M115" s="5" t="n">
        <v>194264.95</v>
      </c>
      <c r="N115" s="5">
        <f>J115-M115</f>
        <v/>
      </c>
      <c r="O115" s="6">
        <f>IF(F115="INFERIOR",N115/J115,"")</f>
        <v/>
      </c>
      <c r="P115" s="5">
        <f>IF(F115="INFERIOR",O115*MUS_parametros!$B$18,N115)</f>
        <v/>
      </c>
      <c r="Q115" s="4" t="inlineStr">
        <is>
          <t>Documento confere com o registro</t>
        </is>
      </c>
    </row>
    <row r="116">
      <c r="A116" s="4" t="inlineStr">
        <is>
          <t>IMB-0076567</t>
        </is>
      </c>
      <c r="B116" s="4" t="inlineStr">
        <is>
          <t>DESENVOLVIMENTO_CAMPOS</t>
        </is>
      </c>
      <c r="C116" s="4" t="inlineStr">
        <is>
          <t>1.2.03.04.001</t>
        </is>
      </c>
      <c r="D116" s="4" t="inlineStr">
        <is>
          <t>POT-CONC-19 (SINTETICO)</t>
        </is>
      </c>
      <c r="E116" s="4" t="inlineStr">
        <is>
          <t>PERFURACAO E COMPLETACAO</t>
        </is>
      </c>
      <c r="F116" s="4" t="inlineStr">
        <is>
          <t>INFERIOR</t>
        </is>
      </c>
      <c r="G116" s="4" t="n">
        <v>1</v>
      </c>
      <c r="H116" s="5" t="n">
        <v>828981906.8381743</v>
      </c>
      <c r="I116" s="5" t="n">
        <v>829089886.0799931</v>
      </c>
      <c r="J116" s="5" t="n">
        <v>119715.58</v>
      </c>
      <c r="K116" s="4" t="inlineStr">
        <is>
          <t>S</t>
        </is>
      </c>
      <c r="L116" s="4" t="inlineStr">
        <is>
          <t>2023-11-15</t>
        </is>
      </c>
      <c r="M116" s="5" t="n">
        <v>119715.58</v>
      </c>
      <c r="N116" s="5">
        <f>J116-M116</f>
        <v/>
      </c>
      <c r="O116" s="6">
        <f>IF(F116="INFERIOR",N116/J116,"")</f>
        <v/>
      </c>
      <c r="P116" s="5">
        <f>IF(F116="INFERIOR",O116*MUS_parametros!$B$18,N116)</f>
        <v/>
      </c>
      <c r="Q116" s="4" t="inlineStr">
        <is>
          <t>Documento confere com o registro</t>
        </is>
      </c>
    </row>
    <row r="117">
      <c r="A117" s="4" t="inlineStr">
        <is>
          <t>IMB-0076692</t>
        </is>
      </c>
      <c r="B117" s="4" t="inlineStr">
        <is>
          <t>DESENVOLVIMENTO_CAMPOS</t>
        </is>
      </c>
      <c r="C117" s="4" t="inlineStr">
        <is>
          <t>1.2.03.04.001</t>
        </is>
      </c>
      <c r="D117" s="4" t="inlineStr">
        <is>
          <t>TARTARUGA</t>
        </is>
      </c>
      <c r="E117" s="4" t="inlineStr">
        <is>
          <t>PERFURACAO E COMPLETACAO</t>
        </is>
      </c>
      <c r="F117" s="4" t="inlineStr">
        <is>
          <t>SUPERIOR (VC &gt;= I)</t>
        </is>
      </c>
      <c r="G117" s="4" t="n">
        <v>1</v>
      </c>
      <c r="H117" s="5" t="n">
        <v>834714906.8381743</v>
      </c>
      <c r="I117" s="5" t="n">
        <v>836320470.1199934</v>
      </c>
      <c r="J117" s="5" t="n">
        <v>6105244.46</v>
      </c>
      <c r="K117" s="4" t="inlineStr">
        <is>
          <t>S</t>
        </is>
      </c>
      <c r="L117" s="4" t="inlineStr">
        <is>
          <t>2025-12-27</t>
        </is>
      </c>
      <c r="M117" s="5" t="n">
        <v>6105244.46</v>
      </c>
      <c r="N117" s="5">
        <f>J117-M117</f>
        <v/>
      </c>
      <c r="O117" s="6">
        <f>IF(F117="INFERIOR",N117/J117,"")</f>
        <v/>
      </c>
      <c r="P117" s="5">
        <f>IF(F117="INFERIOR",O117*MUS_parametros!$B$18,N117)</f>
        <v/>
      </c>
      <c r="Q117" s="4" t="inlineStr">
        <is>
          <t>Documento confere com o registro</t>
        </is>
      </c>
    </row>
    <row r="118">
      <c r="A118" s="4" t="inlineStr">
        <is>
          <t>IMB-0077192</t>
        </is>
      </c>
      <c r="B118" s="4" t="inlineStr">
        <is>
          <t>DESENVOLVIMENTO_CAMPOS</t>
        </is>
      </c>
      <c r="C118" s="4" t="inlineStr">
        <is>
          <t>1.2.03.04.001</t>
        </is>
      </c>
      <c r="D118" s="4" t="inlineStr">
        <is>
          <t>RIO PIPIRI</t>
        </is>
      </c>
      <c r="E118" s="4" t="inlineStr">
        <is>
          <t>PERFURACAO E COMPLETACAO</t>
        </is>
      </c>
      <c r="F118" s="4" t="inlineStr">
        <is>
          <t>INFERIOR</t>
        </is>
      </c>
      <c r="G118" s="4" t="n">
        <v>1</v>
      </c>
      <c r="H118" s="5" t="n">
        <v>840447906.8381743</v>
      </c>
      <c r="I118" s="5" t="n">
        <v>840545268.729993</v>
      </c>
      <c r="J118" s="5" t="n">
        <v>204650.33</v>
      </c>
      <c r="K118" s="4" t="inlineStr">
        <is>
          <t>S</t>
        </is>
      </c>
      <c r="L118" s="4" t="inlineStr">
        <is>
          <t>2025-12-13</t>
        </is>
      </c>
      <c r="M118" s="5" t="n">
        <v>204650.33</v>
      </c>
      <c r="N118" s="5">
        <f>J118-M118</f>
        <v/>
      </c>
      <c r="O118" s="6">
        <f>IF(F118="INFERIOR",N118/J118,"")</f>
        <v/>
      </c>
      <c r="P118" s="5">
        <f>IF(F118="INFERIOR",O118*MUS_parametros!$B$18,N118)</f>
        <v/>
      </c>
      <c r="Q118" s="4" t="inlineStr">
        <is>
          <t>Documento confere com o registro</t>
        </is>
      </c>
    </row>
    <row r="119">
      <c r="A119" s="4" t="inlineStr">
        <is>
          <t>IMB-0078028</t>
        </is>
      </c>
      <c r="B119" s="4" t="inlineStr">
        <is>
          <t>DESENVOLVIMENTO_CAMPOS</t>
        </is>
      </c>
      <c r="C119" s="4" t="inlineStr">
        <is>
          <t>1.2.03.04.001</t>
        </is>
      </c>
      <c r="D119" s="4" t="inlineStr">
        <is>
          <t>POT-CONC-07 (SINTETICO)</t>
        </is>
      </c>
      <c r="E119" s="4" t="inlineStr">
        <is>
          <t>PERFURACAO E COMPLETACAO</t>
        </is>
      </c>
      <c r="F119" s="4" t="inlineStr">
        <is>
          <t>INFERIOR</t>
        </is>
      </c>
      <c r="G119" s="4" t="n">
        <v>1</v>
      </c>
      <c r="H119" s="5" t="n">
        <v>846180906.8381743</v>
      </c>
      <c r="I119" s="5" t="n">
        <v>846303066.3199931</v>
      </c>
      <c r="J119" s="5" t="n">
        <v>167735.09</v>
      </c>
      <c r="K119" s="4" t="inlineStr">
        <is>
          <t>S</t>
        </is>
      </c>
      <c r="L119" s="4" t="inlineStr">
        <is>
          <t>2024-10-18</t>
        </is>
      </c>
      <c r="M119" s="5" t="n">
        <v>167735.09</v>
      </c>
      <c r="N119" s="5">
        <f>J119-M119</f>
        <v/>
      </c>
      <c r="O119" s="6">
        <f>IF(F119="INFERIOR",N119/J119,"")</f>
        <v/>
      </c>
      <c r="P119" s="5">
        <f>IF(F119="INFERIOR",O119*MUS_parametros!$B$18,N119)</f>
        <v/>
      </c>
      <c r="Q119" s="4" t="inlineStr">
        <is>
          <t>Documento confere com o registro</t>
        </is>
      </c>
    </row>
    <row r="120">
      <c r="A120" s="4" t="inlineStr">
        <is>
          <t>IMB-0078877</t>
        </is>
      </c>
      <c r="B120" s="4" t="inlineStr">
        <is>
          <t>DESENVOLVIMENTO_CAMPOS</t>
        </is>
      </c>
      <c r="C120" s="4" t="inlineStr">
        <is>
          <t>1.2.03.04.002</t>
        </is>
      </c>
      <c r="D120" s="4" t="inlineStr">
        <is>
          <t>JACUIPE</t>
        </is>
      </c>
      <c r="E120" s="4" t="inlineStr">
        <is>
          <t>WORKOVER / RECOMPLETACAO CAPITALIZADO</t>
        </is>
      </c>
      <c r="F120" s="4" t="inlineStr">
        <is>
          <t>INFERIOR</t>
        </is>
      </c>
      <c r="G120" s="4" t="n">
        <v>1</v>
      </c>
      <c r="H120" s="5" t="n">
        <v>851913906.8381743</v>
      </c>
      <c r="I120" s="5" t="n">
        <v>851920335.9099928</v>
      </c>
      <c r="J120" s="5" t="n">
        <v>8834.639999999999</v>
      </c>
      <c r="K120" s="4" t="inlineStr">
        <is>
          <t>S</t>
        </is>
      </c>
      <c r="L120" s="4" t="inlineStr">
        <is>
          <t>2025-12-19</t>
        </is>
      </c>
      <c r="M120" s="5" t="n">
        <v>8834.639999999999</v>
      </c>
      <c r="N120" s="5">
        <f>J120-M120</f>
        <v/>
      </c>
      <c r="O120" s="6">
        <f>IF(F120="INFERIOR",N120/J120,"")</f>
        <v/>
      </c>
      <c r="P120" s="5">
        <f>IF(F120="INFERIOR",O120*MUS_parametros!$B$18,N120)</f>
        <v/>
      </c>
      <c r="Q120" s="4" t="inlineStr">
        <is>
          <t>Documento confere com o registro</t>
        </is>
      </c>
    </row>
    <row r="121">
      <c r="A121" s="4" t="inlineStr">
        <is>
          <t>IMB-0079479</t>
        </is>
      </c>
      <c r="B121" s="4" t="inlineStr">
        <is>
          <t>MAQUINAS_EQUIPAMENTOS</t>
        </is>
      </c>
      <c r="C121" s="4" t="inlineStr">
        <is>
          <t>1.2.03.01.005</t>
        </is>
      </c>
      <c r="D121" s="4" t="inlineStr">
        <is>
          <t>REMANSO</t>
        </is>
      </c>
      <c r="E121" s="4" t="inlineStr">
        <is>
          <t>FERRAMENTA/EQUIPAMENTO DE CAMPO</t>
        </is>
      </c>
      <c r="F121" s="4" t="inlineStr">
        <is>
          <t>INFERIOR</t>
        </is>
      </c>
      <c r="G121" s="4" t="n">
        <v>1</v>
      </c>
      <c r="H121" s="5" t="n">
        <v>857646906.8381743</v>
      </c>
      <c r="I121" s="5" t="n">
        <v>857650951.3999922</v>
      </c>
      <c r="J121" s="5" t="n">
        <v>5116.64</v>
      </c>
      <c r="K121" s="4" t="inlineStr">
        <is>
          <t>S</t>
        </is>
      </c>
      <c r="L121" s="4" t="inlineStr">
        <is>
          <t>2013-01-31</t>
        </is>
      </c>
      <c r="M121" s="5" t="n">
        <v>5116.64</v>
      </c>
      <c r="N121" s="5">
        <f>J121-M121</f>
        <v/>
      </c>
      <c r="O121" s="6">
        <f>IF(F121="INFERIOR",N121/J121,"")</f>
        <v/>
      </c>
      <c r="P121" s="5">
        <f>IF(F121="INFERIOR",O121*MUS_parametros!$B$18,N121)</f>
        <v/>
      </c>
      <c r="Q121" s="4" t="inlineStr">
        <is>
          <t>Documento confere com o registro</t>
        </is>
      </c>
    </row>
    <row r="122">
      <c r="A122" s="4" t="inlineStr">
        <is>
          <t>IMB-0080218</t>
        </is>
      </c>
      <c r="B122" s="4" t="inlineStr">
        <is>
          <t>DESENVOLVIMENTO_CAMPOS</t>
        </is>
      </c>
      <c r="C122" s="4" t="inlineStr">
        <is>
          <t>1.2.03.04.001</t>
        </is>
      </c>
      <c r="D122" s="4" t="inlineStr">
        <is>
          <t>RIO SUBAUMA</t>
        </is>
      </c>
      <c r="E122" s="4" t="inlineStr">
        <is>
          <t>PERFURACAO E COMPLETACAO</t>
        </is>
      </c>
      <c r="F122" s="4" t="inlineStr">
        <is>
          <t>INFERIOR</t>
        </is>
      </c>
      <c r="G122" s="4" t="n">
        <v>1</v>
      </c>
      <c r="H122" s="5" t="n">
        <v>863379906.8381743</v>
      </c>
      <c r="I122" s="5" t="n">
        <v>863778260.5399926</v>
      </c>
      <c r="J122" s="5" t="n">
        <v>417001.54</v>
      </c>
      <c r="K122" s="4" t="inlineStr">
        <is>
          <t>S</t>
        </is>
      </c>
      <c r="L122" s="4" t="inlineStr">
        <is>
          <t>2023-10-21</t>
        </is>
      </c>
      <c r="M122" s="5" t="n">
        <v>417001.54</v>
      </c>
      <c r="N122" s="5">
        <f>J122-M122</f>
        <v/>
      </c>
      <c r="O122" s="6">
        <f>IF(F122="INFERIOR",N122/J122,"")</f>
        <v/>
      </c>
      <c r="P122" s="5">
        <f>IF(F122="INFERIOR",O122*MUS_parametros!$B$18,N122)</f>
        <v/>
      </c>
      <c r="Q122" s="4" t="inlineStr">
        <is>
          <t>Documento confere com o registro</t>
        </is>
      </c>
    </row>
    <row r="123">
      <c r="A123" s="4" t="inlineStr">
        <is>
          <t>IMB-0080825</t>
        </is>
      </c>
      <c r="B123" s="4" t="inlineStr">
        <is>
          <t>DESENVOLVIMENTO_CAMPOS</t>
        </is>
      </c>
      <c r="C123" s="4" t="inlineStr">
        <is>
          <t>1.2.03.04.001</t>
        </is>
      </c>
      <c r="D123" s="4" t="inlineStr">
        <is>
          <t>POT-CONC-07 (SINTETICO)</t>
        </is>
      </c>
      <c r="E123" s="4" t="inlineStr">
        <is>
          <t>PERFURACAO E COMPLETACAO</t>
        </is>
      </c>
      <c r="F123" s="4" t="inlineStr">
        <is>
          <t>INFERIOR</t>
        </is>
      </c>
      <c r="G123" s="4" t="n">
        <v>1</v>
      </c>
      <c r="H123" s="5" t="n">
        <v>869112906.8381743</v>
      </c>
      <c r="I123" s="5" t="n">
        <v>870017356.9499921</v>
      </c>
      <c r="J123" s="5" t="n">
        <v>1511768.78</v>
      </c>
      <c r="K123" s="4" t="inlineStr">
        <is>
          <t>S</t>
        </is>
      </c>
      <c r="L123" s="4" t="inlineStr">
        <is>
          <t>2025-08-30</t>
        </is>
      </c>
      <c r="M123" s="5" t="n">
        <v>1511768.78</v>
      </c>
      <c r="N123" s="5">
        <f>J123-M123</f>
        <v/>
      </c>
      <c r="O123" s="6">
        <f>IF(F123="INFERIOR",N123/J123,"")</f>
        <v/>
      </c>
      <c r="P123" s="5">
        <f>IF(F123="INFERIOR",O123*MUS_parametros!$B$18,N123)</f>
        <v/>
      </c>
      <c r="Q123" s="4" t="inlineStr">
        <is>
          <t>Documento confere com o registro</t>
        </is>
      </c>
    </row>
    <row r="124">
      <c r="A124" s="4" t="inlineStr">
        <is>
          <t>IMB-0081231</t>
        </is>
      </c>
      <c r="B124" s="4" t="inlineStr">
        <is>
          <t>OUTROS</t>
        </is>
      </c>
      <c r="C124" s="4" t="inlineStr">
        <is>
          <t>1.2.03.09.002</t>
        </is>
      </c>
      <c r="D124" s="4" t="inlineStr">
        <is>
          <t>RIACHO SAO PEDRO</t>
        </is>
      </c>
      <c r="E124" s="4" t="inlineStr">
        <is>
          <t>EDIFICACAO / BENFEITORIA</t>
        </is>
      </c>
      <c r="F124" s="4" t="inlineStr">
        <is>
          <t>INFERIOR</t>
        </is>
      </c>
      <c r="G124" s="4" t="n">
        <v>1</v>
      </c>
      <c r="H124" s="5" t="n">
        <v>874845906.8381743</v>
      </c>
      <c r="I124" s="5" t="n">
        <v>874854284.1199927</v>
      </c>
      <c r="J124" s="5" t="n">
        <v>9055.85</v>
      </c>
      <c r="K124" s="4" t="inlineStr">
        <is>
          <t>S</t>
        </is>
      </c>
      <c r="L124" s="4" t="inlineStr">
        <is>
          <t>2021-08-29</t>
        </is>
      </c>
      <c r="M124" s="5" t="n">
        <v>9055.85</v>
      </c>
      <c r="N124" s="5">
        <f>J124-M124</f>
        <v/>
      </c>
      <c r="O124" s="6">
        <f>IF(F124="INFERIOR",N124/J124,"")</f>
        <v/>
      </c>
      <c r="P124" s="5">
        <f>IF(F124="INFERIOR",O124*MUS_parametros!$B$18,N124)</f>
        <v/>
      </c>
      <c r="Q124" s="4" t="inlineStr">
        <is>
          <t>Documento confere com o registro</t>
        </is>
      </c>
    </row>
    <row r="125">
      <c r="A125" s="4" t="inlineStr">
        <is>
          <t>IMB-0081665</t>
        </is>
      </c>
      <c r="B125" s="4" t="inlineStr">
        <is>
          <t>DIREITO_PRODUCAO_OLEO_GAS</t>
        </is>
      </c>
      <c r="C125" s="4" t="inlineStr">
        <is>
          <t>1.2.03.03.004</t>
        </is>
      </c>
      <c r="D125" s="4" t="inlineStr">
        <is>
          <t>POT-CONC-05 (SINTETICO)</t>
        </is>
      </c>
      <c r="E125" s="4" t="inlineStr">
        <is>
          <t>CUSTO DE AQUISICAO DA CONCESSAO</t>
        </is>
      </c>
      <c r="F125" s="4" t="inlineStr">
        <is>
          <t>SUPERIOR (VC &gt;= I)</t>
        </is>
      </c>
      <c r="G125" s="4" t="n">
        <v>2</v>
      </c>
      <c r="H125" s="5" t="n">
        <v>880578906.8381743</v>
      </c>
      <c r="I125" s="5" t="n">
        <v>891737744.0299934</v>
      </c>
      <c r="J125" s="5" t="n">
        <v>14252415.68</v>
      </c>
      <c r="K125" s="4" t="inlineStr">
        <is>
          <t>S</t>
        </is>
      </c>
      <c r="L125" s="4" t="inlineStr">
        <is>
          <t>2019-12-09</t>
        </is>
      </c>
      <c r="M125" s="5" t="n">
        <v>14252415.68</v>
      </c>
      <c r="N125" s="5">
        <f>J125-M125</f>
        <v/>
      </c>
      <c r="O125" s="6">
        <f>IF(F125="INFERIOR",N125/J125,"")</f>
        <v/>
      </c>
      <c r="P125" s="5">
        <f>IF(F125="INFERIOR",O125*MUS_parametros!$B$18,N125)</f>
        <v/>
      </c>
      <c r="Q125" s="4" t="inlineStr">
        <is>
          <t>Documento confere com o registro</t>
        </is>
      </c>
    </row>
    <row r="126">
      <c r="A126" s="4" t="inlineStr">
        <is>
          <t>IMB-0081728</t>
        </is>
      </c>
      <c r="B126" s="4" t="inlineStr">
        <is>
          <t>DESENVOLVIMENTO_CAMPOS</t>
        </is>
      </c>
      <c r="C126" s="4" t="inlineStr">
        <is>
          <t>1.2.03.04.003</t>
        </is>
      </c>
      <c r="D126" s="4" t="inlineStr">
        <is>
          <t>CANABRAVA</t>
        </is>
      </c>
      <c r="E126" s="4" t="inlineStr">
        <is>
          <t>COLUNA DE PRODUCAO E HASTES</t>
        </is>
      </c>
      <c r="F126" s="4" t="inlineStr">
        <is>
          <t>INFERIOR</t>
        </is>
      </c>
      <c r="G126" s="4" t="n">
        <v>1</v>
      </c>
      <c r="H126" s="5" t="n">
        <v>892044906.8381743</v>
      </c>
      <c r="I126" s="5" t="n">
        <v>892057743.1599939</v>
      </c>
      <c r="J126" s="5" t="n">
        <v>21747.2</v>
      </c>
      <c r="K126" s="4" t="inlineStr">
        <is>
          <t>S</t>
        </is>
      </c>
      <c r="L126" s="4" t="inlineStr">
        <is>
          <t>2024-04-09</t>
        </is>
      </c>
      <c r="M126" s="5" t="n">
        <v>21747.2</v>
      </c>
      <c r="N126" s="5">
        <f>J126-M126</f>
        <v/>
      </c>
      <c r="O126" s="6">
        <f>IF(F126="INFERIOR",N126/J126,"")</f>
        <v/>
      </c>
      <c r="P126" s="5">
        <f>IF(F126="INFERIOR",O126*MUS_parametros!$B$18,N126)</f>
        <v/>
      </c>
      <c r="Q126" s="4" t="inlineStr">
        <is>
          <t>Documento confere com o registro</t>
        </is>
      </c>
    </row>
    <row r="127">
      <c r="A127" s="4" t="inlineStr">
        <is>
          <t>IMB-0082384</t>
        </is>
      </c>
      <c r="B127" s="4" t="inlineStr">
        <is>
          <t>DESENVOLVIMENTO_CAMPOS</t>
        </is>
      </c>
      <c r="C127" s="4" t="inlineStr">
        <is>
          <t>1.2.03.04.001</t>
        </is>
      </c>
      <c r="D127" s="4" t="inlineStr">
        <is>
          <t>RIACHO DA FORQUILHA</t>
        </is>
      </c>
      <c r="E127" s="4" t="inlineStr">
        <is>
          <t>PERFURACAO E COMPLETACAO</t>
        </is>
      </c>
      <c r="F127" s="4" t="inlineStr">
        <is>
          <t>INFERIOR</t>
        </is>
      </c>
      <c r="G127" s="4" t="n">
        <v>1</v>
      </c>
      <c r="H127" s="5" t="n">
        <v>897777906.8381743</v>
      </c>
      <c r="I127" s="5" t="n">
        <v>897939294.6499935</v>
      </c>
      <c r="J127" s="5" t="n">
        <v>207549.47</v>
      </c>
      <c r="K127" s="4" t="inlineStr">
        <is>
          <t>S</t>
        </is>
      </c>
      <c r="L127" s="4" t="inlineStr">
        <is>
          <t>2025-12-26</t>
        </is>
      </c>
      <c r="M127" s="5" t="n">
        <v>207549.47</v>
      </c>
      <c r="N127" s="5">
        <f>J127-M127</f>
        <v/>
      </c>
      <c r="O127" s="6">
        <f>IF(F127="INFERIOR",N127/J127,"")</f>
        <v/>
      </c>
      <c r="P127" s="5">
        <f>IF(F127="INFERIOR",O127*MUS_parametros!$B$18,N127)</f>
        <v/>
      </c>
      <c r="Q127" s="4" t="inlineStr">
        <is>
          <t>Documento confere com o registro</t>
        </is>
      </c>
    </row>
    <row r="128">
      <c r="A128" s="4" t="inlineStr">
        <is>
          <t>IMB-0082619</t>
        </is>
      </c>
      <c r="B128" s="4" t="inlineStr">
        <is>
          <t>DIREITO_PRODUCAO_OLEO_GAS</t>
        </is>
      </c>
      <c r="C128" s="4" t="inlineStr">
        <is>
          <t>1.2.03.03.004</t>
        </is>
      </c>
      <c r="D128" s="4" t="inlineStr">
        <is>
          <t>BAIXA DO ALGODAO</t>
        </is>
      </c>
      <c r="E128" s="4" t="inlineStr">
        <is>
          <t>CUSTO DE AQUISICAO DA CONCESSAO</t>
        </is>
      </c>
      <c r="F128" s="4" t="inlineStr">
        <is>
          <t>SUPERIOR (VC &gt;= I)</t>
        </is>
      </c>
      <c r="G128" s="4" t="n">
        <v>5</v>
      </c>
      <c r="H128" s="5" t="n">
        <v>903510906.8381743</v>
      </c>
      <c r="I128" s="5" t="n">
        <v>926629769.9999927</v>
      </c>
      <c r="J128" s="5" t="n">
        <v>27080859.73</v>
      </c>
      <c r="K128" s="4" t="inlineStr">
        <is>
          <t>S</t>
        </is>
      </c>
      <c r="L128" s="4" t="inlineStr">
        <is>
          <t>2019-12-09</t>
        </is>
      </c>
      <c r="M128" s="5" t="n">
        <v>27080859.73</v>
      </c>
      <c r="N128" s="5">
        <f>J128-M128</f>
        <v/>
      </c>
      <c r="O128" s="6">
        <f>IF(F128="INFERIOR",N128/J128,"")</f>
        <v/>
      </c>
      <c r="P128" s="5">
        <f>IF(F128="INFERIOR",O128*MUS_parametros!$B$18,N128)</f>
        <v/>
      </c>
      <c r="Q128" s="4" t="inlineStr">
        <is>
          <t>Documento confere com o registro</t>
        </is>
      </c>
    </row>
    <row r="129">
      <c r="A129" s="4" t="inlineStr">
        <is>
          <t>IMB-0082654</t>
        </is>
      </c>
      <c r="B129" s="4" t="inlineStr">
        <is>
          <t>DIREITO_PRODUCAO_OLEO_GAS</t>
        </is>
      </c>
      <c r="C129" s="4" t="inlineStr">
        <is>
          <t>1.2.03.03.003</t>
        </is>
      </c>
      <c r="D129" s="4" t="inlineStr">
        <is>
          <t>MIRANGA NORTE</t>
        </is>
      </c>
      <c r="E129" s="4" t="inlineStr">
        <is>
          <t>CUSTO DE AQUISICAO DA CONCESSAO</t>
        </is>
      </c>
      <c r="F129" s="4" t="inlineStr">
        <is>
          <t>SUPERIOR (VC &gt;= I)</t>
        </is>
      </c>
      <c r="G129" s="4" t="n">
        <v>4</v>
      </c>
      <c r="H129" s="5" t="n">
        <v>932175906.8381743</v>
      </c>
      <c r="I129" s="5" t="n">
        <v>952709927.3899928</v>
      </c>
      <c r="J129" s="5" t="n">
        <v>25910218.4</v>
      </c>
      <c r="K129" s="4" t="inlineStr">
        <is>
          <t>S</t>
        </is>
      </c>
      <c r="L129" s="4" t="inlineStr">
        <is>
          <t>2021-12-07</t>
        </is>
      </c>
      <c r="M129" s="5" t="n">
        <v>25910218.4</v>
      </c>
      <c r="N129" s="5">
        <f>J129-M129</f>
        <v/>
      </c>
      <c r="O129" s="6">
        <f>IF(F129="INFERIOR",N129/J129,"")</f>
        <v/>
      </c>
      <c r="P129" s="5">
        <f>IF(F129="INFERIOR",O129*MUS_parametros!$B$18,N129)</f>
        <v/>
      </c>
      <c r="Q129" s="4" t="inlineStr">
        <is>
          <t>Documento confere com o registro</t>
        </is>
      </c>
    </row>
    <row r="130">
      <c r="A130" s="4" t="inlineStr">
        <is>
          <t>IMB-0082946</t>
        </is>
      </c>
      <c r="B130" s="4" t="inlineStr">
        <is>
          <t>DIREITO_PRODUCAO_OLEO_GAS</t>
        </is>
      </c>
      <c r="C130" s="4" t="inlineStr">
        <is>
          <t>1.2.03.03.004</t>
        </is>
      </c>
      <c r="D130" s="4" t="inlineStr">
        <is>
          <t>POT-CONC-20 (SINTETICO)</t>
        </is>
      </c>
      <c r="E130" s="4" t="inlineStr">
        <is>
          <t>CUSTO DE AQUISICAO DA CONCESSAO</t>
        </is>
      </c>
      <c r="F130" s="4" t="inlineStr">
        <is>
          <t>SUPERIOR (VC &gt;= I)</t>
        </is>
      </c>
      <c r="G130" s="4" t="n">
        <v>8</v>
      </c>
      <c r="H130" s="5" t="n">
        <v>955107906.8381743</v>
      </c>
      <c r="I130" s="5" t="n">
        <v>996010934.619992</v>
      </c>
      <c r="J130" s="5" t="n">
        <v>41569921.41</v>
      </c>
      <c r="K130" s="4" t="inlineStr">
        <is>
          <t>S</t>
        </is>
      </c>
      <c r="L130" s="4" t="inlineStr">
        <is>
          <t>2019-12-09</t>
        </is>
      </c>
      <c r="M130" s="5" t="n">
        <v>41569921.41</v>
      </c>
      <c r="N130" s="5">
        <f>J130-M130</f>
        <v/>
      </c>
      <c r="O130" s="6">
        <f>IF(F130="INFERIOR",N130/J130,"")</f>
        <v/>
      </c>
      <c r="P130" s="5">
        <f>IF(F130="INFERIOR",O130*MUS_parametros!$B$18,N130)</f>
        <v/>
      </c>
      <c r="Q130" s="4" t="inlineStr">
        <is>
          <t>Documento confere com o registro</t>
        </is>
      </c>
    </row>
    <row r="131">
      <c r="A131" s="4" t="inlineStr">
        <is>
          <t>IMB-0083479</t>
        </is>
      </c>
      <c r="B131" s="4" t="inlineStr">
        <is>
          <t>MAQUINAS_EQUIPAMENTOS</t>
        </is>
      </c>
      <c r="C131" s="4" t="inlineStr">
        <is>
          <t>1.2.03.01.004</t>
        </is>
      </c>
      <c r="D131" s="4" t="inlineStr">
        <is>
          <t>UPGN GUAMARE</t>
        </is>
      </c>
      <c r="E131" s="4" t="inlineStr">
        <is>
          <t>ARMAZENAMENTO DE LIQUIDOS</t>
        </is>
      </c>
      <c r="F131" s="4" t="inlineStr">
        <is>
          <t>INFERIOR</t>
        </is>
      </c>
      <c r="G131" s="4" t="n">
        <v>1</v>
      </c>
      <c r="H131" s="5" t="n">
        <v>1000971906.838174</v>
      </c>
      <c r="I131" s="5" t="n">
        <v>1001021665.589993</v>
      </c>
      <c r="J131" s="5" t="n">
        <v>56928.45</v>
      </c>
      <c r="K131" s="4" t="inlineStr">
        <is>
          <t>S</t>
        </is>
      </c>
      <c r="L131" s="4" t="inlineStr">
        <is>
          <t>2025-09-30</t>
        </is>
      </c>
      <c r="M131" s="5" t="n">
        <v>56928.45</v>
      </c>
      <c r="N131" s="5">
        <f>J131-M131</f>
        <v/>
      </c>
      <c r="O131" s="6">
        <f>IF(F131="INFERIOR",N131/J131,"")</f>
        <v/>
      </c>
      <c r="P131" s="5">
        <f>IF(F131="INFERIOR",O131*MUS_parametros!$B$18,N131)</f>
        <v/>
      </c>
      <c r="Q131" s="4" t="inlineStr">
        <is>
          <t>Documento confere com o registro</t>
        </is>
      </c>
    </row>
    <row r="132">
      <c r="A132" s="4" t="inlineStr">
        <is>
          <t>IMB-0083618</t>
        </is>
      </c>
      <c r="B132" s="4" t="inlineStr">
        <is>
          <t>DESENVOLVIMENTO_CAMPOS</t>
        </is>
      </c>
      <c r="C132" s="4" t="inlineStr">
        <is>
          <t>1.2.03.04.001</t>
        </is>
      </c>
      <c r="D132" s="4" t="inlineStr">
        <is>
          <t>TARTARUGA</t>
        </is>
      </c>
      <c r="E132" s="4" t="inlineStr">
        <is>
          <t>PERFURACAO E COMPLETACAO</t>
        </is>
      </c>
      <c r="F132" s="4" t="inlineStr">
        <is>
          <t>INFERIOR</t>
        </is>
      </c>
      <c r="G132" s="4" t="n">
        <v>1</v>
      </c>
      <c r="H132" s="5" t="n">
        <v>1006704906.838174</v>
      </c>
      <c r="I132" s="5" t="n">
        <v>1007472063.249993</v>
      </c>
      <c r="J132" s="5" t="n">
        <v>5421326.41</v>
      </c>
      <c r="K132" s="4" t="inlineStr">
        <is>
          <t>S</t>
        </is>
      </c>
      <c r="L132" s="4" t="inlineStr">
        <is>
          <t>2025-04-15</t>
        </is>
      </c>
      <c r="M132" s="5" t="n">
        <v>5421326.41</v>
      </c>
      <c r="N132" s="5">
        <f>J132-M132</f>
        <v/>
      </c>
      <c r="O132" s="6">
        <f>IF(F132="INFERIOR",N132/J132,"")</f>
        <v/>
      </c>
      <c r="P132" s="5">
        <f>IF(F132="INFERIOR",O132*MUS_parametros!$B$18,N132)</f>
        <v/>
      </c>
      <c r="Q132" s="4" t="inlineStr">
        <is>
          <t>Documento confere com o registro</t>
        </is>
      </c>
    </row>
    <row r="133">
      <c r="A133" s="4" t="inlineStr">
        <is>
          <t>IMB-0084293</t>
        </is>
      </c>
      <c r="B133" s="4" t="inlineStr">
        <is>
          <t>ALMOXARIFADO_INVERSOES_FIXAS</t>
        </is>
      </c>
      <c r="C133" s="4" t="inlineStr">
        <is>
          <t>1.2.03.07.001</t>
        </is>
      </c>
      <c r="D133" s="4" t="inlineStr">
        <is>
          <t>RIACHO SAO PEDRO</t>
        </is>
      </c>
      <c r="E133" s="4" t="inlineStr">
        <is>
          <t>TUBO DE REVESTIMENTO/PRODUCAO (LOTE)</t>
        </is>
      </c>
      <c r="F133" s="4" t="inlineStr">
        <is>
          <t>INFERIOR</t>
        </is>
      </c>
      <c r="G133" s="4" t="n">
        <v>1</v>
      </c>
      <c r="H133" s="5" t="n">
        <v>1012437906.838174</v>
      </c>
      <c r="I133" s="5" t="n">
        <v>1012454609.059995</v>
      </c>
      <c r="J133" s="5" t="n">
        <v>22879.55</v>
      </c>
      <c r="K133" s="4" t="inlineStr">
        <is>
          <t>S</t>
        </is>
      </c>
      <c r="L133" s="4" t="inlineStr">
        <is>
          <t>2024-03-10</t>
        </is>
      </c>
      <c r="M133" s="5" t="n">
        <v>22879.55</v>
      </c>
      <c r="N133" s="5">
        <f>J133-M133</f>
        <v/>
      </c>
      <c r="O133" s="6">
        <f>IF(F133="INFERIOR",N133/J133,"")</f>
        <v/>
      </c>
      <c r="P133" s="5">
        <f>IF(F133="INFERIOR",O133*MUS_parametros!$B$18,N133)</f>
        <v/>
      </c>
      <c r="Q133" s="4" t="inlineStr">
        <is>
          <t>Documento confere com o registro</t>
        </is>
      </c>
    </row>
    <row r="134">
      <c r="A134" s="4" t="inlineStr">
        <is>
          <t>IMB-0085092</t>
        </is>
      </c>
      <c r="B134" s="4" t="inlineStr">
        <is>
          <t>MAQUINAS_EQUIPAMENTOS</t>
        </is>
      </c>
      <c r="C134" s="4" t="inlineStr">
        <is>
          <t>1.2.03.01.002</t>
        </is>
      </c>
      <c r="D134" s="4" t="inlineStr">
        <is>
          <t>GOMO</t>
        </is>
      </c>
      <c r="E134" s="4" t="inlineStr">
        <is>
          <t>UNIDADE DE BOMBEIO MECANICO</t>
        </is>
      </c>
      <c r="F134" s="4" t="inlineStr">
        <is>
          <t>INFERIOR</t>
        </is>
      </c>
      <c r="G134" s="4" t="n">
        <v>1</v>
      </c>
      <c r="H134" s="5" t="n">
        <v>1018170906.838174</v>
      </c>
      <c r="I134" s="5" t="n">
        <v>1018178728.589996</v>
      </c>
      <c r="J134" s="5" t="n">
        <v>19268.81</v>
      </c>
      <c r="K134" s="4" t="inlineStr">
        <is>
          <t>S</t>
        </is>
      </c>
      <c r="L134" s="4" t="inlineStr">
        <is>
          <t>2020-06-19</t>
        </is>
      </c>
      <c r="M134" s="5" t="n">
        <v>19268.81</v>
      </c>
      <c r="N134" s="5">
        <f>J134-M134</f>
        <v/>
      </c>
      <c r="O134" s="6">
        <f>IF(F134="INFERIOR",N134/J134,"")</f>
        <v/>
      </c>
      <c r="P134" s="5">
        <f>IF(F134="INFERIOR",O134*MUS_parametros!$B$18,N134)</f>
        <v/>
      </c>
      <c r="Q134" s="4" t="inlineStr">
        <is>
          <t>Documento confere com o registro</t>
        </is>
      </c>
    </row>
    <row r="135">
      <c r="A135" s="4" t="inlineStr">
        <is>
          <t>IMB-0085868</t>
        </is>
      </c>
      <c r="B135" s="4" t="inlineStr">
        <is>
          <t>DESENVOLVIMENTO_CAMPOS</t>
        </is>
      </c>
      <c r="C135" s="4" t="inlineStr">
        <is>
          <t>1.2.03.04.003</t>
        </is>
      </c>
      <c r="D135" s="4" t="inlineStr">
        <is>
          <t>CASSARONGONGO</t>
        </is>
      </c>
      <c r="E135" s="4" t="inlineStr">
        <is>
          <t>CABECA DE POCO / ARVORE DE NATAL</t>
        </is>
      </c>
      <c r="F135" s="4" t="inlineStr">
        <is>
          <t>INFERIOR</t>
        </is>
      </c>
      <c r="G135" s="4" t="n">
        <v>1</v>
      </c>
      <c r="H135" s="5" t="n">
        <v>1023903906.838174</v>
      </c>
      <c r="I135" s="5" t="n">
        <v>1023906320.189996</v>
      </c>
      <c r="J135" s="5" t="n">
        <v>2575.53</v>
      </c>
      <c r="K135" s="4" t="inlineStr">
        <is>
          <t>S</t>
        </is>
      </c>
      <c r="L135" s="4" t="inlineStr">
        <is>
          <t>2025-04-26</t>
        </is>
      </c>
      <c r="M135" s="5" t="n">
        <v>2575.53</v>
      </c>
      <c r="N135" s="5">
        <f>J135-M135</f>
        <v/>
      </c>
      <c r="O135" s="6">
        <f>IF(F135="INFERIOR",N135/J135,"")</f>
        <v/>
      </c>
      <c r="P135" s="5">
        <f>IF(F135="INFERIOR",O135*MUS_parametros!$B$18,N135)</f>
        <v/>
      </c>
      <c r="Q135" s="4" t="inlineStr">
        <is>
          <t>Documento confere com o registro</t>
        </is>
      </c>
    </row>
    <row r="136">
      <c r="A136" s="4" t="inlineStr">
        <is>
          <t>IMB-0086567</t>
        </is>
      </c>
      <c r="B136" s="4" t="inlineStr">
        <is>
          <t>DESENVOLVIMENTO_CAMPOS</t>
        </is>
      </c>
      <c r="C136" s="4" t="inlineStr">
        <is>
          <t>1.2.03.04.001</t>
        </is>
      </c>
      <c r="D136" s="4" t="inlineStr">
        <is>
          <t>BREJINHO</t>
        </is>
      </c>
      <c r="E136" s="4" t="inlineStr">
        <is>
          <t>PERFURACAO E COMPLETACAO</t>
        </is>
      </c>
      <c r="F136" s="4" t="inlineStr">
        <is>
          <t>INFERIOR</t>
        </is>
      </c>
      <c r="G136" s="4" t="n">
        <v>1</v>
      </c>
      <c r="H136" s="5" t="n">
        <v>1029636906.838174</v>
      </c>
      <c r="I136" s="5" t="n">
        <v>1029654286.159997</v>
      </c>
      <c r="J136" s="5" t="n">
        <v>49359.58</v>
      </c>
      <c r="K136" s="4" t="inlineStr">
        <is>
          <t>S</t>
        </is>
      </c>
      <c r="L136" s="4" t="inlineStr">
        <is>
          <t>2023-12-07</t>
        </is>
      </c>
      <c r="M136" s="5" t="n">
        <v>49359.58</v>
      </c>
      <c r="N136" s="5">
        <f>J136-M136</f>
        <v/>
      </c>
      <c r="O136" s="6">
        <f>IF(F136="INFERIOR",N136/J136,"")</f>
        <v/>
      </c>
      <c r="P136" s="5">
        <f>IF(F136="INFERIOR",O136*MUS_parametros!$B$18,N136)</f>
        <v/>
      </c>
      <c r="Q136" s="4" t="inlineStr">
        <is>
          <t>Documento confere com o registro</t>
        </is>
      </c>
    </row>
    <row r="137">
      <c r="A137" s="4" t="inlineStr">
        <is>
          <t>IMB-0087535</t>
        </is>
      </c>
      <c r="B137" s="4" t="inlineStr">
        <is>
          <t>MAQUINAS_EQUIPAMENTOS</t>
        </is>
      </c>
      <c r="C137" s="4" t="inlineStr">
        <is>
          <t>1.2.03.01.001</t>
        </is>
      </c>
      <c r="D137" s="4" t="inlineStr">
        <is>
          <t>JACUIPE</t>
        </is>
      </c>
      <c r="E137" s="4" t="inlineStr">
        <is>
          <t>COMPONENTE DE SONDA PROPRIA (PERFURACAO/PRODUCAO)</t>
        </is>
      </c>
      <c r="F137" s="4" t="inlineStr">
        <is>
          <t>INFERIOR</t>
        </is>
      </c>
      <c r="G137" s="4" t="n">
        <v>1</v>
      </c>
      <c r="H137" s="5" t="n">
        <v>1035369906.838174</v>
      </c>
      <c r="I137" s="5" t="n">
        <v>1035371080.989998</v>
      </c>
      <c r="J137" s="5" t="n">
        <v>57131.96</v>
      </c>
      <c r="K137" s="4" t="inlineStr">
        <is>
          <t>S</t>
        </is>
      </c>
      <c r="L137" s="4" t="inlineStr">
        <is>
          <t>2025-09-04</t>
        </is>
      </c>
      <c r="M137" s="5" t="n">
        <v>57131.96</v>
      </c>
      <c r="N137" s="5">
        <f>J137-M137</f>
        <v/>
      </c>
      <c r="O137" s="6">
        <f>IF(F137="INFERIOR",N137/J137,"")</f>
        <v/>
      </c>
      <c r="P137" s="5">
        <f>IF(F137="INFERIOR",O137*MUS_parametros!$B$18,N137)</f>
        <v/>
      </c>
      <c r="Q137" s="4" t="inlineStr">
        <is>
          <t>Documento confere com o registro</t>
        </is>
      </c>
    </row>
    <row r="138">
      <c r="A138" s="4" t="inlineStr">
        <is>
          <t>IMB-0088462</t>
        </is>
      </c>
      <c r="B138" s="4" t="inlineStr">
        <is>
          <t>DESENVOLVIMENTO_CAMPOS</t>
        </is>
      </c>
      <c r="C138" s="4" t="inlineStr">
        <is>
          <t>1.2.03.04.001</t>
        </is>
      </c>
      <c r="D138" s="4" t="inlineStr">
        <is>
          <t>TARTARUGA</t>
        </is>
      </c>
      <c r="E138" s="4" t="inlineStr">
        <is>
          <t>PERFURACAO E COMPLETACAO</t>
        </is>
      </c>
      <c r="F138" s="4" t="inlineStr">
        <is>
          <t>INFERIOR</t>
        </is>
      </c>
      <c r="G138" s="4" t="n">
        <v>1</v>
      </c>
      <c r="H138" s="5" t="n">
        <v>1041102906.838174</v>
      </c>
      <c r="I138" s="5" t="n">
        <v>1042474740.509997</v>
      </c>
      <c r="J138" s="5" t="n">
        <v>1590715.39</v>
      </c>
      <c r="K138" s="4" t="inlineStr">
        <is>
          <t>S</t>
        </is>
      </c>
      <c r="L138" s="4" t="inlineStr">
        <is>
          <t>2025-09-27</t>
        </is>
      </c>
      <c r="M138" s="5" t="n">
        <v>1590715.39</v>
      </c>
      <c r="N138" s="5">
        <f>J138-M138</f>
        <v/>
      </c>
      <c r="O138" s="6">
        <f>IF(F138="INFERIOR",N138/J138,"")</f>
        <v/>
      </c>
      <c r="P138" s="5">
        <f>IF(F138="INFERIOR",O138*MUS_parametros!$B$18,N138)</f>
        <v/>
      </c>
      <c r="Q138" s="4" t="inlineStr">
        <is>
          <t>Documento confere com o registro</t>
        </is>
      </c>
    </row>
    <row r="139">
      <c r="A139" s="4" t="inlineStr">
        <is>
          <t>IMB-0089357</t>
        </is>
      </c>
      <c r="B139" s="4" t="inlineStr">
        <is>
          <t>DESENVOLVIMENTO_CAMPOS</t>
        </is>
      </c>
      <c r="C139" s="4" t="inlineStr">
        <is>
          <t>1.2.03.04.001</t>
        </is>
      </c>
      <c r="D139" s="4" t="inlineStr">
        <is>
          <t>POT-CONC-01 (SINTETICO)</t>
        </is>
      </c>
      <c r="E139" s="4" t="inlineStr">
        <is>
          <t>PERFURACAO E COMPLETACAO</t>
        </is>
      </c>
      <c r="F139" s="4" t="inlineStr">
        <is>
          <t>INFERIOR</t>
        </is>
      </c>
      <c r="G139" s="4" t="n">
        <v>1</v>
      </c>
      <c r="H139" s="5" t="n">
        <v>1046835906.838174</v>
      </c>
      <c r="I139" s="5" t="n">
        <v>1046858330.849997</v>
      </c>
      <c r="J139" s="5" t="n">
        <v>126813.76</v>
      </c>
      <c r="K139" s="4" t="inlineStr">
        <is>
          <t>S</t>
        </is>
      </c>
      <c r="L139" s="4" t="inlineStr">
        <is>
          <t>2024-06-27</t>
        </is>
      </c>
      <c r="M139" s="5" t="n">
        <v>126813.76</v>
      </c>
      <c r="N139" s="5">
        <f>J139-M139</f>
        <v/>
      </c>
      <c r="O139" s="6">
        <f>IF(F139="INFERIOR",N139/J139,"")</f>
        <v/>
      </c>
      <c r="P139" s="5">
        <f>IF(F139="INFERIOR",O139*MUS_parametros!$B$18,N139)</f>
        <v/>
      </c>
      <c r="Q139" s="4" t="inlineStr">
        <is>
          <t>Documento confere com o registro</t>
        </is>
      </c>
    </row>
    <row r="140">
      <c r="A140" s="4" t="inlineStr">
        <is>
          <t>IMB-0090231</t>
        </is>
      </c>
      <c r="B140" s="4" t="inlineStr">
        <is>
          <t>DESENVOLVIMENTO_CAMPOS</t>
        </is>
      </c>
      <c r="C140" s="4" t="inlineStr">
        <is>
          <t>1.2.03.04.002</t>
        </is>
      </c>
      <c r="D140" s="4" t="inlineStr">
        <is>
          <t>ACAUA</t>
        </is>
      </c>
      <c r="E140" s="4" t="inlineStr">
        <is>
          <t>FRATURAMENTO / ESTIMULACAO CAPITALIZADA</t>
        </is>
      </c>
      <c r="F140" s="4" t="inlineStr">
        <is>
          <t>INFERIOR</t>
        </is>
      </c>
      <c r="G140" s="4" t="n">
        <v>1</v>
      </c>
      <c r="H140" s="5" t="n">
        <v>1052568906.838174</v>
      </c>
      <c r="I140" s="5" t="n">
        <v>1052575711.919999</v>
      </c>
      <c r="J140" s="5" t="n">
        <v>7179.72</v>
      </c>
      <c r="K140" s="4" t="inlineStr">
        <is>
          <t>S</t>
        </is>
      </c>
      <c r="L140" s="4" t="inlineStr">
        <is>
          <t>2024-06-05</t>
        </is>
      </c>
      <c r="M140" s="5" t="n">
        <v>7179.72</v>
      </c>
      <c r="N140" s="5">
        <f>J140-M140</f>
        <v/>
      </c>
      <c r="O140" s="6">
        <f>IF(F140="INFERIOR",N140/J140,"")</f>
        <v/>
      </c>
      <c r="P140" s="5">
        <f>IF(F140="INFERIOR",O140*MUS_parametros!$B$18,N140)</f>
        <v/>
      </c>
      <c r="Q140" s="4" t="inlineStr">
        <is>
          <t>Documento confere com o registro</t>
        </is>
      </c>
    </row>
    <row r="141">
      <c r="A141" s="4" t="inlineStr">
        <is>
          <t>IMB-0091084</t>
        </is>
      </c>
      <c r="B141" s="4" t="inlineStr">
        <is>
          <t>DESENVOLVIMENTO_CAMPOS</t>
        </is>
      </c>
      <c r="C141" s="4" t="inlineStr">
        <is>
          <t>1.2.03.04.001</t>
        </is>
      </c>
      <c r="D141" s="4" t="inlineStr">
        <is>
          <t>RIO SUBAUMA</t>
        </is>
      </c>
      <c r="E141" s="4" t="inlineStr">
        <is>
          <t>PERFURACAO E COMPLETACAO</t>
        </is>
      </c>
      <c r="F141" s="4" t="inlineStr">
        <is>
          <t>INFERIOR</t>
        </is>
      </c>
      <c r="G141" s="4" t="n">
        <v>1</v>
      </c>
      <c r="H141" s="5" t="n">
        <v>1058301906.838174</v>
      </c>
      <c r="I141" s="5" t="n">
        <v>1058379499.259998</v>
      </c>
      <c r="J141" s="5" t="n">
        <v>81905.39</v>
      </c>
      <c r="K141" s="4" t="inlineStr">
        <is>
          <t>S</t>
        </is>
      </c>
      <c r="L141" s="4" t="inlineStr">
        <is>
          <t>2024-11-13</t>
        </is>
      </c>
      <c r="M141" s="5" t="n">
        <v>81905.39</v>
      </c>
      <c r="N141" s="5">
        <f>J141-M141</f>
        <v/>
      </c>
      <c r="O141" s="6">
        <f>IF(F141="INFERIOR",N141/J141,"")</f>
        <v/>
      </c>
      <c r="P141" s="5">
        <f>IF(F141="INFERIOR",O141*MUS_parametros!$B$18,N141)</f>
        <v/>
      </c>
      <c r="Q141" s="4" t="inlineStr">
        <is>
          <t>Documento confere com o registro</t>
        </is>
      </c>
    </row>
    <row r="142">
      <c r="A142" s="4" t="inlineStr">
        <is>
          <t>IMB-0092033</t>
        </is>
      </c>
      <c r="B142" s="4" t="inlineStr">
        <is>
          <t>MAQUINAS_EQUIPAMENTOS</t>
        </is>
      </c>
      <c r="C142" s="4" t="inlineStr">
        <is>
          <t>1.2.03.01.001</t>
        </is>
      </c>
      <c r="D142" s="4" t="inlineStr">
        <is>
          <t>POT-CONC-19 (SINTETICO)</t>
        </is>
      </c>
      <c r="E142" s="4" t="inlineStr">
        <is>
          <t>COMPONENTE DE SONDA PROPRIA (PERFURACAO/PRODUCAO)</t>
        </is>
      </c>
      <c r="F142" s="4" t="inlineStr">
        <is>
          <t>INFERIOR</t>
        </is>
      </c>
      <c r="G142" s="4" t="n">
        <v>1</v>
      </c>
      <c r="H142" s="5" t="n">
        <v>1064034906.838174</v>
      </c>
      <c r="I142" s="5" t="n">
        <v>1064287421.829997</v>
      </c>
      <c r="J142" s="5" t="n">
        <v>272240.87</v>
      </c>
      <c r="K142" s="4" t="inlineStr">
        <is>
          <t>S</t>
        </is>
      </c>
      <c r="L142" s="4" t="inlineStr">
        <is>
          <t>2020-07-24</t>
        </is>
      </c>
      <c r="M142" s="5" t="n">
        <v>272240.87</v>
      </c>
      <c r="N142" s="5">
        <f>J142-M142</f>
        <v/>
      </c>
      <c r="O142" s="6">
        <f>IF(F142="INFERIOR",N142/J142,"")</f>
        <v/>
      </c>
      <c r="P142" s="5">
        <f>IF(F142="INFERIOR",O142*MUS_parametros!$B$18,N142)</f>
        <v/>
      </c>
      <c r="Q142" s="4" t="inlineStr">
        <is>
          <t>Documento confere com o registro</t>
        </is>
      </c>
    </row>
    <row r="143">
      <c r="A143" s="4" t="inlineStr">
        <is>
          <t>IMB-0092571</t>
        </is>
      </c>
      <c r="B143" s="4" t="inlineStr">
        <is>
          <t>DESENVOLVIMENTO_CAMPOS</t>
        </is>
      </c>
      <c r="C143" s="4" t="inlineStr">
        <is>
          <t>1.2.03.04.001</t>
        </is>
      </c>
      <c r="D143" s="4" t="inlineStr">
        <is>
          <t>TARTARUGA</t>
        </is>
      </c>
      <c r="E143" s="4" t="inlineStr">
        <is>
          <t>PERFURACAO E COMPLETACAO</t>
        </is>
      </c>
      <c r="F143" s="4" t="inlineStr">
        <is>
          <t>INFERIOR</t>
        </is>
      </c>
      <c r="G143" s="4" t="n">
        <v>1</v>
      </c>
      <c r="H143" s="5" t="n">
        <v>1069767906.838174</v>
      </c>
      <c r="I143" s="5" t="n">
        <v>1070914150.179997</v>
      </c>
      <c r="J143" s="5" t="n">
        <v>2867247.13</v>
      </c>
      <c r="K143" s="4" t="inlineStr">
        <is>
          <t>S</t>
        </is>
      </c>
      <c r="L143" s="4" t="inlineStr">
        <is>
          <t>2025-12-01</t>
        </is>
      </c>
      <c r="M143" s="5" t="n">
        <v>2867247.13</v>
      </c>
      <c r="N143" s="5">
        <f>J143-M143</f>
        <v/>
      </c>
      <c r="O143" s="6">
        <f>IF(F143="INFERIOR",N143/J143,"")</f>
        <v/>
      </c>
      <c r="P143" s="5">
        <f>IF(F143="INFERIOR",O143*MUS_parametros!$B$18,N143)</f>
        <v/>
      </c>
      <c r="Q143" s="4" t="inlineStr">
        <is>
          <t>Documento confere com o registro</t>
        </is>
      </c>
    </row>
    <row r="144">
      <c r="A144" s="4" t="inlineStr">
        <is>
          <t>IMB-0093127</t>
        </is>
      </c>
      <c r="B144" s="4" t="inlineStr">
        <is>
          <t>DESENVOLVIMENTO_CAMPOS</t>
        </is>
      </c>
      <c r="C144" s="4" t="inlineStr">
        <is>
          <t>1.2.03.04.002</t>
        </is>
      </c>
      <c r="D144" s="4" t="inlineStr">
        <is>
          <t>TARTARUGA</t>
        </is>
      </c>
      <c r="E144" s="4" t="inlineStr">
        <is>
          <t>WORKOVER / RECOMPLETACAO CAPITALIZADO</t>
        </is>
      </c>
      <c r="F144" s="4" t="inlineStr">
        <is>
          <t>INFERIOR</t>
        </is>
      </c>
      <c r="G144" s="4" t="n">
        <v>1</v>
      </c>
      <c r="H144" s="5" t="n">
        <v>1075500906.838174</v>
      </c>
      <c r="I144" s="5" t="n">
        <v>1076424284.939997</v>
      </c>
      <c r="J144" s="5" t="n">
        <v>1332676.88</v>
      </c>
      <c r="K144" s="4" t="inlineStr">
        <is>
          <t>S</t>
        </is>
      </c>
      <c r="L144" s="4" t="inlineStr">
        <is>
          <t>2025-12-25</t>
        </is>
      </c>
      <c r="M144" s="5" t="n">
        <v>1332676.88</v>
      </c>
      <c r="N144" s="5">
        <f>J144-M144</f>
        <v/>
      </c>
      <c r="O144" s="6">
        <f>IF(F144="INFERIOR",N144/J144,"")</f>
        <v/>
      </c>
      <c r="P144" s="5">
        <f>IF(F144="INFERIOR",O144*MUS_parametros!$B$18,N144)</f>
        <v/>
      </c>
      <c r="Q144" s="4" t="inlineStr">
        <is>
          <t>Documento confere com o registro</t>
        </is>
      </c>
    </row>
    <row r="145">
      <c r="A145" s="4" t="inlineStr">
        <is>
          <t>IMB-0093763</t>
        </is>
      </c>
      <c r="B145" s="4" t="inlineStr">
        <is>
          <t>DESENVOLVIMENTO_CAMPOS</t>
        </is>
      </c>
      <c r="C145" s="4" t="inlineStr">
        <is>
          <t>1.2.03.04.001</t>
        </is>
      </c>
      <c r="D145" s="4" t="inlineStr">
        <is>
          <t>TARTARUGA</t>
        </is>
      </c>
      <c r="E145" s="4" t="inlineStr">
        <is>
          <t>PERFURACAO E COMPLETACAO</t>
        </is>
      </c>
      <c r="F145" s="4" t="inlineStr">
        <is>
          <t>INFERIOR</t>
        </is>
      </c>
      <c r="G145" s="4" t="n">
        <v>1</v>
      </c>
      <c r="H145" s="5" t="n">
        <v>1081233906.838174</v>
      </c>
      <c r="I145" s="5" t="n">
        <v>1081780276.889997</v>
      </c>
      <c r="J145" s="5" t="n">
        <v>642013.74</v>
      </c>
      <c r="K145" s="4" t="inlineStr">
        <is>
          <t>S</t>
        </is>
      </c>
      <c r="L145" s="4" t="inlineStr">
        <is>
          <t>2025-06-26</t>
        </is>
      </c>
      <c r="M145" s="5" t="n">
        <v>642013.74</v>
      </c>
      <c r="N145" s="5">
        <f>J145-M145</f>
        <v/>
      </c>
      <c r="O145" s="6">
        <f>IF(F145="INFERIOR",N145/J145,"")</f>
        <v/>
      </c>
      <c r="P145" s="5">
        <f>IF(F145="INFERIOR",O145*MUS_parametros!$B$18,N145)</f>
        <v/>
      </c>
      <c r="Q145" s="4" t="inlineStr">
        <is>
          <t>Documento confere com o registro</t>
        </is>
      </c>
    </row>
    <row r="146">
      <c r="A146" s="4" t="inlineStr">
        <is>
          <t>IMB-0094240</t>
        </is>
      </c>
      <c r="B146" s="4" t="inlineStr">
        <is>
          <t>MAQUINAS_EQUIPAMENTOS</t>
        </is>
      </c>
      <c r="C146" s="4" t="inlineStr">
        <is>
          <t>1.2.03.01.004</t>
        </is>
      </c>
      <c r="D146" s="4" t="inlineStr">
        <is>
          <t>UPGN GUAMARE</t>
        </is>
      </c>
      <c r="E146" s="4" t="inlineStr">
        <is>
          <t>UTILIDADES E INSTRUMENTACAO</t>
        </is>
      </c>
      <c r="F146" s="4" t="inlineStr">
        <is>
          <t>INFERIOR</t>
        </is>
      </c>
      <c r="G146" s="4" t="n">
        <v>1</v>
      </c>
      <c r="H146" s="5" t="n">
        <v>1086966906.838174</v>
      </c>
      <c r="I146" s="5" t="n">
        <v>1087065416.139998</v>
      </c>
      <c r="J146" s="5" t="n">
        <v>350482.96</v>
      </c>
      <c r="K146" s="4" t="inlineStr">
        <is>
          <t>S</t>
        </is>
      </c>
      <c r="L146" s="4" t="inlineStr">
        <is>
          <t>2025-09-30</t>
        </is>
      </c>
      <c r="M146" s="5" t="n">
        <v>350482.96</v>
      </c>
      <c r="N146" s="5">
        <f>J146-M146</f>
        <v/>
      </c>
      <c r="O146" s="6">
        <f>IF(F146="INFERIOR",N146/J146,"")</f>
        <v/>
      </c>
      <c r="P146" s="5">
        <f>IF(F146="INFERIOR",O146*MUS_parametros!$B$18,N146)</f>
        <v/>
      </c>
      <c r="Q146" s="4" t="inlineStr">
        <is>
          <t>Documento confere com o registro</t>
        </is>
      </c>
    </row>
    <row r="147">
      <c r="A147" s="4" t="inlineStr">
        <is>
          <t>IMB-0095069</t>
        </is>
      </c>
      <c r="B147" s="4" t="inlineStr">
        <is>
          <t>DESENVOLVIMENTO_CAMPOS</t>
        </is>
      </c>
      <c r="C147" s="4" t="inlineStr">
        <is>
          <t>1.2.03.04.001</t>
        </is>
      </c>
      <c r="D147" s="4" t="inlineStr">
        <is>
          <t>MATA DE SAO JOAO</t>
        </is>
      </c>
      <c r="E147" s="4" t="inlineStr">
        <is>
          <t>PERFURACAO E COMPLETACAO</t>
        </is>
      </c>
      <c r="F147" s="4" t="inlineStr">
        <is>
          <t>INFERIOR</t>
        </is>
      </c>
      <c r="G147" s="4" t="n">
        <v>1</v>
      </c>
      <c r="H147" s="5" t="n">
        <v>1092699906.838174</v>
      </c>
      <c r="I147" s="5" t="n">
        <v>1092853783.929994</v>
      </c>
      <c r="J147" s="5" t="n">
        <v>246859.68</v>
      </c>
      <c r="K147" s="4" t="inlineStr">
        <is>
          <t>S</t>
        </is>
      </c>
      <c r="L147" s="4" t="inlineStr">
        <is>
          <t>2024-05-02</t>
        </is>
      </c>
      <c r="M147" s="5" t="n">
        <v>246859.68</v>
      </c>
      <c r="N147" s="5">
        <f>J147-M147</f>
        <v/>
      </c>
      <c r="O147" s="6">
        <f>IF(F147="INFERIOR",N147/J147,"")</f>
        <v/>
      </c>
      <c r="P147" s="5">
        <f>IF(F147="INFERIOR",O147*MUS_parametros!$B$18,N147)</f>
        <v/>
      </c>
      <c r="Q147" s="4" t="inlineStr">
        <is>
          <t>Documento confere com o registro</t>
        </is>
      </c>
    </row>
    <row r="148">
      <c r="A148" s="4" t="inlineStr">
        <is>
          <t>IMB-0095775</t>
        </is>
      </c>
      <c r="B148" s="4" t="inlineStr">
        <is>
          <t>DESENVOLVIMENTO_CAMPOS</t>
        </is>
      </c>
      <c r="C148" s="4" t="inlineStr">
        <is>
          <t>1.2.03.04.001</t>
        </is>
      </c>
      <c r="D148" s="4" t="inlineStr">
        <is>
          <t>JACUIPE</t>
        </is>
      </c>
      <c r="E148" s="4" t="inlineStr">
        <is>
          <t>PERFURACAO E COMPLETACAO</t>
        </is>
      </c>
      <c r="F148" s="4" t="inlineStr">
        <is>
          <t>INFERIOR</t>
        </is>
      </c>
      <c r="G148" s="4" t="n">
        <v>1</v>
      </c>
      <c r="H148" s="5" t="n">
        <v>1098432906.838174</v>
      </c>
      <c r="I148" s="5" t="n">
        <v>1098514958.639995</v>
      </c>
      <c r="J148" s="5" t="n">
        <v>719977.22</v>
      </c>
      <c r="K148" s="4" t="inlineStr">
        <is>
          <t>S</t>
        </is>
      </c>
      <c r="L148" s="4" t="inlineStr">
        <is>
          <t>2025-01-08</t>
        </is>
      </c>
      <c r="M148" s="5" t="n">
        <v>719977.22</v>
      </c>
      <c r="N148" s="5">
        <f>J148-M148</f>
        <v/>
      </c>
      <c r="O148" s="6">
        <f>IF(F148="INFERIOR",N148/J148,"")</f>
        <v/>
      </c>
      <c r="P148" s="5">
        <f>IF(F148="INFERIOR",O148*MUS_parametros!$B$18,N148)</f>
        <v/>
      </c>
      <c r="Q148" s="4" t="inlineStr">
        <is>
          <t>Documento confere com o registro</t>
        </is>
      </c>
    </row>
    <row r="149">
      <c r="A149" s="4" t="inlineStr">
        <is>
          <t>IMB-0096569</t>
        </is>
      </c>
      <c r="B149" s="4" t="inlineStr">
        <is>
          <t>ALMOXARIFADO_INVERSOES_FIXAS</t>
        </is>
      </c>
      <c r="C149" s="4" t="inlineStr">
        <is>
          <t>1.2.03.07.002</t>
        </is>
      </c>
      <c r="D149" s="4" t="inlineStr">
        <is>
          <t>JACUIPE</t>
        </is>
      </c>
      <c r="E149" s="4" t="inlineStr">
        <is>
          <t>BOMBA DE FUNDO EM ESTOQUE</t>
        </is>
      </c>
      <c r="F149" s="4" t="inlineStr">
        <is>
          <t>INFERIOR</t>
        </is>
      </c>
      <c r="G149" s="4" t="n">
        <v>1</v>
      </c>
      <c r="H149" s="5" t="n">
        <v>1104165906.838174</v>
      </c>
      <c r="I149" s="5" t="n">
        <v>1104166396.819994</v>
      </c>
      <c r="J149" s="5" t="n">
        <v>1054.6</v>
      </c>
      <c r="K149" s="4" t="inlineStr">
        <is>
          <t>S</t>
        </is>
      </c>
      <c r="L149" s="4" t="inlineStr">
        <is>
          <t>2025-09-18</t>
        </is>
      </c>
      <c r="M149" s="5" t="n">
        <v>1054.6</v>
      </c>
      <c r="N149" s="5">
        <f>J149-M149</f>
        <v/>
      </c>
      <c r="O149" s="6">
        <f>IF(F149="INFERIOR",N149/J149,"")</f>
        <v/>
      </c>
      <c r="P149" s="5">
        <f>IF(F149="INFERIOR",O149*MUS_parametros!$B$18,N149)</f>
        <v/>
      </c>
      <c r="Q149" s="4" t="inlineStr">
        <is>
          <t>Documento confere com o registro</t>
        </is>
      </c>
    </row>
    <row r="150">
      <c r="A150" s="4" t="inlineStr">
        <is>
          <t>IMB-0097235</t>
        </is>
      </c>
      <c r="B150" s="4" t="inlineStr">
        <is>
          <t>OUTROS</t>
        </is>
      </c>
      <c r="C150" s="4" t="inlineStr">
        <is>
          <t>1.2.03.09.002</t>
        </is>
      </c>
      <c r="D150" s="4" t="inlineStr">
        <is>
          <t>POT-CONC-01 (SINTETICO)</t>
        </is>
      </c>
      <c r="E150" s="4" t="inlineStr">
        <is>
          <t>EDIFICACAO / BENFEITORIA</t>
        </is>
      </c>
      <c r="F150" s="4" t="inlineStr">
        <is>
          <t>INFERIOR</t>
        </is>
      </c>
      <c r="G150" s="4" t="n">
        <v>1</v>
      </c>
      <c r="H150" s="5" t="n">
        <v>1109898906.838174</v>
      </c>
      <c r="I150" s="5" t="n">
        <v>1109931207.659993</v>
      </c>
      <c r="J150" s="5" t="n">
        <v>47159.44</v>
      </c>
      <c r="K150" s="4" t="inlineStr">
        <is>
          <t>S</t>
        </is>
      </c>
      <c r="L150" s="4" t="inlineStr">
        <is>
          <t>2011-01-24</t>
        </is>
      </c>
      <c r="M150" s="5" t="n">
        <v>47159.44</v>
      </c>
      <c r="N150" s="5">
        <f>J150-M150</f>
        <v/>
      </c>
      <c r="O150" s="6">
        <f>IF(F150="INFERIOR",N150/J150,"")</f>
        <v/>
      </c>
      <c r="P150" s="5">
        <f>IF(F150="INFERIOR",O150*MUS_parametros!$B$18,N150)</f>
        <v/>
      </c>
      <c r="Q150" s="4" t="inlineStr">
        <is>
          <t>Documento confere com o registro</t>
        </is>
      </c>
    </row>
    <row r="151">
      <c r="A151" s="4" t="inlineStr">
        <is>
          <t>IMB-0097951</t>
        </is>
      </c>
      <c r="B151" s="4" t="inlineStr">
        <is>
          <t>DESENVOLVIMENTO_CAMPOS</t>
        </is>
      </c>
      <c r="C151" s="4" t="inlineStr">
        <is>
          <t>1.2.03.04.001</t>
        </is>
      </c>
      <c r="D151" s="4" t="inlineStr">
        <is>
          <t>FAZENDA ONCA</t>
        </is>
      </c>
      <c r="E151" s="4" t="inlineStr">
        <is>
          <t>PERFURACAO E COMPLETACAO</t>
        </is>
      </c>
      <c r="F151" s="4" t="inlineStr">
        <is>
          <t>INFERIOR</t>
        </is>
      </c>
      <c r="G151" s="4" t="n">
        <v>1</v>
      </c>
      <c r="H151" s="5" t="n">
        <v>1115631906.838174</v>
      </c>
      <c r="I151" s="5" t="n">
        <v>1115775367.869993</v>
      </c>
      <c r="J151" s="5" t="n">
        <v>179336.44</v>
      </c>
      <c r="K151" s="4" t="inlineStr">
        <is>
          <t>S</t>
        </is>
      </c>
      <c r="L151" s="4" t="inlineStr">
        <is>
          <t>2025-04-28</t>
        </is>
      </c>
      <c r="M151" s="5" t="n">
        <v>179336.44</v>
      </c>
      <c r="N151" s="5">
        <f>J151-M151</f>
        <v/>
      </c>
      <c r="O151" s="6">
        <f>IF(F151="INFERIOR",N151/J151,"")</f>
        <v/>
      </c>
      <c r="P151" s="5">
        <f>IF(F151="INFERIOR",O151*MUS_parametros!$B$18,N151)</f>
        <v/>
      </c>
      <c r="Q151" s="4" t="inlineStr">
        <is>
          <t>Documento confere com o registro</t>
        </is>
      </c>
    </row>
    <row r="152">
      <c r="A152" s="4" t="inlineStr">
        <is>
          <t>IMB-0098518</t>
        </is>
      </c>
      <c r="B152" s="4" t="inlineStr">
        <is>
          <t>DESENVOLVIMENTO_CAMPOS</t>
        </is>
      </c>
      <c r="C152" s="4" t="inlineStr">
        <is>
          <t>1.2.03.04.002</t>
        </is>
      </c>
      <c r="D152" s="4" t="inlineStr">
        <is>
          <t>POT-CONC-12 (SINTETICO)</t>
        </is>
      </c>
      <c r="E152" s="4" t="inlineStr">
        <is>
          <t>WORKOVER / RECOMPLETACAO CAPITALIZADO</t>
        </is>
      </c>
      <c r="F152" s="4" t="inlineStr">
        <is>
          <t>INFERIOR</t>
        </is>
      </c>
      <c r="G152" s="4" t="n">
        <v>1</v>
      </c>
      <c r="H152" s="5" t="n">
        <v>1121364906.838174</v>
      </c>
      <c r="I152" s="5" t="n">
        <v>1121372085.669991</v>
      </c>
      <c r="J152" s="5" t="n">
        <v>7429.32</v>
      </c>
      <c r="K152" s="4" t="inlineStr">
        <is>
          <t>S</t>
        </is>
      </c>
      <c r="L152" s="4" t="inlineStr">
        <is>
          <t>2025-03-29</t>
        </is>
      </c>
      <c r="M152" s="5" t="n">
        <v>7429.32</v>
      </c>
      <c r="N152" s="5">
        <f>J152-M152</f>
        <v/>
      </c>
      <c r="O152" s="6">
        <f>IF(F152="INFERIOR",N152/J152,"")</f>
        <v/>
      </c>
      <c r="P152" s="5">
        <f>IF(F152="INFERIOR",O152*MUS_parametros!$B$18,N152)</f>
        <v/>
      </c>
      <c r="Q152" s="4" t="inlineStr">
        <is>
          <t>Documento confere com o registro</t>
        </is>
      </c>
    </row>
    <row r="153">
      <c r="A153" s="4" t="inlineStr">
        <is>
          <t>IMB-0099223</t>
        </is>
      </c>
      <c r="B153" s="4" t="inlineStr">
        <is>
          <t>DESENVOLVIMENTO_CAMPOS</t>
        </is>
      </c>
      <c r="C153" s="4" t="inlineStr">
        <is>
          <t>1.2.03.04.001</t>
        </is>
      </c>
      <c r="D153" s="4" t="inlineStr">
        <is>
          <t>POT-CONC-12 (SINTETICO)</t>
        </is>
      </c>
      <c r="E153" s="4" t="inlineStr">
        <is>
          <t>PERFURACAO E COMPLETACAO</t>
        </is>
      </c>
      <c r="F153" s="4" t="inlineStr">
        <is>
          <t>INFERIOR</t>
        </is>
      </c>
      <c r="G153" s="4" t="n">
        <v>1</v>
      </c>
      <c r="H153" s="5" t="n">
        <v>1127097906.838174</v>
      </c>
      <c r="I153" s="5" t="n">
        <v>1127105970.369992</v>
      </c>
      <c r="J153" s="5" t="n">
        <v>15478.66</v>
      </c>
      <c r="K153" s="4" t="inlineStr">
        <is>
          <t>S</t>
        </is>
      </c>
      <c r="L153" s="4" t="inlineStr">
        <is>
          <t>2025-10-29</t>
        </is>
      </c>
      <c r="M153" s="5" t="n">
        <v>15478.66</v>
      </c>
      <c r="N153" s="5">
        <f>J153-M153</f>
        <v/>
      </c>
      <c r="O153" s="6">
        <f>IF(F153="INFERIOR",N153/J153,"")</f>
        <v/>
      </c>
      <c r="P153" s="5">
        <f>IF(F153="INFERIOR",O153*MUS_parametros!$B$18,N153)</f>
        <v/>
      </c>
      <c r="Q153" s="4" t="inlineStr">
        <is>
          <t>Documento confere com o registro</t>
        </is>
      </c>
    </row>
    <row r="154">
      <c r="A154" s="4" t="inlineStr">
        <is>
          <t>IMB-0100117</t>
        </is>
      </c>
      <c r="B154" s="4" t="inlineStr">
        <is>
          <t>ALMOXARIFADO_INVERSOES_FIXAS</t>
        </is>
      </c>
      <c r="C154" s="4" t="inlineStr">
        <is>
          <t>1.2.03.07.002</t>
        </is>
      </c>
      <c r="D154" s="4" t="inlineStr">
        <is>
          <t>BIRIBA</t>
        </is>
      </c>
      <c r="E154" s="4" t="inlineStr">
        <is>
          <t>HASTE DE BOMBEIO (LOTE)</t>
        </is>
      </c>
      <c r="F154" s="4" t="inlineStr">
        <is>
          <t>INFERIOR</t>
        </is>
      </c>
      <c r="G154" s="4" t="n">
        <v>1</v>
      </c>
      <c r="H154" s="5" t="n">
        <v>1132830906.838174</v>
      </c>
      <c r="I154" s="5" t="n">
        <v>1132831454.169993</v>
      </c>
      <c r="J154" s="5" t="n">
        <v>1967.32</v>
      </c>
      <c r="K154" s="4" t="inlineStr">
        <is>
          <t>S</t>
        </is>
      </c>
      <c r="L154" s="4" t="inlineStr">
        <is>
          <t>2022-12-22</t>
        </is>
      </c>
      <c r="M154" s="5" t="n">
        <v>1967.32</v>
      </c>
      <c r="N154" s="5">
        <f>J154-M154</f>
        <v/>
      </c>
      <c r="O154" s="6">
        <f>IF(F154="INFERIOR",N154/J154,"")</f>
        <v/>
      </c>
      <c r="P154" s="5">
        <f>IF(F154="INFERIOR",O154*MUS_parametros!$B$18,N154)</f>
        <v/>
      </c>
      <c r="Q154" s="4" t="inlineStr">
        <is>
          <t>Documento confere com o registro</t>
        </is>
      </c>
    </row>
    <row r="155">
      <c r="A155" s="4" t="inlineStr">
        <is>
          <t>IMB-0100831</t>
        </is>
      </c>
      <c r="B155" s="4" t="inlineStr">
        <is>
          <t>MAQUINAS_EQUIPAMENTOS</t>
        </is>
      </c>
      <c r="C155" s="4" t="inlineStr">
        <is>
          <t>1.2.03.01.003</t>
        </is>
      </c>
      <c r="D155" s="4" t="inlineStr">
        <is>
          <t>PAJEU</t>
        </is>
      </c>
      <c r="E155" s="4" t="inlineStr">
        <is>
          <t>COMPRESSOR/SEPARADOR/TANQUE/FACILITY</t>
        </is>
      </c>
      <c r="F155" s="4" t="inlineStr">
        <is>
          <t>INFERIOR</t>
        </is>
      </c>
      <c r="G155" s="4" t="n">
        <v>1</v>
      </c>
      <c r="H155" s="5" t="n">
        <v>1138563906.838174</v>
      </c>
      <c r="I155" s="5" t="n">
        <v>1138574121.019993</v>
      </c>
      <c r="J155" s="5" t="n">
        <v>55393.62</v>
      </c>
      <c r="K155" s="4" t="inlineStr">
        <is>
          <t>S</t>
        </is>
      </c>
      <c r="L155" s="4" t="inlineStr">
        <is>
          <t>2023-06-12</t>
        </is>
      </c>
      <c r="M155" s="5" t="n">
        <v>55393.62</v>
      </c>
      <c r="N155" s="5">
        <f>J155-M155</f>
        <v/>
      </c>
      <c r="O155" s="6">
        <f>IF(F155="INFERIOR",N155/J155,"")</f>
        <v/>
      </c>
      <c r="P155" s="5">
        <f>IF(F155="INFERIOR",O155*MUS_parametros!$B$18,N155)</f>
        <v/>
      </c>
      <c r="Q155" s="4" t="inlineStr">
        <is>
          <t>Documento confere com o registro</t>
        </is>
      </c>
    </row>
    <row r="156">
      <c r="A156" s="4" t="inlineStr">
        <is>
          <t>IMB-0101660</t>
        </is>
      </c>
      <c r="B156" s="4" t="inlineStr">
        <is>
          <t>DESENVOLVIMENTO_CAMPOS</t>
        </is>
      </c>
      <c r="C156" s="4" t="inlineStr">
        <is>
          <t>1.2.03.04.001</t>
        </is>
      </c>
      <c r="D156" s="4" t="inlineStr">
        <is>
          <t>POT-CONC-20 (SINTETICO)</t>
        </is>
      </c>
      <c r="E156" s="4" t="inlineStr">
        <is>
          <t>PERFURACAO E COMPLETACAO</t>
        </is>
      </c>
      <c r="F156" s="4" t="inlineStr">
        <is>
          <t>INFERIOR</t>
        </is>
      </c>
      <c r="G156" s="4" t="n">
        <v>1</v>
      </c>
      <c r="H156" s="5" t="n">
        <v>1144296906.838174</v>
      </c>
      <c r="I156" s="5" t="n">
        <v>1144383752.399995</v>
      </c>
      <c r="J156" s="5" t="n">
        <v>188970.42</v>
      </c>
      <c r="K156" s="4" t="inlineStr">
        <is>
          <t>S</t>
        </is>
      </c>
      <c r="L156" s="4" t="inlineStr">
        <is>
          <t>2025-12-18</t>
        </is>
      </c>
      <c r="M156" s="5" t="n">
        <v>188970.42</v>
      </c>
      <c r="N156" s="5">
        <f>J156-M156</f>
        <v/>
      </c>
      <c r="O156" s="6">
        <f>IF(F156="INFERIOR",N156/J156,"")</f>
        <v/>
      </c>
      <c r="P156" s="5">
        <f>IF(F156="INFERIOR",O156*MUS_parametros!$B$18,N156)</f>
        <v/>
      </c>
      <c r="Q156" s="4" t="inlineStr">
        <is>
          <t>Documento confere com o registro</t>
        </is>
      </c>
    </row>
    <row r="157">
      <c r="A157" s="4" t="inlineStr">
        <is>
          <t>IMB-0102215</t>
        </is>
      </c>
      <c r="B157" s="4" t="inlineStr">
        <is>
          <t>DESENVOLVIMENTO_CAMPOS</t>
        </is>
      </c>
      <c r="C157" s="4" t="inlineStr">
        <is>
          <t>1.2.03.04.001</t>
        </is>
      </c>
      <c r="D157" s="4" t="inlineStr">
        <is>
          <t>FAZENDA BELEM</t>
        </is>
      </c>
      <c r="E157" s="4" t="inlineStr">
        <is>
          <t>PERFURACAO E COMPLETACAO</t>
        </is>
      </c>
      <c r="F157" s="4" t="inlineStr">
        <is>
          <t>INFERIOR</t>
        </is>
      </c>
      <c r="G157" s="4" t="n">
        <v>1</v>
      </c>
      <c r="H157" s="5" t="n">
        <v>1150029906.838174</v>
      </c>
      <c r="I157" s="5" t="n">
        <v>1150060767.44999</v>
      </c>
      <c r="J157" s="5" t="n">
        <v>447725.41</v>
      </c>
      <c r="K157" s="4" t="inlineStr">
        <is>
          <t>S</t>
        </is>
      </c>
      <c r="L157" s="4" t="inlineStr">
        <is>
          <t>2024-11-29</t>
        </is>
      </c>
      <c r="M157" s="5" t="n">
        <v>447725.41</v>
      </c>
      <c r="N157" s="5">
        <f>J157-M157</f>
        <v/>
      </c>
      <c r="O157" s="6">
        <f>IF(F157="INFERIOR",N157/J157,"")</f>
        <v/>
      </c>
      <c r="P157" s="5">
        <f>IF(F157="INFERIOR",O157*MUS_parametros!$B$18,N157)</f>
        <v/>
      </c>
      <c r="Q157" s="4" t="inlineStr">
        <is>
          <t>Documento confere com o registro</t>
        </is>
      </c>
    </row>
    <row r="158">
      <c r="A158" s="4" t="inlineStr">
        <is>
          <t>IMB-0102957</t>
        </is>
      </c>
      <c r="B158" s="4" t="inlineStr">
        <is>
          <t>ALMOXARIFADO_INVERSOES_FIXAS</t>
        </is>
      </c>
      <c r="C158" s="4" t="inlineStr">
        <is>
          <t>1.2.03.07.001</t>
        </is>
      </c>
      <c r="D158" s="4" t="inlineStr">
        <is>
          <t>FAZENDA ONCA</t>
        </is>
      </c>
      <c r="E158" s="4" t="inlineStr">
        <is>
          <t>TUBO DE REVESTIMENTO/PRODUCAO (LOTE)</t>
        </is>
      </c>
      <c r="F158" s="4" t="inlineStr">
        <is>
          <t>INFERIOR</t>
        </is>
      </c>
      <c r="G158" s="4" t="n">
        <v>1</v>
      </c>
      <c r="H158" s="5" t="n">
        <v>1155762906.838174</v>
      </c>
      <c r="I158" s="5" t="n">
        <v>1155763890.959994</v>
      </c>
      <c r="J158" s="5" t="n">
        <v>1613.53</v>
      </c>
      <c r="K158" s="4" t="inlineStr">
        <is>
          <t>S</t>
        </is>
      </c>
      <c r="L158" s="4" t="inlineStr">
        <is>
          <t>2022-03-10</t>
        </is>
      </c>
      <c r="M158" s="5" t="n">
        <v>1613.53</v>
      </c>
      <c r="N158" s="5">
        <f>J158-M158</f>
        <v/>
      </c>
      <c r="O158" s="6">
        <f>IF(F158="INFERIOR",N158/J158,"")</f>
        <v/>
      </c>
      <c r="P158" s="5">
        <f>IF(F158="INFERIOR",O158*MUS_parametros!$B$18,N158)</f>
        <v/>
      </c>
      <c r="Q158" s="4" t="inlineStr">
        <is>
          <t>Documento confere com o registro</t>
        </is>
      </c>
    </row>
    <row r="159">
      <c r="A159" s="4" t="inlineStr">
        <is>
          <t>IMB-0103400</t>
        </is>
      </c>
      <c r="B159" s="4" t="inlineStr">
        <is>
          <t>DESENVOLVIMENTO_CAMPOS</t>
        </is>
      </c>
      <c r="C159" s="4" t="inlineStr">
        <is>
          <t>1.2.03.04.002</t>
        </is>
      </c>
      <c r="D159" s="4" t="inlineStr">
        <is>
          <t>POT-CONC-01 (SINTETICO)</t>
        </is>
      </c>
      <c r="E159" s="4" t="inlineStr">
        <is>
          <t>WORKOVER / RECOMPLETACAO CAPITALIZADO</t>
        </is>
      </c>
      <c r="F159" s="4" t="inlineStr">
        <is>
          <t>INFERIOR</t>
        </is>
      </c>
      <c r="G159" s="4" t="n">
        <v>1</v>
      </c>
      <c r="H159" s="5" t="n">
        <v>1161495906.838174</v>
      </c>
      <c r="I159" s="5" t="n">
        <v>1161497589.229992</v>
      </c>
      <c r="J159" s="5" t="n">
        <v>1971.19</v>
      </c>
      <c r="K159" s="4" t="inlineStr">
        <is>
          <t>S</t>
        </is>
      </c>
      <c r="L159" s="4" t="inlineStr">
        <is>
          <t>2022-04-15</t>
        </is>
      </c>
      <c r="M159" s="5" t="n">
        <v>1971.19</v>
      </c>
      <c r="N159" s="5">
        <f>J159-M159</f>
        <v/>
      </c>
      <c r="O159" s="6">
        <f>IF(F159="INFERIOR",N159/J159,"")</f>
        <v/>
      </c>
      <c r="P159" s="5">
        <f>IF(F159="INFERIOR",O159*MUS_parametros!$B$18,N159)</f>
        <v/>
      </c>
      <c r="Q159" s="4" t="inlineStr">
        <is>
          <t>Documento confere com o registro</t>
        </is>
      </c>
    </row>
    <row r="160">
      <c r="A160" s="4" t="inlineStr">
        <is>
          <t>IMB-0104085</t>
        </is>
      </c>
      <c r="B160" s="4" t="inlineStr">
        <is>
          <t>DESENVOLVIMENTO_CAMPOS</t>
        </is>
      </c>
      <c r="C160" s="4" t="inlineStr">
        <is>
          <t>1.2.03.04.001</t>
        </is>
      </c>
      <c r="D160" s="4" t="inlineStr">
        <is>
          <t>POT-CONC-01 (SINTETICO)</t>
        </is>
      </c>
      <c r="E160" s="4" t="inlineStr">
        <is>
          <t>PERFURACAO E COMPLETACAO</t>
        </is>
      </c>
      <c r="F160" s="4" t="inlineStr">
        <is>
          <t>INFERIOR</t>
        </is>
      </c>
      <c r="G160" s="4" t="n">
        <v>1</v>
      </c>
      <c r="H160" s="5" t="n">
        <v>1167228906.838174</v>
      </c>
      <c r="I160" s="5" t="n">
        <v>1167367054.189989</v>
      </c>
      <c r="J160" s="5" t="n">
        <v>157289.41</v>
      </c>
      <c r="K160" s="4" t="inlineStr">
        <is>
          <t>S</t>
        </is>
      </c>
      <c r="L160" s="4" t="inlineStr">
        <is>
          <t>2024-07-18</t>
        </is>
      </c>
      <c r="M160" s="5" t="n">
        <v>157289.41</v>
      </c>
      <c r="N160" s="5">
        <f>J160-M160</f>
        <v/>
      </c>
      <c r="O160" s="6">
        <f>IF(F160="INFERIOR",N160/J160,"")</f>
        <v/>
      </c>
      <c r="P160" s="5">
        <f>IF(F160="INFERIOR",O160*MUS_parametros!$B$18,N160)</f>
        <v/>
      </c>
      <c r="Q160" s="4" t="inlineStr">
        <is>
          <t>Documento confere com o registro</t>
        </is>
      </c>
    </row>
    <row r="161">
      <c r="A161" s="4" t="inlineStr">
        <is>
          <t>IMB-0105178</t>
        </is>
      </c>
      <c r="B161" s="4" t="inlineStr">
        <is>
          <t>DESENVOLVIMENTO_CAMPOS</t>
        </is>
      </c>
      <c r="C161" s="4" t="inlineStr">
        <is>
          <t>1.2.03.04.003</t>
        </is>
      </c>
      <c r="D161" s="4" t="inlineStr">
        <is>
          <t>REMANSO</t>
        </is>
      </c>
      <c r="E161" s="4" t="inlineStr">
        <is>
          <t>COLUNA DE PRODUCAO E HASTES</t>
        </is>
      </c>
      <c r="F161" s="4" t="inlineStr">
        <is>
          <t>INFERIOR</t>
        </is>
      </c>
      <c r="G161" s="4" t="n">
        <v>1</v>
      </c>
      <c r="H161" s="5" t="n">
        <v>1172961906.838174</v>
      </c>
      <c r="I161" s="5" t="n">
        <v>1172963094.299991</v>
      </c>
      <c r="J161" s="5" t="n">
        <v>2030.25</v>
      </c>
      <c r="K161" s="4" t="inlineStr">
        <is>
          <t>S</t>
        </is>
      </c>
      <c r="L161" s="4" t="inlineStr">
        <is>
          <t>2025-12-15</t>
        </is>
      </c>
      <c r="M161" s="5" t="n">
        <v>2030.25</v>
      </c>
      <c r="N161" s="5">
        <f>J161-M161</f>
        <v/>
      </c>
      <c r="O161" s="6">
        <f>IF(F161="INFERIOR",N161/J161,"")</f>
        <v/>
      </c>
      <c r="P161" s="5">
        <f>IF(F161="INFERIOR",O161*MUS_parametros!$B$18,N161)</f>
        <v/>
      </c>
      <c r="Q161" s="4" t="inlineStr">
        <is>
          <t>Documento confere com o registro</t>
        </is>
      </c>
    </row>
    <row r="162">
      <c r="A162" s="4" t="inlineStr">
        <is>
          <t>IMB-0105896</t>
        </is>
      </c>
      <c r="B162" s="4" t="inlineStr">
        <is>
          <t>MAQUINAS_EQUIPAMENTOS</t>
        </is>
      </c>
      <c r="C162" s="4" t="inlineStr">
        <is>
          <t>1.2.03.01.002</t>
        </is>
      </c>
      <c r="D162" s="4" t="inlineStr">
        <is>
          <t>SUSSUARANA</t>
        </is>
      </c>
      <c r="E162" s="4" t="inlineStr">
        <is>
          <t>UNIDADE DE BOMBEIO MECANICO</t>
        </is>
      </c>
      <c r="F162" s="4" t="inlineStr">
        <is>
          <t>INFERIOR</t>
        </is>
      </c>
      <c r="G162" s="4" t="n">
        <v>1</v>
      </c>
      <c r="H162" s="5" t="n">
        <v>1178694906.838174</v>
      </c>
      <c r="I162" s="5" t="n">
        <v>1178696432.199992</v>
      </c>
      <c r="J162" s="5" t="n">
        <v>11338.47</v>
      </c>
      <c r="K162" s="4" t="inlineStr">
        <is>
          <t>S</t>
        </is>
      </c>
      <c r="L162" s="4" t="inlineStr">
        <is>
          <t>2025-11-13</t>
        </is>
      </c>
      <c r="M162" s="5" t="n">
        <v>11338.47</v>
      </c>
      <c r="N162" s="5">
        <f>J162-M162</f>
        <v/>
      </c>
      <c r="O162" s="6">
        <f>IF(F162="INFERIOR",N162/J162,"")</f>
        <v/>
      </c>
      <c r="P162" s="5">
        <f>IF(F162="INFERIOR",O162*MUS_parametros!$B$18,N162)</f>
        <v/>
      </c>
      <c r="Q162" s="4" t="inlineStr">
        <is>
          <t>Documento confere com o registro</t>
        </is>
      </c>
    </row>
    <row r="163">
      <c r="A163" s="4" t="inlineStr">
        <is>
          <t>IMB-0106588</t>
        </is>
      </c>
      <c r="B163" s="4" t="inlineStr">
        <is>
          <t>DESENVOLVIMENTO_CAMPOS</t>
        </is>
      </c>
      <c r="C163" s="4" t="inlineStr">
        <is>
          <t>1.2.03.04.001</t>
        </is>
      </c>
      <c r="D163" s="4" t="inlineStr">
        <is>
          <t>MATA DE SAO JOAO</t>
        </is>
      </c>
      <c r="E163" s="4" t="inlineStr">
        <is>
          <t>PERFURACAO E COMPLETACAO</t>
        </is>
      </c>
      <c r="F163" s="4" t="inlineStr">
        <is>
          <t>INFERIOR</t>
        </is>
      </c>
      <c r="G163" s="4" t="n">
        <v>1</v>
      </c>
      <c r="H163" s="5" t="n">
        <v>1184427906.838174</v>
      </c>
      <c r="I163" s="5" t="n">
        <v>1184477784.879992</v>
      </c>
      <c r="J163" s="5" t="n">
        <v>57036.7</v>
      </c>
      <c r="K163" s="4" t="inlineStr">
        <is>
          <t>S</t>
        </is>
      </c>
      <c r="L163" s="4" t="inlineStr">
        <is>
          <t>2024-05-12</t>
        </is>
      </c>
      <c r="M163" s="5" t="n">
        <v>57036.7</v>
      </c>
      <c r="N163" s="5">
        <f>J163-M163</f>
        <v/>
      </c>
      <c r="O163" s="6">
        <f>IF(F163="INFERIOR",N163/J163,"")</f>
        <v/>
      </c>
      <c r="P163" s="5">
        <f>IF(F163="INFERIOR",O163*MUS_parametros!$B$18,N163)</f>
        <v/>
      </c>
      <c r="Q163" s="4" t="inlineStr">
        <is>
          <t>Documento confere com o registro</t>
        </is>
      </c>
    </row>
    <row r="164">
      <c r="A164" s="4" t="inlineStr">
        <is>
          <t>IMB-0107555</t>
        </is>
      </c>
      <c r="B164" s="4" t="inlineStr">
        <is>
          <t>DESENVOLVIMENTO_CAMPOS</t>
        </is>
      </c>
      <c r="C164" s="4" t="inlineStr">
        <is>
          <t>1.2.03.04.001</t>
        </is>
      </c>
      <c r="D164" s="4" t="inlineStr">
        <is>
          <t>FAZENDA MALAQUIAS</t>
        </is>
      </c>
      <c r="E164" s="4" t="inlineStr">
        <is>
          <t>PERFURACAO E COMPLETACAO</t>
        </is>
      </c>
      <c r="F164" s="4" t="inlineStr">
        <is>
          <t>INFERIOR</t>
        </is>
      </c>
      <c r="G164" s="4" t="n">
        <v>1</v>
      </c>
      <c r="H164" s="5" t="n">
        <v>1190160906.838174</v>
      </c>
      <c r="I164" s="5" t="n">
        <v>1190283223.299992</v>
      </c>
      <c r="J164" s="5" t="n">
        <v>269699.35</v>
      </c>
      <c r="K164" s="4" t="inlineStr">
        <is>
          <t>S</t>
        </is>
      </c>
      <c r="L164" s="4" t="inlineStr">
        <is>
          <t>2025-06-15</t>
        </is>
      </c>
      <c r="M164" s="5" t="n">
        <v>269699.35</v>
      </c>
      <c r="N164" s="5">
        <f>J164-M164</f>
        <v/>
      </c>
      <c r="O164" s="6">
        <f>IF(F164="INFERIOR",N164/J164,"")</f>
        <v/>
      </c>
      <c r="P164" s="5">
        <f>IF(F164="INFERIOR",O164*MUS_parametros!$B$18,N164)</f>
        <v/>
      </c>
      <c r="Q164" s="4" t="inlineStr">
        <is>
          <t>Documento confere com o registro</t>
        </is>
      </c>
    </row>
    <row r="165">
      <c r="A165" s="4" t="inlineStr">
        <is>
          <t>IMB-0108247</t>
        </is>
      </c>
      <c r="B165" s="4" t="inlineStr">
        <is>
          <t>DESENVOLVIMENTO_CAMPOS</t>
        </is>
      </c>
      <c r="C165" s="4" t="inlineStr">
        <is>
          <t>1.2.03.04.001</t>
        </is>
      </c>
      <c r="D165" s="4" t="inlineStr">
        <is>
          <t>RIO SUBAUMA</t>
        </is>
      </c>
      <c r="E165" s="4" t="inlineStr">
        <is>
          <t>PERFURACAO E COMPLETACAO</t>
        </is>
      </c>
      <c r="F165" s="4" t="inlineStr">
        <is>
          <t>INFERIOR</t>
        </is>
      </c>
      <c r="G165" s="4" t="n">
        <v>1</v>
      </c>
      <c r="H165" s="5" t="n">
        <v>1195893906.838174</v>
      </c>
      <c r="I165" s="5" t="n">
        <v>1195996686.339995</v>
      </c>
      <c r="J165" s="5" t="n">
        <v>103601.01</v>
      </c>
      <c r="K165" s="4" t="inlineStr">
        <is>
          <t>S</t>
        </is>
      </c>
      <c r="L165" s="4" t="inlineStr">
        <is>
          <t>2025-01-16</t>
        </is>
      </c>
      <c r="M165" s="5" t="n">
        <v>103601.01</v>
      </c>
      <c r="N165" s="5">
        <f>J165-M165</f>
        <v/>
      </c>
      <c r="O165" s="6">
        <f>IF(F165="INFERIOR",N165/J165,"")</f>
        <v/>
      </c>
      <c r="P165" s="5">
        <f>IF(F165="INFERIOR",O165*MUS_parametros!$B$18,N165)</f>
        <v/>
      </c>
      <c r="Q165" s="4" t="inlineStr">
        <is>
          <t>Documento confere com o registro</t>
        </is>
      </c>
    </row>
    <row r="166">
      <c r="A166" s="4" t="inlineStr">
        <is>
          <t>IMB-0109116</t>
        </is>
      </c>
      <c r="B166" s="4" t="inlineStr">
        <is>
          <t>ALMOXARIFADO_INVERSOES_FIXAS</t>
        </is>
      </c>
      <c r="C166" s="4" t="inlineStr">
        <is>
          <t>1.2.03.07.001</t>
        </is>
      </c>
      <c r="D166" s="4" t="inlineStr">
        <is>
          <t>POT-CONC-19 (SINTETICO)</t>
        </is>
      </c>
      <c r="E166" s="4" t="inlineStr">
        <is>
          <t>TUBO DE REVESTIMENTO/PRODUCAO (LOTE)</t>
        </is>
      </c>
      <c r="F166" s="4" t="inlineStr">
        <is>
          <t>INFERIOR</t>
        </is>
      </c>
      <c r="G166" s="4" t="n">
        <v>1</v>
      </c>
      <c r="H166" s="5" t="n">
        <v>1201626906.838174</v>
      </c>
      <c r="I166" s="5" t="n">
        <v>1201628866.969995</v>
      </c>
      <c r="J166" s="5" t="n">
        <v>2527.37</v>
      </c>
      <c r="K166" s="4" t="inlineStr">
        <is>
          <t>S</t>
        </is>
      </c>
      <c r="L166" s="4" t="inlineStr">
        <is>
          <t>2024-04-18</t>
        </is>
      </c>
      <c r="M166" s="5" t="n">
        <v>2527.37</v>
      </c>
      <c r="N166" s="5">
        <f>J166-M166</f>
        <v/>
      </c>
      <c r="O166" s="6">
        <f>IF(F166="INFERIOR",N166/J166,"")</f>
        <v/>
      </c>
      <c r="P166" s="5">
        <f>IF(F166="INFERIOR",O166*MUS_parametros!$B$18,N166)</f>
        <v/>
      </c>
      <c r="Q166" s="4" t="inlineStr">
        <is>
          <t>Documento confere com o registro</t>
        </is>
      </c>
    </row>
    <row r="167">
      <c r="A167" s="4" t="inlineStr">
        <is>
          <t>IMB-0109762</t>
        </is>
      </c>
      <c r="B167" s="4" t="inlineStr">
        <is>
          <t>DESENVOLVIMENTO_CAMPOS</t>
        </is>
      </c>
      <c r="C167" s="4" t="inlineStr">
        <is>
          <t>1.2.03.04.001</t>
        </is>
      </c>
      <c r="D167" s="4" t="inlineStr">
        <is>
          <t>POT-CONC-01 (SINTETICO)</t>
        </is>
      </c>
      <c r="E167" s="4" t="inlineStr">
        <is>
          <t>PERFURACAO E COMPLETACAO</t>
        </is>
      </c>
      <c r="F167" s="4" t="inlineStr">
        <is>
          <t>INFERIOR</t>
        </is>
      </c>
      <c r="G167" s="4" t="n">
        <v>1</v>
      </c>
      <c r="H167" s="5" t="n">
        <v>1207359906.838174</v>
      </c>
      <c r="I167" s="5" t="n">
        <v>1207382487.749998</v>
      </c>
      <c r="J167" s="5" t="n">
        <v>43167.19</v>
      </c>
      <c r="K167" s="4" t="inlineStr">
        <is>
          <t>S</t>
        </is>
      </c>
      <c r="L167" s="4" t="inlineStr">
        <is>
          <t>2024-02-20</t>
        </is>
      </c>
      <c r="M167" s="5" t="n">
        <v>43167.19</v>
      </c>
      <c r="N167" s="5">
        <f>J167-M167</f>
        <v/>
      </c>
      <c r="O167" s="6">
        <f>IF(F167="INFERIOR",N167/J167,"")</f>
        <v/>
      </c>
      <c r="P167" s="5">
        <f>IF(F167="INFERIOR",O167*MUS_parametros!$B$18,N167)</f>
        <v/>
      </c>
      <c r="Q167" s="4" t="inlineStr">
        <is>
          <t>Documento confere com o registro</t>
        </is>
      </c>
    </row>
    <row r="168">
      <c r="A168" s="4" t="inlineStr">
        <is>
          <t>IMB-0110495</t>
        </is>
      </c>
      <c r="B168" s="4" t="inlineStr">
        <is>
          <t>DESENVOLVIMENTO_CAMPOS</t>
        </is>
      </c>
      <c r="C168" s="4" t="inlineStr">
        <is>
          <t>1.2.03.04.001</t>
        </is>
      </c>
      <c r="D168" s="4" t="inlineStr">
        <is>
          <t>NORTE FAZENDA CARUACU</t>
        </is>
      </c>
      <c r="E168" s="4" t="inlineStr">
        <is>
          <t>PERFURACAO E COMPLETACAO</t>
        </is>
      </c>
      <c r="F168" s="4" t="inlineStr">
        <is>
          <t>INFERIOR</t>
        </is>
      </c>
      <c r="G168" s="4" t="n">
        <v>1</v>
      </c>
      <c r="H168" s="5" t="n">
        <v>1213092906.838174</v>
      </c>
      <c r="I168" s="5" t="n">
        <v>1213104515.069996</v>
      </c>
      <c r="J168" s="5" t="n">
        <v>80633.3</v>
      </c>
      <c r="K168" s="4" t="inlineStr">
        <is>
          <t>S</t>
        </is>
      </c>
      <c r="L168" s="4" t="inlineStr">
        <is>
          <t>2024-07-04</t>
        </is>
      </c>
      <c r="M168" s="5" t="n">
        <v>80633.3</v>
      </c>
      <c r="N168" s="5">
        <f>J168-M168</f>
        <v/>
      </c>
      <c r="O168" s="6">
        <f>IF(F168="INFERIOR",N168/J168,"")</f>
        <v/>
      </c>
      <c r="P168" s="5">
        <f>IF(F168="INFERIOR",O168*MUS_parametros!$B$18,N168)</f>
        <v/>
      </c>
      <c r="Q168" s="4" t="inlineStr">
        <is>
          <t>Documento confere com o registro</t>
        </is>
      </c>
    </row>
    <row r="169">
      <c r="A169" s="4" t="inlineStr">
        <is>
          <t>IMB-0111119</t>
        </is>
      </c>
      <c r="B169" s="4" t="inlineStr">
        <is>
          <t>DESENVOLVIMENTO_CAMPOS</t>
        </is>
      </c>
      <c r="C169" s="4" t="inlineStr">
        <is>
          <t>1.2.03.04.003</t>
        </is>
      </c>
      <c r="D169" s="4" t="inlineStr">
        <is>
          <t>POT-CONC-19 (SINTETICO)</t>
        </is>
      </c>
      <c r="E169" s="4" t="inlineStr">
        <is>
          <t>COLUNA DE PRODUCAO E HASTES</t>
        </is>
      </c>
      <c r="F169" s="4" t="inlineStr">
        <is>
          <t>INFERIOR</t>
        </is>
      </c>
      <c r="G169" s="4" t="n">
        <v>1</v>
      </c>
      <c r="H169" s="5" t="n">
        <v>1218825906.838174</v>
      </c>
      <c r="I169" s="5" t="n">
        <v>1218826028.059992</v>
      </c>
      <c r="J169" s="5" t="n">
        <v>917.72</v>
      </c>
      <c r="K169" s="4" t="inlineStr">
        <is>
          <t>S</t>
        </is>
      </c>
      <c r="L169" s="4" t="inlineStr">
        <is>
          <t>2025-08-28</t>
        </is>
      </c>
      <c r="M169" s="5" t="n">
        <v>917.72</v>
      </c>
      <c r="N169" s="5">
        <f>J169-M169</f>
        <v/>
      </c>
      <c r="O169" s="6">
        <f>IF(F169="INFERIOR",N169/J169,"")</f>
        <v/>
      </c>
      <c r="P169" s="5">
        <f>IF(F169="INFERIOR",O169*MUS_parametros!$B$18,N169)</f>
        <v/>
      </c>
      <c r="Q169" s="4" t="inlineStr">
        <is>
          <t>Documento confere com o registro</t>
        </is>
      </c>
    </row>
    <row r="170">
      <c r="A170" s="4" t="inlineStr">
        <is>
          <t>IMB-0111717</t>
        </is>
      </c>
      <c r="B170" s="4" t="inlineStr">
        <is>
          <t>ALMOXARIFADO_INVERSOES_FIXAS</t>
        </is>
      </c>
      <c r="C170" s="4" t="inlineStr">
        <is>
          <t>1.2.03.07.002</t>
        </is>
      </c>
      <c r="D170" s="4" t="inlineStr">
        <is>
          <t>TARTARUGA</t>
        </is>
      </c>
      <c r="E170" s="4" t="inlineStr">
        <is>
          <t>BOMBA DE FUNDO EM ESTOQUE</t>
        </is>
      </c>
      <c r="F170" s="4" t="inlineStr">
        <is>
          <t>INFERIOR</t>
        </is>
      </c>
      <c r="G170" s="4" t="n">
        <v>1</v>
      </c>
      <c r="H170" s="5" t="n">
        <v>1224558906.838174</v>
      </c>
      <c r="I170" s="5" t="n">
        <v>1224560377.799993</v>
      </c>
      <c r="J170" s="5" t="n">
        <v>1884.12</v>
      </c>
      <c r="K170" s="4" t="inlineStr">
        <is>
          <t>S</t>
        </is>
      </c>
      <c r="L170" s="4" t="inlineStr">
        <is>
          <t>2024-10-26</t>
        </is>
      </c>
      <c r="M170" s="5" t="n">
        <v>1884.12</v>
      </c>
      <c r="N170" s="5">
        <f>J170-M170</f>
        <v/>
      </c>
      <c r="O170" s="6">
        <f>IF(F170="INFERIOR",N170/J170,"")</f>
        <v/>
      </c>
      <c r="P170" s="5">
        <f>IF(F170="INFERIOR",O170*MUS_parametros!$B$18,N170)</f>
        <v/>
      </c>
      <c r="Q170" s="4" t="inlineStr">
        <is>
          <t>Documento confere com o registro</t>
        </is>
      </c>
    </row>
    <row r="171">
      <c r="A171" s="4" t="inlineStr">
        <is>
          <t>IMB-0112396</t>
        </is>
      </c>
      <c r="B171" s="4" t="inlineStr">
        <is>
          <t>DESENVOLVIMENTO_CAMPOS</t>
        </is>
      </c>
      <c r="C171" s="4" t="inlineStr">
        <is>
          <t>1.2.03.04.001</t>
        </is>
      </c>
      <c r="D171" s="4" t="inlineStr">
        <is>
          <t>POT-CONC-13 (SINTETICO)</t>
        </is>
      </c>
      <c r="E171" s="4" t="inlineStr">
        <is>
          <t>PERFURACAO E COMPLETACAO</t>
        </is>
      </c>
      <c r="F171" s="4" t="inlineStr">
        <is>
          <t>INFERIOR</t>
        </is>
      </c>
      <c r="G171" s="4" t="n">
        <v>1</v>
      </c>
      <c r="H171" s="5" t="n">
        <v>1230291906.838174</v>
      </c>
      <c r="I171" s="5" t="n">
        <v>1230296630.54999</v>
      </c>
      <c r="J171" s="5" t="n">
        <v>236812.77</v>
      </c>
      <c r="K171" s="4" t="inlineStr">
        <is>
          <t>S</t>
        </is>
      </c>
      <c r="L171" s="4" t="inlineStr">
        <is>
          <t>2023-10-08</t>
        </is>
      </c>
      <c r="M171" s="5" t="n">
        <v>236812.77</v>
      </c>
      <c r="N171" s="5">
        <f>J171-M171</f>
        <v/>
      </c>
      <c r="O171" s="6">
        <f>IF(F171="INFERIOR",N171/J171,"")</f>
        <v/>
      </c>
      <c r="P171" s="5">
        <f>IF(F171="INFERIOR",O171*MUS_parametros!$B$18,N171)</f>
        <v/>
      </c>
      <c r="Q171" s="4" t="inlineStr">
        <is>
          <t>Documento confere com o registro</t>
        </is>
      </c>
    </row>
    <row r="172">
      <c r="A172" s="4" t="inlineStr">
        <is>
          <t>IMB-0113073</t>
        </is>
      </c>
      <c r="B172" s="4" t="inlineStr">
        <is>
          <t>DESENVOLVIMENTO_CAMPOS</t>
        </is>
      </c>
      <c r="C172" s="4" t="inlineStr">
        <is>
          <t>1.2.03.04.001</t>
        </is>
      </c>
      <c r="D172" s="4" t="inlineStr">
        <is>
          <t>TIE</t>
        </is>
      </c>
      <c r="E172" s="4" t="inlineStr">
        <is>
          <t>PERFURACAO E COMPLETACAO</t>
        </is>
      </c>
      <c r="F172" s="4" t="inlineStr">
        <is>
          <t>INFERIOR</t>
        </is>
      </c>
      <c r="G172" s="4" t="n">
        <v>1</v>
      </c>
      <c r="H172" s="5" t="n">
        <v>1236024906.838174</v>
      </c>
      <c r="I172" s="5" t="n">
        <v>1236667268.629991</v>
      </c>
      <c r="J172" s="5" t="n">
        <v>1664394.47</v>
      </c>
      <c r="K172" s="4" t="inlineStr">
        <is>
          <t>S</t>
        </is>
      </c>
      <c r="L172" s="4" t="inlineStr">
        <is>
          <t>2025-12-14</t>
        </is>
      </c>
      <c r="M172" s="5" t="n">
        <v>1664394.47</v>
      </c>
      <c r="N172" s="5">
        <f>J172-M172</f>
        <v/>
      </c>
      <c r="O172" s="6">
        <f>IF(F172="INFERIOR",N172/J172,"")</f>
        <v/>
      </c>
      <c r="P172" s="5">
        <f>IF(F172="INFERIOR",O172*MUS_parametros!$B$18,N172)</f>
        <v/>
      </c>
      <c r="Q172" s="4" t="inlineStr">
        <is>
          <t>Documento confere com o registro</t>
        </is>
      </c>
    </row>
    <row r="173">
      <c r="A173" s="4" t="inlineStr">
        <is>
          <t>IMB-0113825</t>
        </is>
      </c>
      <c r="B173" s="4" t="inlineStr">
        <is>
          <t>MAQUINAS_EQUIPAMENTOS</t>
        </is>
      </c>
      <c r="C173" s="4" t="inlineStr">
        <is>
          <t>1.2.03.01.004</t>
        </is>
      </c>
      <c r="D173" s="4" t="inlineStr">
        <is>
          <t>UPGN GUAMARE</t>
        </is>
      </c>
      <c r="E173" s="4" t="inlineStr">
        <is>
          <t>GASODUTO DE INTERLIGACAO (TRECHO)</t>
        </is>
      </c>
      <c r="F173" s="4" t="inlineStr">
        <is>
          <t>INFERIOR</t>
        </is>
      </c>
      <c r="G173" s="4" t="n">
        <v>1</v>
      </c>
      <c r="H173" s="5" t="n">
        <v>1241757906.838174</v>
      </c>
      <c r="I173" s="5" t="n">
        <v>1242029713.539992</v>
      </c>
      <c r="J173" s="5" t="n">
        <v>844077.54</v>
      </c>
      <c r="K173" s="4" t="inlineStr">
        <is>
          <t>S</t>
        </is>
      </c>
      <c r="L173" s="4" t="inlineStr">
        <is>
          <t>2025-09-30</t>
        </is>
      </c>
      <c r="M173" s="5" t="n">
        <v>844077.54</v>
      </c>
      <c r="N173" s="5">
        <f>J173-M173</f>
        <v/>
      </c>
      <c r="O173" s="6">
        <f>IF(F173="INFERIOR",N173/J173,"")</f>
        <v/>
      </c>
      <c r="P173" s="5">
        <f>IF(F173="INFERIOR",O173*MUS_parametros!$B$18,N173)</f>
        <v/>
      </c>
      <c r="Q173" s="4" t="inlineStr">
        <is>
          <t>Documento confere com o registro</t>
        </is>
      </c>
    </row>
    <row r="174">
      <c r="A174" s="4" t="inlineStr">
        <is>
          <t>IMB-0114599</t>
        </is>
      </c>
      <c r="B174" s="4" t="inlineStr">
        <is>
          <t>DESENVOLVIMENTO_CAMPOS</t>
        </is>
      </c>
      <c r="C174" s="4" t="inlineStr">
        <is>
          <t>1.2.03.04.001</t>
        </is>
      </c>
      <c r="D174" s="4" t="inlineStr">
        <is>
          <t>REMANSO</t>
        </is>
      </c>
      <c r="E174" s="4" t="inlineStr">
        <is>
          <t>PERFURACAO E COMPLETACAO</t>
        </is>
      </c>
      <c r="F174" s="4" t="inlineStr">
        <is>
          <t>INFERIOR</t>
        </is>
      </c>
      <c r="G174" s="4" t="n">
        <v>1</v>
      </c>
      <c r="H174" s="5" t="n">
        <v>1247490906.838174</v>
      </c>
      <c r="I174" s="5" t="n">
        <v>1247601600.199992</v>
      </c>
      <c r="J174" s="5" t="n">
        <v>218224.48</v>
      </c>
      <c r="K174" s="4" t="inlineStr">
        <is>
          <t>S</t>
        </is>
      </c>
      <c r="L174" s="4" t="inlineStr">
        <is>
          <t>2025-11-08</t>
        </is>
      </c>
      <c r="M174" s="5" t="n">
        <v>218224.48</v>
      </c>
      <c r="N174" s="5">
        <f>J174-M174</f>
        <v/>
      </c>
      <c r="O174" s="6">
        <f>IF(F174="INFERIOR",N174/J174,"")</f>
        <v/>
      </c>
      <c r="P174" s="5">
        <f>IF(F174="INFERIOR",O174*MUS_parametros!$B$18,N174)</f>
        <v/>
      </c>
      <c r="Q174" s="4" t="inlineStr">
        <is>
          <t>Documento confere com o registro</t>
        </is>
      </c>
    </row>
    <row r="175">
      <c r="A175" s="4" t="inlineStr">
        <is>
          <t>IMB-0115370</t>
        </is>
      </c>
      <c r="B175" s="4" t="inlineStr">
        <is>
          <t>DESENVOLVIMENTO_CAMPOS</t>
        </is>
      </c>
      <c r="C175" s="4" t="inlineStr">
        <is>
          <t>1.2.03.04.001</t>
        </is>
      </c>
      <c r="D175" s="4" t="inlineStr">
        <is>
          <t>LIVRAMENTO</t>
        </is>
      </c>
      <c r="E175" s="4" t="inlineStr">
        <is>
          <t>PERFURACAO E COMPLETACAO</t>
        </is>
      </c>
      <c r="F175" s="4" t="inlineStr">
        <is>
          <t>INFERIOR</t>
        </is>
      </c>
      <c r="G175" s="4" t="n">
        <v>1</v>
      </c>
      <c r="H175" s="5" t="n">
        <v>1253223906.838174</v>
      </c>
      <c r="I175" s="5" t="n">
        <v>1253478660.369991</v>
      </c>
      <c r="J175" s="5" t="n">
        <v>363611.08</v>
      </c>
      <c r="K175" s="4" t="inlineStr">
        <is>
          <t>S</t>
        </is>
      </c>
      <c r="L175" s="4" t="inlineStr">
        <is>
          <t>2025-08-07</t>
        </is>
      </c>
      <c r="M175" s="5" t="n">
        <v>363611.08</v>
      </c>
      <c r="N175" s="5">
        <f>J175-M175</f>
        <v/>
      </c>
      <c r="O175" s="6">
        <f>IF(F175="INFERIOR",N175/J175,"")</f>
        <v/>
      </c>
      <c r="P175" s="5">
        <f>IF(F175="INFERIOR",O175*MUS_parametros!$B$18,N175)</f>
        <v/>
      </c>
      <c r="Q175" s="4" t="inlineStr">
        <is>
          <t>Documento confere com o registro</t>
        </is>
      </c>
    </row>
    <row r="176">
      <c r="A176" s="4" t="inlineStr">
        <is>
          <t>IMB-0115865</t>
        </is>
      </c>
      <c r="B176" s="4" t="inlineStr">
        <is>
          <t>MAQUINAS_EQUIPAMENTOS</t>
        </is>
      </c>
      <c r="C176" s="4" t="inlineStr">
        <is>
          <t>1.2.03.01.004</t>
        </is>
      </c>
      <c r="D176" s="4" t="inlineStr">
        <is>
          <t>UPGN GUAMARE</t>
        </is>
      </c>
      <c r="E176" s="4" t="inlineStr">
        <is>
          <t>GASODUTO DE INTERLIGACAO (TRECHO)</t>
        </is>
      </c>
      <c r="F176" s="4" t="inlineStr">
        <is>
          <t>INFERIOR</t>
        </is>
      </c>
      <c r="G176" s="4" t="n">
        <v>1</v>
      </c>
      <c r="H176" s="5" t="n">
        <v>1258956906.838174</v>
      </c>
      <c r="I176" s="5" t="n">
        <v>1258979326.609991</v>
      </c>
      <c r="J176" s="5" t="n">
        <v>164015.23</v>
      </c>
      <c r="K176" s="4" t="inlineStr">
        <is>
          <t>S</t>
        </is>
      </c>
      <c r="L176" s="4" t="inlineStr">
        <is>
          <t>2025-09-30</t>
        </is>
      </c>
      <c r="M176" s="5" t="n">
        <v>164015.23</v>
      </c>
      <c r="N176" s="5">
        <f>J176-M176</f>
        <v/>
      </c>
      <c r="O176" s="6">
        <f>IF(F176="INFERIOR",N176/J176,"")</f>
        <v/>
      </c>
      <c r="P176" s="5">
        <f>IF(F176="INFERIOR",O176*MUS_parametros!$B$18,N176)</f>
        <v/>
      </c>
      <c r="Q176" s="4" t="inlineStr">
        <is>
          <t>Documento confere com o registro</t>
        </is>
      </c>
    </row>
    <row r="177">
      <c r="A177" s="4" t="inlineStr">
        <is>
          <t>IMB-0116388</t>
        </is>
      </c>
      <c r="B177" s="4" t="inlineStr">
        <is>
          <t>DESENVOLVIMENTO_CAMPOS</t>
        </is>
      </c>
      <c r="C177" s="4" t="inlineStr">
        <is>
          <t>1.2.03.04.001</t>
        </is>
      </c>
      <c r="D177" s="4" t="inlineStr">
        <is>
          <t>POT-CONC-07 (SINTETICO)</t>
        </is>
      </c>
      <c r="E177" s="4" t="inlineStr">
        <is>
          <t>PERFURACAO E COMPLETACAO</t>
        </is>
      </c>
      <c r="F177" s="4" t="inlineStr">
        <is>
          <t>INFERIOR</t>
        </is>
      </c>
      <c r="G177" s="4" t="n">
        <v>1</v>
      </c>
      <c r="H177" s="5" t="n">
        <v>1264689906.838174</v>
      </c>
      <c r="I177" s="5" t="n">
        <v>1264759284.55999</v>
      </c>
      <c r="J177" s="5" t="n">
        <v>398788.67</v>
      </c>
      <c r="K177" s="4" t="inlineStr">
        <is>
          <t>S</t>
        </is>
      </c>
      <c r="L177" s="4" t="inlineStr">
        <is>
          <t>2025-10-23</t>
        </is>
      </c>
      <c r="M177" s="5" t="n">
        <v>398788.67</v>
      </c>
      <c r="N177" s="5">
        <f>J177-M177</f>
        <v/>
      </c>
      <c r="O177" s="6">
        <f>IF(F177="INFERIOR",N177/J177,"")</f>
        <v/>
      </c>
      <c r="P177" s="5">
        <f>IF(F177="INFERIOR",O177*MUS_parametros!$B$18,N177)</f>
        <v/>
      </c>
      <c r="Q177" s="4" t="inlineStr">
        <is>
          <t>Documento confere com o registro</t>
        </is>
      </c>
    </row>
    <row r="178">
      <c r="A178" s="4" t="inlineStr">
        <is>
          <t>IMB-0117163</t>
        </is>
      </c>
      <c r="B178" s="4" t="inlineStr">
        <is>
          <t>ALMOXARIFADO_INVERSOES_FIXAS</t>
        </is>
      </c>
      <c r="C178" s="4" t="inlineStr">
        <is>
          <t>1.2.03.07.003</t>
        </is>
      </c>
      <c r="D178" s="4" t="inlineStr">
        <is>
          <t>SAO PEDRO</t>
        </is>
      </c>
      <c r="E178" s="4" t="inlineStr">
        <is>
          <t>VALVULA/EQUIPAMENTO DE SUPERFICIE</t>
        </is>
      </c>
      <c r="F178" s="4" t="inlineStr">
        <is>
          <t>INFERIOR</t>
        </is>
      </c>
      <c r="G178" s="4" t="n">
        <v>1</v>
      </c>
      <c r="H178" s="5" t="n">
        <v>1270422906.838174</v>
      </c>
      <c r="I178" s="5" t="n">
        <v>1270424694.019987</v>
      </c>
      <c r="J178" s="5" t="n">
        <v>7647.06</v>
      </c>
      <c r="K178" s="4" t="inlineStr">
        <is>
          <t>S</t>
        </is>
      </c>
      <c r="L178" s="4" t="inlineStr">
        <is>
          <t>2025-03-28</t>
        </is>
      </c>
      <c r="M178" s="5" t="n">
        <v>7647.06</v>
      </c>
      <c r="N178" s="5">
        <f>J178-M178</f>
        <v/>
      </c>
      <c r="O178" s="6">
        <f>IF(F178="INFERIOR",N178/J178,"")</f>
        <v/>
      </c>
      <c r="P178" s="5">
        <f>IF(F178="INFERIOR",O178*MUS_parametros!$B$18,N178)</f>
        <v/>
      </c>
      <c r="Q178" s="4" t="inlineStr">
        <is>
          <t>Documento confere com o registro</t>
        </is>
      </c>
    </row>
    <row r="179">
      <c r="A179" s="4" t="inlineStr">
        <is>
          <t>IMB-0117722</t>
        </is>
      </c>
      <c r="B179" s="4" t="inlineStr">
        <is>
          <t>DESENVOLVIMENTO_CAMPOS</t>
        </is>
      </c>
      <c r="C179" s="4" t="inlineStr">
        <is>
          <t>1.2.03.04.001</t>
        </is>
      </c>
      <c r="D179" s="4" t="inlineStr">
        <is>
          <t>RIO SUBAUMA</t>
        </is>
      </c>
      <c r="E179" s="4" t="inlineStr">
        <is>
          <t>PERFURACAO E COMPLETACAO</t>
        </is>
      </c>
      <c r="F179" s="4" t="inlineStr">
        <is>
          <t>INFERIOR</t>
        </is>
      </c>
      <c r="G179" s="4" t="n">
        <v>1</v>
      </c>
      <c r="H179" s="5" t="n">
        <v>1276155906.838174</v>
      </c>
      <c r="I179" s="5" t="n">
        <v>1276224671.229987</v>
      </c>
      <c r="J179" s="5" t="n">
        <v>94354.53999999999</v>
      </c>
      <c r="K179" s="4" t="inlineStr">
        <is>
          <t>S</t>
        </is>
      </c>
      <c r="L179" s="4" t="inlineStr">
        <is>
          <t>2025-11-10</t>
        </is>
      </c>
      <c r="M179" s="5" t="n">
        <v>94354.53999999999</v>
      </c>
      <c r="N179" s="5">
        <f>J179-M179</f>
        <v/>
      </c>
      <c r="O179" s="6">
        <f>IF(F179="INFERIOR",N179/J179,"")</f>
        <v/>
      </c>
      <c r="P179" s="5">
        <f>IF(F179="INFERIOR",O179*MUS_parametros!$B$18,N179)</f>
        <v/>
      </c>
      <c r="Q179" s="4" t="inlineStr">
        <is>
          <t>Documento confere com o registro</t>
        </is>
      </c>
    </row>
    <row r="180">
      <c r="A180" s="4" t="inlineStr">
        <is>
          <t>IMB-0118502</t>
        </is>
      </c>
      <c r="B180" s="4" t="inlineStr">
        <is>
          <t>MAQUINAS_EQUIPAMENTOS</t>
        </is>
      </c>
      <c r="C180" s="4" t="inlineStr">
        <is>
          <t>1.2.03.01.003</t>
        </is>
      </c>
      <c r="D180" s="4" t="inlineStr">
        <is>
          <t>MATA DE SAO JOAO</t>
        </is>
      </c>
      <c r="E180" s="4" t="inlineStr">
        <is>
          <t>COMPRESSOR/SEPARADOR/TANQUE/FACILITY</t>
        </is>
      </c>
      <c r="F180" s="4" t="inlineStr">
        <is>
          <t>INFERIOR</t>
        </is>
      </c>
      <c r="G180" s="4" t="n">
        <v>1</v>
      </c>
      <c r="H180" s="5" t="n">
        <v>1281888906.838174</v>
      </c>
      <c r="I180" s="5" t="n">
        <v>1281989859.589984</v>
      </c>
      <c r="J180" s="5" t="n">
        <v>233896.01</v>
      </c>
      <c r="K180" s="4" t="inlineStr">
        <is>
          <t>S</t>
        </is>
      </c>
      <c r="L180" s="4" t="inlineStr">
        <is>
          <t>2013-06-15</t>
        </is>
      </c>
      <c r="M180" s="5" t="n">
        <v>233896.01</v>
      </c>
      <c r="N180" s="5">
        <f>J180-M180</f>
        <v/>
      </c>
      <c r="O180" s="6">
        <f>IF(F180="INFERIOR",N180/J180,"")</f>
        <v/>
      </c>
      <c r="P180" s="5">
        <f>IF(F180="INFERIOR",O180*MUS_parametros!$B$18,N180)</f>
        <v/>
      </c>
      <c r="Q180" s="4" t="inlineStr">
        <is>
          <t>Documento confere com o registro</t>
        </is>
      </c>
    </row>
    <row r="181">
      <c r="A181" s="4" t="inlineStr">
        <is>
          <t>IMB-0119324</t>
        </is>
      </c>
      <c r="B181" s="4" t="inlineStr">
        <is>
          <t>DESENVOLVIMENTO_CAMPOS</t>
        </is>
      </c>
      <c r="C181" s="4" t="inlineStr">
        <is>
          <t>1.2.03.04.005</t>
        </is>
      </c>
      <c r="D181" s="4" t="inlineStr">
        <is>
          <t>RIACHO SAO PEDRO</t>
        </is>
      </c>
      <c r="E181" s="4" t="inlineStr">
        <is>
          <t>CONVERSAO EM POCO INJETOR</t>
        </is>
      </c>
      <c r="F181" s="4" t="inlineStr">
        <is>
          <t>INFERIOR</t>
        </is>
      </c>
      <c r="G181" s="4" t="n">
        <v>1</v>
      </c>
      <c r="H181" s="5" t="n">
        <v>1287621906.838174</v>
      </c>
      <c r="I181" s="5" t="n">
        <v>1287622728.639989</v>
      </c>
      <c r="J181" s="5" t="n">
        <v>2323.3</v>
      </c>
      <c r="K181" s="4" t="inlineStr">
        <is>
          <t>S</t>
        </is>
      </c>
      <c r="L181" s="4" t="inlineStr">
        <is>
          <t>2024-07-15</t>
        </is>
      </c>
      <c r="M181" s="5" t="n">
        <v>2323.3</v>
      </c>
      <c r="N181" s="5">
        <f>J181-M181</f>
        <v/>
      </c>
      <c r="O181" s="6">
        <f>IF(F181="INFERIOR",N181/J181,"")</f>
        <v/>
      </c>
      <c r="P181" s="5">
        <f>IF(F181="INFERIOR",O181*MUS_parametros!$B$18,N181)</f>
        <v/>
      </c>
      <c r="Q181" s="4" t="inlineStr">
        <is>
          <t>Documento confere com o registro</t>
        </is>
      </c>
    </row>
    <row r="182">
      <c r="A182" s="4" t="inlineStr">
        <is>
          <t>IMB-0120287</t>
        </is>
      </c>
      <c r="B182" s="4" t="inlineStr">
        <is>
          <t>DESENVOLVIMENTO_CAMPOS</t>
        </is>
      </c>
      <c r="C182" s="4" t="inlineStr">
        <is>
          <t>1.2.03.04.001</t>
        </is>
      </c>
      <c r="D182" s="4" t="inlineStr">
        <is>
          <t>JACUIPE</t>
        </is>
      </c>
      <c r="E182" s="4" t="inlineStr">
        <is>
          <t>PERFURACAO E COMPLETACAO</t>
        </is>
      </c>
      <c r="F182" s="4" t="inlineStr">
        <is>
          <t>INFERIOR</t>
        </is>
      </c>
      <c r="G182" s="4" t="n">
        <v>1</v>
      </c>
      <c r="H182" s="5" t="n">
        <v>1293354906.838174</v>
      </c>
      <c r="I182" s="5" t="n">
        <v>1293399846.929986</v>
      </c>
      <c r="J182" s="5" t="n">
        <v>127920.56</v>
      </c>
      <c r="K182" s="4" t="inlineStr">
        <is>
          <t>S</t>
        </is>
      </c>
      <c r="L182" s="4" t="inlineStr">
        <is>
          <t>2025-08-05</t>
        </is>
      </c>
      <c r="M182" s="5" t="n">
        <v>127920.56</v>
      </c>
      <c r="N182" s="5">
        <f>J182-M182</f>
        <v/>
      </c>
      <c r="O182" s="6">
        <f>IF(F182="INFERIOR",N182/J182,"")</f>
        <v/>
      </c>
      <c r="P182" s="5">
        <f>IF(F182="INFERIOR",O182*MUS_parametros!$B$18,N182)</f>
        <v/>
      </c>
      <c r="Q182" s="4" t="inlineStr">
        <is>
          <t>Documento confere com o registro</t>
        </is>
      </c>
    </row>
    <row r="183">
      <c r="A183" s="4" t="inlineStr">
        <is>
          <t>IMB-0121295</t>
        </is>
      </c>
      <c r="B183" s="4" t="inlineStr">
        <is>
          <t>MAQUINAS_EQUIPAMENTOS</t>
        </is>
      </c>
      <c r="C183" s="4" t="inlineStr">
        <is>
          <t>1.2.03.01.004</t>
        </is>
      </c>
      <c r="D183" s="4" t="inlineStr">
        <is>
          <t>UPGN GUAMARE</t>
        </is>
      </c>
      <c r="E183" s="4" t="inlineStr">
        <is>
          <t>MODULO DE PROCESSAMENTO UPGN III</t>
        </is>
      </c>
      <c r="F183" s="4" t="inlineStr">
        <is>
          <t>INFERIOR</t>
        </is>
      </c>
      <c r="G183" s="4" t="n">
        <v>1</v>
      </c>
      <c r="H183" s="5" t="n">
        <v>1299087906.838174</v>
      </c>
      <c r="I183" s="5" t="n">
        <v>1299179201.059986</v>
      </c>
      <c r="J183" s="5" t="n">
        <v>259235.74</v>
      </c>
      <c r="K183" s="4" t="inlineStr">
        <is>
          <t>S</t>
        </is>
      </c>
      <c r="L183" s="4" t="inlineStr">
        <is>
          <t>2025-09-30</t>
        </is>
      </c>
      <c r="M183" s="5" t="n">
        <v>259235.74</v>
      </c>
      <c r="N183" s="5">
        <f>J183-M183</f>
        <v/>
      </c>
      <c r="O183" s="6">
        <f>IF(F183="INFERIOR",N183/J183,"")</f>
        <v/>
      </c>
      <c r="P183" s="5">
        <f>IF(F183="INFERIOR",O183*MUS_parametros!$B$18,N183)</f>
        <v/>
      </c>
      <c r="Q183" s="4" t="inlineStr">
        <is>
          <t>Documento confere com o registro</t>
        </is>
      </c>
    </row>
    <row r="184">
      <c r="A184" s="4" t="inlineStr">
        <is>
          <t>IMB-0121905</t>
        </is>
      </c>
      <c r="B184" s="4" t="inlineStr">
        <is>
          <t>DESENVOLVIMENTO_CAMPOS</t>
        </is>
      </c>
      <c r="C184" s="4" t="inlineStr">
        <is>
          <t>1.2.03.04.001</t>
        </is>
      </c>
      <c r="D184" s="4" t="inlineStr">
        <is>
          <t>TARTARUGA</t>
        </is>
      </c>
      <c r="E184" s="4" t="inlineStr">
        <is>
          <t>PERFURACAO E COMPLETACAO</t>
        </is>
      </c>
      <c r="F184" s="4" t="inlineStr">
        <is>
          <t>INFERIOR</t>
        </is>
      </c>
      <c r="G184" s="4" t="n">
        <v>1</v>
      </c>
      <c r="H184" s="5" t="n">
        <v>1304820906.838174</v>
      </c>
      <c r="I184" s="5" t="n">
        <v>1304852808.609988</v>
      </c>
      <c r="J184" s="5" t="n">
        <v>2085316.48</v>
      </c>
      <c r="K184" s="4" t="inlineStr">
        <is>
          <t>S</t>
        </is>
      </c>
      <c r="L184" s="4" t="inlineStr">
        <is>
          <t>2025-02-25</t>
        </is>
      </c>
      <c r="M184" s="5" t="n">
        <v>2085316.48</v>
      </c>
      <c r="N184" s="5">
        <f>J184-M184</f>
        <v/>
      </c>
      <c r="O184" s="6">
        <f>IF(F184="INFERIOR",N184/J184,"")</f>
        <v/>
      </c>
      <c r="P184" s="5">
        <f>IF(F184="INFERIOR",O184*MUS_parametros!$B$18,N184)</f>
        <v/>
      </c>
      <c r="Q184" s="4" t="inlineStr">
        <is>
          <t>Documento confere com o registro</t>
        </is>
      </c>
    </row>
    <row r="185">
      <c r="A185" s="4" t="inlineStr">
        <is>
          <t>IMB-0122755</t>
        </is>
      </c>
      <c r="B185" s="4" t="inlineStr">
        <is>
          <t>ALMOXARIFADO_INVERSOES_FIXAS</t>
        </is>
      </c>
      <c r="C185" s="4" t="inlineStr">
        <is>
          <t>1.2.03.07.001</t>
        </is>
      </c>
      <c r="D185" s="4" t="inlineStr">
        <is>
          <t>POT-CONC-01 (SINTETICO)</t>
        </is>
      </c>
      <c r="E185" s="4" t="inlineStr">
        <is>
          <t>TUBO DE REVESTIMENTO/PRODUCAO (LOTE)</t>
        </is>
      </c>
      <c r="F185" s="4" t="inlineStr">
        <is>
          <t>INFERIOR</t>
        </is>
      </c>
      <c r="G185" s="4" t="n">
        <v>1</v>
      </c>
      <c r="H185" s="5" t="n">
        <v>1310553906.838174</v>
      </c>
      <c r="I185" s="5" t="n">
        <v>1310557581.979991</v>
      </c>
      <c r="J185" s="5" t="n">
        <v>4127.77</v>
      </c>
      <c r="K185" s="4" t="inlineStr">
        <is>
          <t>S</t>
        </is>
      </c>
      <c r="L185" s="4" t="inlineStr">
        <is>
          <t>2025-02-21</t>
        </is>
      </c>
      <c r="M185" s="5" t="n">
        <v>4127.77</v>
      </c>
      <c r="N185" s="5">
        <f>J185-M185</f>
        <v/>
      </c>
      <c r="O185" s="6">
        <f>IF(F185="INFERIOR",N185/J185,"")</f>
        <v/>
      </c>
      <c r="P185" s="5">
        <f>IF(F185="INFERIOR",O185*MUS_parametros!$B$18,N185)</f>
        <v/>
      </c>
      <c r="Q185" s="4" t="inlineStr">
        <is>
          <t>Documento confere com o registro</t>
        </is>
      </c>
    </row>
    <row r="186">
      <c r="A186" s="4" t="inlineStr">
        <is>
          <t>IMB-0123627</t>
        </is>
      </c>
      <c r="B186" s="4" t="inlineStr">
        <is>
          <t>ALMOXARIFADO_INVERSOES_FIXAS</t>
        </is>
      </c>
      <c r="C186" s="4" t="inlineStr">
        <is>
          <t>1.2.03.07.002</t>
        </is>
      </c>
      <c r="D186" s="4" t="inlineStr">
        <is>
          <t>POT-CONC-20 (SINTETICO)</t>
        </is>
      </c>
      <c r="E186" s="4" t="inlineStr">
        <is>
          <t>HASTE DE BOMBEIO (LOTE)</t>
        </is>
      </c>
      <c r="F186" s="4" t="inlineStr">
        <is>
          <t>INFERIOR</t>
        </is>
      </c>
      <c r="G186" s="4" t="n">
        <v>1</v>
      </c>
      <c r="H186" s="5" t="n">
        <v>1316286906.838174</v>
      </c>
      <c r="I186" s="5" t="n">
        <v>1316287126.479994</v>
      </c>
      <c r="J186" s="5" t="n">
        <v>15820.88</v>
      </c>
      <c r="K186" s="4" t="inlineStr">
        <is>
          <t>S</t>
        </is>
      </c>
      <c r="L186" s="4" t="inlineStr">
        <is>
          <t>2024-05-03</t>
        </is>
      </c>
      <c r="M186" s="5" t="n">
        <v>15820.88</v>
      </c>
      <c r="N186" s="5">
        <f>J186-M186</f>
        <v/>
      </c>
      <c r="O186" s="6">
        <f>IF(F186="INFERIOR",N186/J186,"")</f>
        <v/>
      </c>
      <c r="P186" s="5">
        <f>IF(F186="INFERIOR",O186*MUS_parametros!$B$18,N186)</f>
        <v/>
      </c>
      <c r="Q186" s="4" t="inlineStr">
        <is>
          <t>Documento confere com o registro</t>
        </is>
      </c>
    </row>
    <row r="187">
      <c r="A187" s="4" t="inlineStr">
        <is>
          <t>IMB-0124354</t>
        </is>
      </c>
      <c r="B187" s="4" t="inlineStr">
        <is>
          <t>DESENVOLVIMENTO_CAMPOS</t>
        </is>
      </c>
      <c r="C187" s="4" t="inlineStr">
        <is>
          <t>1.2.03.04.002</t>
        </is>
      </c>
      <c r="D187" s="4" t="inlineStr">
        <is>
          <t>PAJEU</t>
        </is>
      </c>
      <c r="E187" s="4" t="inlineStr">
        <is>
          <t>WORKOVER / RECOMPLETACAO CAPITALIZADO</t>
        </is>
      </c>
      <c r="F187" s="4" t="inlineStr">
        <is>
          <t>INFERIOR</t>
        </is>
      </c>
      <c r="G187" s="4" t="n">
        <v>1</v>
      </c>
      <c r="H187" s="5" t="n">
        <v>1322019906.838174</v>
      </c>
      <c r="I187" s="5" t="n">
        <v>1322024574.079993</v>
      </c>
      <c r="J187" s="5" t="n">
        <v>14079.24</v>
      </c>
      <c r="K187" s="4" t="inlineStr">
        <is>
          <t>S</t>
        </is>
      </c>
      <c r="L187" s="4" t="inlineStr">
        <is>
          <t>2025-07-01</t>
        </is>
      </c>
      <c r="M187" s="5" t="n">
        <v>14079.24</v>
      </c>
      <c r="N187" s="5">
        <f>J187-M187</f>
        <v/>
      </c>
      <c r="O187" s="6">
        <f>IF(F187="INFERIOR",N187/J187,"")</f>
        <v/>
      </c>
      <c r="P187" s="5">
        <f>IF(F187="INFERIOR",O187*MUS_parametros!$B$18,N187)</f>
        <v/>
      </c>
      <c r="Q187" s="4" t="inlineStr">
        <is>
          <t>Documento confere com o registro</t>
        </is>
      </c>
    </row>
    <row r="188">
      <c r="A188" s="4" t="inlineStr">
        <is>
          <t>IMB-0125124</t>
        </is>
      </c>
      <c r="B188" s="4" t="inlineStr">
        <is>
          <t>MAQUINAS_EQUIPAMENTOS</t>
        </is>
      </c>
      <c r="C188" s="4" t="inlineStr">
        <is>
          <t>1.2.03.01.005</t>
        </is>
      </c>
      <c r="D188" s="4" t="inlineStr">
        <is>
          <t>LAGOA DO PAULO SUL</t>
        </is>
      </c>
      <c r="E188" s="4" t="inlineStr">
        <is>
          <t>VEICULO PESADO / CAMINHAO SONDA</t>
        </is>
      </c>
      <c r="F188" s="4" t="inlineStr">
        <is>
          <t>INFERIOR</t>
        </is>
      </c>
      <c r="G188" s="4" t="n">
        <v>1</v>
      </c>
      <c r="H188" s="5" t="n">
        <v>1327752906.838174</v>
      </c>
      <c r="I188" s="5" t="n">
        <v>1327760170.109997</v>
      </c>
      <c r="J188" s="5" t="n">
        <v>30852.94</v>
      </c>
      <c r="K188" s="4" t="inlineStr">
        <is>
          <t>S</t>
        </is>
      </c>
      <c r="L188" s="4" t="inlineStr">
        <is>
          <t>2014-04-07</t>
        </is>
      </c>
      <c r="M188" s="5" t="n">
        <v>30852.94</v>
      </c>
      <c r="N188" s="5">
        <f>J188-M188</f>
        <v/>
      </c>
      <c r="O188" s="6">
        <f>IF(F188="INFERIOR",N188/J188,"")</f>
        <v/>
      </c>
      <c r="P188" s="5">
        <f>IF(F188="INFERIOR",O188*MUS_parametros!$B$18,N188)</f>
        <v/>
      </c>
      <c r="Q188" s="4" t="inlineStr">
        <is>
          <t>Documento confere com o registro</t>
        </is>
      </c>
    </row>
    <row r="189">
      <c r="A189" s="4" t="inlineStr">
        <is>
          <t>IMB-0125468</t>
        </is>
      </c>
      <c r="B189" s="4" t="inlineStr">
        <is>
          <t>ALMOXARIFADO_INVERSOES_FIXAS</t>
        </is>
      </c>
      <c r="C189" s="4" t="inlineStr">
        <is>
          <t>1.2.03.07.001</t>
        </is>
      </c>
      <c r="D189" s="4" t="inlineStr">
        <is>
          <t>PAJEU</t>
        </is>
      </c>
      <c r="E189" s="4" t="inlineStr">
        <is>
          <t>TUBO DE REVESTIMENTO/PRODUCAO (LOTE)</t>
        </is>
      </c>
      <c r="F189" s="4" t="inlineStr">
        <is>
          <t>INFERIOR</t>
        </is>
      </c>
      <c r="G189" s="4" t="n">
        <v>1</v>
      </c>
      <c r="H189" s="5" t="n">
        <v>1333485906.838174</v>
      </c>
      <c r="I189" s="5" t="n">
        <v>1333497243.339998</v>
      </c>
      <c r="J189" s="5" t="n">
        <v>11770.63</v>
      </c>
      <c r="K189" s="4" t="inlineStr">
        <is>
          <t>S</t>
        </is>
      </c>
      <c r="L189" s="4" t="inlineStr">
        <is>
          <t>2025-05-11</t>
        </is>
      </c>
      <c r="M189" s="5" t="n">
        <v>11770.63</v>
      </c>
      <c r="N189" s="5">
        <f>J189-M189</f>
        <v/>
      </c>
      <c r="O189" s="6">
        <f>IF(F189="INFERIOR",N189/J189,"")</f>
        <v/>
      </c>
      <c r="P189" s="5">
        <f>IF(F189="INFERIOR",O189*MUS_parametros!$B$18,N189)</f>
        <v/>
      </c>
      <c r="Q189" s="4" t="inlineStr">
        <is>
          <t>Documento confere com o registro</t>
        </is>
      </c>
    </row>
    <row r="190">
      <c r="A190" s="4" t="inlineStr">
        <is>
          <t>IMB-0126515</t>
        </is>
      </c>
      <c r="B190" s="4" t="inlineStr">
        <is>
          <t>DESENVOLVIMENTO_CAMPOS</t>
        </is>
      </c>
      <c r="C190" s="4" t="inlineStr">
        <is>
          <t>1.2.03.04.001</t>
        </is>
      </c>
      <c r="D190" s="4" t="inlineStr">
        <is>
          <t>LAGOA DO PAULO</t>
        </is>
      </c>
      <c r="E190" s="4" t="inlineStr">
        <is>
          <t>PERFURACAO E COMPLETACAO</t>
        </is>
      </c>
      <c r="F190" s="4" t="inlineStr">
        <is>
          <t>INFERIOR</t>
        </is>
      </c>
      <c r="G190" s="4" t="n">
        <v>1</v>
      </c>
      <c r="H190" s="5" t="n">
        <v>1339218906.838174</v>
      </c>
      <c r="I190" s="5" t="n">
        <v>1339272889.609999</v>
      </c>
      <c r="J190" s="5" t="n">
        <v>154358.83</v>
      </c>
      <c r="K190" s="4" t="inlineStr">
        <is>
          <t>S</t>
        </is>
      </c>
      <c r="L190" s="4" t="inlineStr">
        <is>
          <t>2024-10-14</t>
        </is>
      </c>
      <c r="M190" s="5" t="n">
        <v>154358.83</v>
      </c>
      <c r="N190" s="5">
        <f>J190-M190</f>
        <v/>
      </c>
      <c r="O190" s="6">
        <f>IF(F190="INFERIOR",N190/J190,"")</f>
        <v/>
      </c>
      <c r="P190" s="5">
        <f>IF(F190="INFERIOR",O190*MUS_parametros!$B$18,N190)</f>
        <v/>
      </c>
      <c r="Q190" s="4" t="inlineStr">
        <is>
          <t>Documento confere com o registro</t>
        </is>
      </c>
    </row>
    <row r="191">
      <c r="A191" s="4" t="inlineStr">
        <is>
          <t>IMB-0127092</t>
        </is>
      </c>
      <c r="B191" s="4" t="inlineStr">
        <is>
          <t>DESENVOLVIMENTO_CAMPOS</t>
        </is>
      </c>
      <c r="C191" s="4" t="inlineStr">
        <is>
          <t>1.2.03.04.001</t>
        </is>
      </c>
      <c r="D191" s="4" t="inlineStr">
        <is>
          <t>REMANSO</t>
        </is>
      </c>
      <c r="E191" s="4" t="inlineStr">
        <is>
          <t>PERFURACAO E COMPLETACAO</t>
        </is>
      </c>
      <c r="F191" s="4" t="inlineStr">
        <is>
          <t>INFERIOR</t>
        </is>
      </c>
      <c r="G191" s="4" t="n">
        <v>1</v>
      </c>
      <c r="H191" s="5" t="n">
        <v>1344951906.838174</v>
      </c>
      <c r="I191" s="5" t="n">
        <v>1344984811.93</v>
      </c>
      <c r="J191" s="5" t="n">
        <v>66651.09</v>
      </c>
      <c r="K191" s="4" t="inlineStr">
        <is>
          <t>S</t>
        </is>
      </c>
      <c r="L191" s="4" t="inlineStr">
        <is>
          <t>2024-12-02</t>
        </is>
      </c>
      <c r="M191" s="5" t="n">
        <v>66651.09</v>
      </c>
      <c r="N191" s="5">
        <f>J191-M191</f>
        <v/>
      </c>
      <c r="O191" s="6">
        <f>IF(F191="INFERIOR",N191/J191,"")</f>
        <v/>
      </c>
      <c r="P191" s="5">
        <f>IF(F191="INFERIOR",O191*MUS_parametros!$B$18,N191)</f>
        <v/>
      </c>
      <c r="Q191" s="4" t="inlineStr">
        <is>
          <t>Documento confere com o registro</t>
        </is>
      </c>
    </row>
    <row r="192">
      <c r="A192" s="4" t="inlineStr">
        <is>
          <t>IMB-0127873</t>
        </is>
      </c>
      <c r="B192" s="4" t="inlineStr">
        <is>
          <t>DESENVOLVIMENTO_CAMPOS</t>
        </is>
      </c>
      <c r="C192" s="4" t="inlineStr">
        <is>
          <t>1.2.03.04.001</t>
        </is>
      </c>
      <c r="D192" s="4" t="inlineStr">
        <is>
          <t>BIRIBA</t>
        </is>
      </c>
      <c r="E192" s="4" t="inlineStr">
        <is>
          <t>PERFURACAO E COMPLETACAO</t>
        </is>
      </c>
      <c r="F192" s="4" t="inlineStr">
        <is>
          <t>INFERIOR</t>
        </is>
      </c>
      <c r="G192" s="4" t="n">
        <v>1</v>
      </c>
      <c r="H192" s="5" t="n">
        <v>1350684906.838174</v>
      </c>
      <c r="I192" s="5" t="n">
        <v>1350844274.329997</v>
      </c>
      <c r="J192" s="5" t="n">
        <v>668115.48</v>
      </c>
      <c r="K192" s="4" t="inlineStr">
        <is>
          <t>S</t>
        </is>
      </c>
      <c r="L192" s="4" t="inlineStr">
        <is>
          <t>2025-02-18</t>
        </is>
      </c>
      <c r="M192" s="5" t="n">
        <v>668115.48</v>
      </c>
      <c r="N192" s="5">
        <f>J192-M192</f>
        <v/>
      </c>
      <c r="O192" s="6">
        <f>IF(F192="INFERIOR",N192/J192,"")</f>
        <v/>
      </c>
      <c r="P192" s="5">
        <f>IF(F192="INFERIOR",O192*MUS_parametros!$B$18,N192)</f>
        <v/>
      </c>
      <c r="Q192" s="4" t="inlineStr">
        <is>
          <t>Documento confere com o registro</t>
        </is>
      </c>
    </row>
    <row r="193">
      <c r="A193" s="4" t="inlineStr">
        <is>
          <t>IMB-0128505</t>
        </is>
      </c>
      <c r="B193" s="4" t="inlineStr">
        <is>
          <t>DESENVOLVIMENTO_CAMPOS</t>
        </is>
      </c>
      <c r="C193" s="4" t="inlineStr">
        <is>
          <t>1.2.03.04.001</t>
        </is>
      </c>
      <c r="D193" s="4" t="inlineStr">
        <is>
          <t>POT-CONC-06 (SINTETICO)</t>
        </is>
      </c>
      <c r="E193" s="4" t="inlineStr">
        <is>
          <t>PERFURACAO E COMPLETACAO</t>
        </is>
      </c>
      <c r="F193" s="4" t="inlineStr">
        <is>
          <t>INFERIOR</t>
        </is>
      </c>
      <c r="G193" s="4" t="n">
        <v>1</v>
      </c>
      <c r="H193" s="5" t="n">
        <v>1356417906.838174</v>
      </c>
      <c r="I193" s="5" t="n">
        <v>1356477295.559997</v>
      </c>
      <c r="J193" s="5" t="n">
        <v>209756.92</v>
      </c>
      <c r="K193" s="4" t="inlineStr">
        <is>
          <t>S</t>
        </is>
      </c>
      <c r="L193" s="4" t="inlineStr">
        <is>
          <t>2024-11-17</t>
        </is>
      </c>
      <c r="M193" s="5" t="n">
        <v>209756.92</v>
      </c>
      <c r="N193" s="5">
        <f>J193-M193</f>
        <v/>
      </c>
      <c r="O193" s="6">
        <f>IF(F193="INFERIOR",N193/J193,"")</f>
        <v/>
      </c>
      <c r="P193" s="5">
        <f>IF(F193="INFERIOR",O193*MUS_parametros!$B$18,N193)</f>
        <v/>
      </c>
      <c r="Q193" s="4" t="inlineStr">
        <is>
          <t>Documento confere com o registro</t>
        </is>
      </c>
    </row>
    <row r="194">
      <c r="A194" s="4" t="inlineStr">
        <is>
          <t>IMB-0129341</t>
        </is>
      </c>
      <c r="B194" s="4" t="inlineStr">
        <is>
          <t>ALMOXARIFADO_INVERSOES_FIXAS</t>
        </is>
      </c>
      <c r="C194" s="4" t="inlineStr">
        <is>
          <t>1.2.03.07.004</t>
        </is>
      </c>
      <c r="D194" s="4" t="inlineStr">
        <is>
          <t>RIO MOSSORO</t>
        </is>
      </c>
      <c r="E194" s="4" t="inlineStr">
        <is>
          <t>MATERIAL DIVERSO DE INVESTIMENTO</t>
        </is>
      </c>
      <c r="F194" s="4" t="inlineStr">
        <is>
          <t>INFERIOR</t>
        </is>
      </c>
      <c r="G194" s="4" t="n">
        <v>1</v>
      </c>
      <c r="H194" s="5" t="n">
        <v>1362150906.838174</v>
      </c>
      <c r="I194" s="5" t="n">
        <v>1362150913.93</v>
      </c>
      <c r="J194" s="5" t="n">
        <v>215.68</v>
      </c>
      <c r="K194" s="4" t="inlineStr">
        <is>
          <t>S</t>
        </is>
      </c>
      <c r="L194" s="4" t="inlineStr">
        <is>
          <t>2023-05-27</t>
        </is>
      </c>
      <c r="M194" s="5" t="n">
        <v>215.68</v>
      </c>
      <c r="N194" s="5">
        <f>J194-M194</f>
        <v/>
      </c>
      <c r="O194" s="6">
        <f>IF(F194="INFERIOR",N194/J194,"")</f>
        <v/>
      </c>
      <c r="P194" s="5">
        <f>IF(F194="INFERIOR",O194*MUS_parametros!$B$18,N194)</f>
        <v/>
      </c>
      <c r="Q194" s="4" t="inlineStr">
        <is>
          <t>Documento confere com o registro</t>
        </is>
      </c>
    </row>
    <row r="195">
      <c r="A195" s="4" t="inlineStr">
        <is>
          <t>IMB-0130163</t>
        </is>
      </c>
      <c r="B195" s="4" t="inlineStr">
        <is>
          <t>DESENVOLVIMENTO_CAMPOS</t>
        </is>
      </c>
      <c r="C195" s="4" t="inlineStr">
        <is>
          <t>1.2.03.04.001</t>
        </is>
      </c>
      <c r="D195" s="4" t="inlineStr">
        <is>
          <t>FAZENDA ONCA</t>
        </is>
      </c>
      <c r="E195" s="4" t="inlineStr">
        <is>
          <t>PERFURACAO E COMPLETACAO</t>
        </is>
      </c>
      <c r="F195" s="4" t="inlineStr">
        <is>
          <t>INFERIOR</t>
        </is>
      </c>
      <c r="G195" s="4" t="n">
        <v>1</v>
      </c>
      <c r="H195" s="5" t="n">
        <v>1367883906.838174</v>
      </c>
      <c r="I195" s="5" t="n">
        <v>1368030909.080002</v>
      </c>
      <c r="J195" s="5" t="n">
        <v>170275.32</v>
      </c>
      <c r="K195" s="4" t="inlineStr">
        <is>
          <t>S</t>
        </is>
      </c>
      <c r="L195" s="4" t="inlineStr">
        <is>
          <t>2025-12-20</t>
        </is>
      </c>
      <c r="M195" s="5" t="n">
        <v>170275.32</v>
      </c>
      <c r="N195" s="5">
        <f>J195-M195</f>
        <v/>
      </c>
      <c r="O195" s="6">
        <f>IF(F195="INFERIOR",N195/J195,"")</f>
        <v/>
      </c>
      <c r="P195" s="5">
        <f>IF(F195="INFERIOR",O195*MUS_parametros!$B$18,N195)</f>
        <v/>
      </c>
      <c r="Q195" s="4" t="inlineStr">
        <is>
          <t>Documento confere com o registro</t>
        </is>
      </c>
    </row>
    <row r="196">
      <c r="A196" s="4" t="inlineStr">
        <is>
          <t>IMB-0130665</t>
        </is>
      </c>
      <c r="B196" s="4" t="inlineStr">
        <is>
          <t>ALMOXARIFADO_INVERSOES_FIXAS</t>
        </is>
      </c>
      <c r="C196" s="4" t="inlineStr">
        <is>
          <t>1.2.03.07.002</t>
        </is>
      </c>
      <c r="D196" s="4" t="inlineStr">
        <is>
          <t>FAZENDA ONCA</t>
        </is>
      </c>
      <c r="E196" s="4" t="inlineStr">
        <is>
          <t>BOMBA DE FUNDO EM ESTOQUE</t>
        </is>
      </c>
      <c r="F196" s="4" t="inlineStr">
        <is>
          <t>INFERIOR</t>
        </is>
      </c>
      <c r="G196" s="4" t="n">
        <v>1</v>
      </c>
      <c r="H196" s="5" t="n">
        <v>1373616906.838174</v>
      </c>
      <c r="I196" s="5" t="n">
        <v>1373622932.750003</v>
      </c>
      <c r="J196" s="5" t="n">
        <v>6290.07</v>
      </c>
      <c r="K196" s="4" t="inlineStr">
        <is>
          <t>S</t>
        </is>
      </c>
      <c r="L196" s="4" t="inlineStr">
        <is>
          <t>2025-06-05</t>
        </is>
      </c>
      <c r="M196" s="5" t="n">
        <v>6290.07</v>
      </c>
      <c r="N196" s="5">
        <f>J196-M196</f>
        <v/>
      </c>
      <c r="O196" s="6">
        <f>IF(F196="INFERIOR",N196/J196,"")</f>
        <v/>
      </c>
      <c r="P196" s="5">
        <f>IF(F196="INFERIOR",O196*MUS_parametros!$B$18,N196)</f>
        <v/>
      </c>
      <c r="Q196" s="4" t="inlineStr">
        <is>
          <t>Documento confere com o registro</t>
        </is>
      </c>
    </row>
    <row r="197">
      <c r="A197" s="4" t="inlineStr">
        <is>
          <t>IMB-0131148</t>
        </is>
      </c>
      <c r="B197" s="4" t="inlineStr">
        <is>
          <t>DESENVOLVIMENTO_CAMPOS</t>
        </is>
      </c>
      <c r="C197" s="4" t="inlineStr">
        <is>
          <t>1.2.03.04.001</t>
        </is>
      </c>
      <c r="D197" s="4" t="inlineStr">
        <is>
          <t>FAZENDA ONCA</t>
        </is>
      </c>
      <c r="E197" s="4" t="inlineStr">
        <is>
          <t>PERFURACAO E COMPLETACAO</t>
        </is>
      </c>
      <c r="F197" s="4" t="inlineStr">
        <is>
          <t>INFERIOR</t>
        </is>
      </c>
      <c r="G197" s="4" t="n">
        <v>1</v>
      </c>
      <c r="H197" s="5" t="n">
        <v>1379349906.838174</v>
      </c>
      <c r="I197" s="5" t="n">
        <v>1379402332.300006</v>
      </c>
      <c r="J197" s="5" t="n">
        <v>57029.74</v>
      </c>
      <c r="K197" s="4" t="inlineStr">
        <is>
          <t>S</t>
        </is>
      </c>
      <c r="L197" s="4" t="inlineStr">
        <is>
          <t>2023-08-12</t>
        </is>
      </c>
      <c r="M197" s="5" t="n">
        <v>57029.74</v>
      </c>
      <c r="N197" s="5">
        <f>J197-M197</f>
        <v/>
      </c>
      <c r="O197" s="6">
        <f>IF(F197="INFERIOR",N197/J197,"")</f>
        <v/>
      </c>
      <c r="P197" s="5">
        <f>IF(F197="INFERIOR",O197*MUS_parametros!$B$18,N197)</f>
        <v/>
      </c>
      <c r="Q197" s="4" t="inlineStr">
        <is>
          <t>Documento confere com o registro</t>
        </is>
      </c>
    </row>
    <row r="198">
      <c r="A198" s="4" t="inlineStr">
        <is>
          <t>IMB-0131843</t>
        </is>
      </c>
      <c r="B198" s="4" t="inlineStr">
        <is>
          <t>DESENVOLVIMENTO_CAMPOS</t>
        </is>
      </c>
      <c r="C198" s="4" t="inlineStr">
        <is>
          <t>1.2.03.04.001</t>
        </is>
      </c>
      <c r="D198" s="4" t="inlineStr">
        <is>
          <t>NORTE FAZENDA CARUACU</t>
        </is>
      </c>
      <c r="E198" s="4" t="inlineStr">
        <is>
          <t>PERFURACAO E COMPLETACAO</t>
        </is>
      </c>
      <c r="F198" s="4" t="inlineStr">
        <is>
          <t>INFERIOR</t>
        </is>
      </c>
      <c r="G198" s="4" t="n">
        <v>1</v>
      </c>
      <c r="H198" s="5" t="n">
        <v>1385082906.838174</v>
      </c>
      <c r="I198" s="5" t="n">
        <v>1385761122.240004</v>
      </c>
      <c r="J198" s="5" t="n">
        <v>773591.46</v>
      </c>
      <c r="K198" s="4" t="inlineStr">
        <is>
          <t>S</t>
        </is>
      </c>
      <c r="L198" s="4" t="inlineStr">
        <is>
          <t>2025-11-25</t>
        </is>
      </c>
      <c r="M198" s="5" t="n">
        <v>773591.46</v>
      </c>
      <c r="N198" s="5">
        <f>J198-M198</f>
        <v/>
      </c>
      <c r="O198" s="6">
        <f>IF(F198="INFERIOR",N198/J198,"")</f>
        <v/>
      </c>
      <c r="P198" s="5">
        <f>IF(F198="INFERIOR",O198*MUS_parametros!$B$18,N198)</f>
        <v/>
      </c>
      <c r="Q198" s="4" t="inlineStr">
        <is>
          <t>Documento confere com o registro</t>
        </is>
      </c>
    </row>
    <row r="199">
      <c r="A199" s="4" t="inlineStr">
        <is>
          <t>IMB-0132372</t>
        </is>
      </c>
      <c r="B199" s="4" t="inlineStr">
        <is>
          <t>DESENVOLVIMENTO_CAMPOS</t>
        </is>
      </c>
      <c r="C199" s="4" t="inlineStr">
        <is>
          <t>1.2.03.04.001</t>
        </is>
      </c>
      <c r="D199" s="4" t="inlineStr">
        <is>
          <t>POT-CONC-11 (SINTETICO)</t>
        </is>
      </c>
      <c r="E199" s="4" t="inlineStr">
        <is>
          <t>PERFURACAO E COMPLETACAO</t>
        </is>
      </c>
      <c r="F199" s="4" t="inlineStr">
        <is>
          <t>INFERIOR</t>
        </is>
      </c>
      <c r="G199" s="4" t="n">
        <v>1</v>
      </c>
      <c r="H199" s="5" t="n">
        <v>1390815906.838174</v>
      </c>
      <c r="I199" s="5" t="n">
        <v>1390902233.460005</v>
      </c>
      <c r="J199" s="5" t="n">
        <v>191230.03</v>
      </c>
      <c r="K199" s="4" t="inlineStr">
        <is>
          <t>S</t>
        </is>
      </c>
      <c r="L199" s="4" t="inlineStr">
        <is>
          <t>2025-11-08</t>
        </is>
      </c>
      <c r="M199" s="5" t="n">
        <v>191230.03</v>
      </c>
      <c r="N199" s="5">
        <f>J199-M199</f>
        <v/>
      </c>
      <c r="O199" s="6">
        <f>IF(F199="INFERIOR",N199/J199,"")</f>
        <v/>
      </c>
      <c r="P199" s="5">
        <f>IF(F199="INFERIOR",O199*MUS_parametros!$B$18,N199)</f>
        <v/>
      </c>
      <c r="Q199" s="4" t="inlineStr">
        <is>
          <t>Documento confere com o registro</t>
        </is>
      </c>
    </row>
    <row r="200">
      <c r="A200" s="4" t="inlineStr">
        <is>
          <t>IMB-0133280</t>
        </is>
      </c>
      <c r="B200" s="4" t="inlineStr">
        <is>
          <t>ALMOXARIFADO_INVERSOES_FIXAS</t>
        </is>
      </c>
      <c r="C200" s="4" t="inlineStr">
        <is>
          <t>1.2.03.07.003</t>
        </is>
      </c>
      <c r="D200" s="4" t="inlineStr">
        <is>
          <t>RIACHO DA FORQUILHA</t>
        </is>
      </c>
      <c r="E200" s="4" t="inlineStr">
        <is>
          <t>VALVULA/EQUIPAMENTO DE SUPERFICIE</t>
        </is>
      </c>
      <c r="F200" s="4" t="inlineStr">
        <is>
          <t>INFERIOR</t>
        </is>
      </c>
      <c r="G200" s="4" t="n">
        <v>1</v>
      </c>
      <c r="H200" s="5" t="n">
        <v>1396548906.838174</v>
      </c>
      <c r="I200" s="5" t="n">
        <v>1396550723.200007</v>
      </c>
      <c r="J200" s="5" t="n">
        <v>1875.37</v>
      </c>
      <c r="K200" s="4" t="inlineStr">
        <is>
          <t>S</t>
        </is>
      </c>
      <c r="L200" s="4" t="inlineStr">
        <is>
          <t>2024-03-09</t>
        </is>
      </c>
      <c r="M200" s="5" t="n">
        <v>1875.37</v>
      </c>
      <c r="N200" s="5">
        <f>J200-M200</f>
        <v/>
      </c>
      <c r="O200" s="6">
        <f>IF(F200="INFERIOR",N200/J200,"")</f>
        <v/>
      </c>
      <c r="P200" s="5">
        <f>IF(F200="INFERIOR",O200*MUS_parametros!$B$18,N200)</f>
        <v/>
      </c>
      <c r="Q200" s="4" t="inlineStr">
        <is>
          <t>Documento confere com o registro</t>
        </is>
      </c>
    </row>
    <row r="201">
      <c r="A201" s="4" t="inlineStr">
        <is>
          <t>IMB-0133575</t>
        </is>
      </c>
      <c r="B201" s="4" t="inlineStr">
        <is>
          <t>DIREITO_PRODUCAO_OLEO_GAS</t>
        </is>
      </c>
      <c r="C201" s="4" t="inlineStr">
        <is>
          <t>1.2.03.03.004</t>
        </is>
      </c>
      <c r="D201" s="4" t="inlineStr">
        <is>
          <t>POT-CONC-06 (SINTETICO)</t>
        </is>
      </c>
      <c r="E201" s="4" t="inlineStr">
        <is>
          <t>CUSTO DE AQUISICAO DA CONCESSAO</t>
        </is>
      </c>
      <c r="F201" s="4" t="inlineStr">
        <is>
          <t>SUPERIOR (VC &gt;= I)</t>
        </is>
      </c>
      <c r="G201" s="4" t="n">
        <v>3</v>
      </c>
      <c r="H201" s="5" t="n">
        <v>1402281906.838174</v>
      </c>
      <c r="I201" s="5" t="n">
        <v>1414406144.870005</v>
      </c>
      <c r="J201" s="5" t="n">
        <v>15564760.07</v>
      </c>
      <c r="K201" s="4" t="inlineStr">
        <is>
          <t>S</t>
        </is>
      </c>
      <c r="L201" s="4" t="inlineStr">
        <is>
          <t>2019-12-09</t>
        </is>
      </c>
      <c r="M201" s="5" t="n">
        <v>15564760.07</v>
      </c>
      <c r="N201" s="5">
        <f>J201-M201</f>
        <v/>
      </c>
      <c r="O201" s="6">
        <f>IF(F201="INFERIOR",N201/J201,"")</f>
        <v/>
      </c>
      <c r="P201" s="5">
        <f>IF(F201="INFERIOR",O201*MUS_parametros!$B$18,N201)</f>
        <v/>
      </c>
      <c r="Q201" s="4" t="inlineStr">
        <is>
          <t>Documento confere com o registro</t>
        </is>
      </c>
    </row>
    <row r="202">
      <c r="A202" s="4" t="inlineStr">
        <is>
          <t>IMB-0133784</t>
        </is>
      </c>
      <c r="B202" s="4" t="inlineStr">
        <is>
          <t>DIREITO_PRODUCAO_OLEO_GAS</t>
        </is>
      </c>
      <c r="C202" s="4" t="inlineStr">
        <is>
          <t>1.2.03.03.004</t>
        </is>
      </c>
      <c r="D202" s="4" t="inlineStr">
        <is>
          <t>POT-CONC-03 (SINTETICO)</t>
        </is>
      </c>
      <c r="E202" s="4" t="inlineStr">
        <is>
          <t>CUSTO DE AQUISICAO DA CONCESSAO</t>
        </is>
      </c>
      <c r="F202" s="4" t="inlineStr">
        <is>
          <t>SUPERIOR (VC &gt;= I)</t>
        </is>
      </c>
      <c r="G202" s="4" t="n">
        <v>3</v>
      </c>
      <c r="H202" s="5" t="n">
        <v>1419480906.838174</v>
      </c>
      <c r="I202" s="5" t="n">
        <v>1433069195.820005</v>
      </c>
      <c r="J202" s="5" t="n">
        <v>17734315.21</v>
      </c>
      <c r="K202" s="4" t="inlineStr">
        <is>
          <t>S</t>
        </is>
      </c>
      <c r="L202" s="4" t="inlineStr">
        <is>
          <t>2019-12-09</t>
        </is>
      </c>
      <c r="M202" s="5" t="n">
        <v>17734315.21</v>
      </c>
      <c r="N202" s="5">
        <f>J202-M202</f>
        <v/>
      </c>
      <c r="O202" s="6">
        <f>IF(F202="INFERIOR",N202/J202,"")</f>
        <v/>
      </c>
      <c r="P202" s="5">
        <f>IF(F202="INFERIOR",O202*MUS_parametros!$B$18,N202)</f>
        <v/>
      </c>
      <c r="Q202" s="4" t="inlineStr">
        <is>
          <t>Documento confere com o registro</t>
        </is>
      </c>
    </row>
    <row r="203">
      <c r="A203" s="4" t="inlineStr">
        <is>
          <t>IMB-0134166</t>
        </is>
      </c>
      <c r="B203" s="4" t="inlineStr">
        <is>
          <t>DESENVOLVIMENTO_CAMPOS</t>
        </is>
      </c>
      <c r="C203" s="4" t="inlineStr">
        <is>
          <t>1.2.03.04.001</t>
        </is>
      </c>
      <c r="D203" s="4" t="inlineStr">
        <is>
          <t>TARTARUGA</t>
        </is>
      </c>
      <c r="E203" s="4" t="inlineStr">
        <is>
          <t>PERFURACAO E COMPLETACAO</t>
        </is>
      </c>
      <c r="F203" s="4" t="inlineStr">
        <is>
          <t>INFERIOR</t>
        </is>
      </c>
      <c r="G203" s="4" t="n">
        <v>1</v>
      </c>
      <c r="H203" s="5" t="n">
        <v>1436679906.838174</v>
      </c>
      <c r="I203" s="5" t="n">
        <v>1436919926.120008</v>
      </c>
      <c r="J203" s="5" t="n">
        <v>774797.5</v>
      </c>
      <c r="K203" s="4" t="inlineStr">
        <is>
          <t>S</t>
        </is>
      </c>
      <c r="L203" s="4" t="inlineStr">
        <is>
          <t>2025-06-07</t>
        </is>
      </c>
      <c r="M203" s="5" t="n">
        <v>774797.5</v>
      </c>
      <c r="N203" s="5">
        <f>J203-M203</f>
        <v/>
      </c>
      <c r="O203" s="6">
        <f>IF(F203="INFERIOR",N203/J203,"")</f>
        <v/>
      </c>
      <c r="P203" s="5">
        <f>IF(F203="INFERIOR",O203*MUS_parametros!$B$18,N203)</f>
        <v/>
      </c>
      <c r="Q203" s="4" t="inlineStr">
        <is>
          <t>Documento confere com o registro</t>
        </is>
      </c>
    </row>
    <row r="204">
      <c r="A204" s="4" t="inlineStr">
        <is>
          <t>IMB-0134821</t>
        </is>
      </c>
      <c r="B204" s="4" t="inlineStr">
        <is>
          <t>DESENVOLVIMENTO_CAMPOS</t>
        </is>
      </c>
      <c r="C204" s="4" t="inlineStr">
        <is>
          <t>1.2.03.04.001</t>
        </is>
      </c>
      <c r="D204" s="4" t="inlineStr">
        <is>
          <t>RIACHO SAO PEDRO</t>
        </is>
      </c>
      <c r="E204" s="4" t="inlineStr">
        <is>
          <t>PERFURACAO E COMPLETACAO</t>
        </is>
      </c>
      <c r="F204" s="4" t="inlineStr">
        <is>
          <t>INFERIOR</t>
        </is>
      </c>
      <c r="G204" s="4" t="n">
        <v>1</v>
      </c>
      <c r="H204" s="5" t="n">
        <v>1442412906.838174</v>
      </c>
      <c r="I204" s="5" t="n">
        <v>1442478044.730009</v>
      </c>
      <c r="J204" s="5" t="n">
        <v>94991.64999999999</v>
      </c>
      <c r="K204" s="4" t="inlineStr">
        <is>
          <t>S</t>
        </is>
      </c>
      <c r="L204" s="4" t="inlineStr">
        <is>
          <t>2025-04-25</t>
        </is>
      </c>
      <c r="M204" s="5" t="n">
        <v>94991.64999999999</v>
      </c>
      <c r="N204" s="5">
        <f>J204-M204</f>
        <v/>
      </c>
      <c r="O204" s="6">
        <f>IF(F204="INFERIOR",N204/J204,"")</f>
        <v/>
      </c>
      <c r="P204" s="5">
        <f>IF(F204="INFERIOR",O204*MUS_parametros!$B$18,N204)</f>
        <v/>
      </c>
      <c r="Q204" s="4" t="inlineStr">
        <is>
          <t>Documento confere com o registro</t>
        </is>
      </c>
    </row>
    <row r="205">
      <c r="A205" s="4" t="inlineStr">
        <is>
          <t>IMB-0135496</t>
        </is>
      </c>
      <c r="B205" s="4" t="inlineStr">
        <is>
          <t>DESENVOLVIMENTO_CAMPOS</t>
        </is>
      </c>
      <c r="C205" s="4" t="inlineStr">
        <is>
          <t>1.2.03.04.002</t>
        </is>
      </c>
      <c r="D205" s="4" t="inlineStr">
        <is>
          <t>FAZENDA ONCA</t>
        </is>
      </c>
      <c r="E205" s="4" t="inlineStr">
        <is>
          <t>WORKOVER / RECOMPLETACAO CAPITALIZADO</t>
        </is>
      </c>
      <c r="F205" s="4" t="inlineStr">
        <is>
          <t>INFERIOR</t>
        </is>
      </c>
      <c r="G205" s="4" t="n">
        <v>1</v>
      </c>
      <c r="H205" s="5" t="n">
        <v>1448145906.838174</v>
      </c>
      <c r="I205" s="5" t="n">
        <v>1448145958.880009</v>
      </c>
      <c r="J205" s="5" t="n">
        <v>587.92</v>
      </c>
      <c r="K205" s="4" t="inlineStr">
        <is>
          <t>S</t>
        </is>
      </c>
      <c r="L205" s="4" t="inlineStr">
        <is>
          <t>2025-08-29</t>
        </is>
      </c>
      <c r="M205" s="5" t="n">
        <v>587.92</v>
      </c>
      <c r="N205" s="5">
        <f>J205-M205</f>
        <v/>
      </c>
      <c r="O205" s="6">
        <f>IF(F205="INFERIOR",N205/J205,"")</f>
        <v/>
      </c>
      <c r="P205" s="5">
        <f>IF(F205="INFERIOR",O205*MUS_parametros!$B$18,N205)</f>
        <v/>
      </c>
      <c r="Q205" s="4" t="inlineStr">
        <is>
          <t>Documento confere com o registro</t>
        </is>
      </c>
    </row>
    <row r="206">
      <c r="A206" s="4" t="inlineStr">
        <is>
          <t>IMB-0135994</t>
        </is>
      </c>
      <c r="B206" s="4" t="inlineStr">
        <is>
          <t>DESENVOLVIMENTO_CAMPOS</t>
        </is>
      </c>
      <c r="C206" s="4" t="inlineStr">
        <is>
          <t>1.2.03.04.001</t>
        </is>
      </c>
      <c r="D206" s="4" t="inlineStr">
        <is>
          <t>POT-CONC-12 (SINTETICO)</t>
        </is>
      </c>
      <c r="E206" s="4" t="inlineStr">
        <is>
          <t>PERFURACAO E COMPLETACAO</t>
        </is>
      </c>
      <c r="F206" s="4" t="inlineStr">
        <is>
          <t>INFERIOR</t>
        </is>
      </c>
      <c r="G206" s="4" t="n">
        <v>1</v>
      </c>
      <c r="H206" s="5" t="n">
        <v>1453878906.838174</v>
      </c>
      <c r="I206" s="5" t="n">
        <v>1453921666.270009</v>
      </c>
      <c r="J206" s="5" t="n">
        <v>221442.97</v>
      </c>
      <c r="K206" s="4" t="inlineStr">
        <is>
          <t>S</t>
        </is>
      </c>
      <c r="L206" s="4" t="inlineStr">
        <is>
          <t>2025-07-22</t>
        </is>
      </c>
      <c r="M206" s="5" t="n">
        <v>221442.97</v>
      </c>
      <c r="N206" s="5">
        <f>J206-M206</f>
        <v/>
      </c>
      <c r="O206" s="6">
        <f>IF(F206="INFERIOR",N206/J206,"")</f>
        <v/>
      </c>
      <c r="P206" s="5">
        <f>IF(F206="INFERIOR",O206*MUS_parametros!$B$18,N206)</f>
        <v/>
      </c>
      <c r="Q206" s="4" t="inlineStr">
        <is>
          <t>Documento confere com o registro</t>
        </is>
      </c>
    </row>
    <row r="207">
      <c r="A207" s="4" t="inlineStr">
        <is>
          <t>IMB-0136670</t>
        </is>
      </c>
      <c r="B207" s="4" t="inlineStr">
        <is>
          <t>MAQUINAS_EQUIPAMENTOS</t>
        </is>
      </c>
      <c r="C207" s="4" t="inlineStr">
        <is>
          <t>1.2.03.01.004</t>
        </is>
      </c>
      <c r="D207" s="4" t="inlineStr">
        <is>
          <t>UPGN GUAMARE</t>
        </is>
      </c>
      <c r="E207" s="4" t="inlineStr">
        <is>
          <t>MODULO DE PROCESSAMENTO UPGN III</t>
        </is>
      </c>
      <c r="F207" s="4" t="inlineStr">
        <is>
          <t>INFERIOR</t>
        </is>
      </c>
      <c r="G207" s="4" t="n">
        <v>1</v>
      </c>
      <c r="H207" s="5" t="n">
        <v>1459611906.838174</v>
      </c>
      <c r="I207" s="5" t="n">
        <v>1459644934.870008</v>
      </c>
      <c r="J207" s="5" t="n">
        <v>95142.50999999999</v>
      </c>
      <c r="K207" s="4" t="inlineStr">
        <is>
          <t>S</t>
        </is>
      </c>
      <c r="L207" s="4" t="inlineStr">
        <is>
          <t>2025-09-30</t>
        </is>
      </c>
      <c r="M207" s="5" t="n">
        <v>95142.50999999999</v>
      </c>
      <c r="N207" s="5">
        <f>J207-M207</f>
        <v/>
      </c>
      <c r="O207" s="6">
        <f>IF(F207="INFERIOR",N207/J207,"")</f>
        <v/>
      </c>
      <c r="P207" s="5">
        <f>IF(F207="INFERIOR",O207*MUS_parametros!$B$18,N207)</f>
        <v/>
      </c>
      <c r="Q207" s="4" t="inlineStr">
        <is>
          <t>Documento confere com o registro</t>
        </is>
      </c>
    </row>
    <row r="208">
      <c r="A208" s="4" t="inlineStr">
        <is>
          <t>IMB-0137168</t>
        </is>
      </c>
      <c r="B208" s="4" t="inlineStr">
        <is>
          <t>DESENVOLVIMENTO_CAMPOS</t>
        </is>
      </c>
      <c r="C208" s="4" t="inlineStr">
        <is>
          <t>1.2.03.04.001</t>
        </is>
      </c>
      <c r="D208" s="4" t="inlineStr">
        <is>
          <t>REMANSO</t>
        </is>
      </c>
      <c r="E208" s="4" t="inlineStr">
        <is>
          <t>PERFURACAO E COMPLETACAO</t>
        </is>
      </c>
      <c r="F208" s="4" t="inlineStr">
        <is>
          <t>INFERIOR</t>
        </is>
      </c>
      <c r="G208" s="4" t="n">
        <v>1</v>
      </c>
      <c r="H208" s="5" t="n">
        <v>1465344906.838174</v>
      </c>
      <c r="I208" s="5" t="n">
        <v>1465362081.460007</v>
      </c>
      <c r="J208" s="5" t="n">
        <v>139163.84</v>
      </c>
      <c r="K208" s="4" t="inlineStr">
        <is>
          <t>S</t>
        </is>
      </c>
      <c r="L208" s="4" t="inlineStr">
        <is>
          <t>2025-08-10</t>
        </is>
      </c>
      <c r="M208" s="5" t="n">
        <v>139163.84</v>
      </c>
      <c r="N208" s="5">
        <f>J208-M208</f>
        <v/>
      </c>
      <c r="O208" s="6">
        <f>IF(F208="INFERIOR",N208/J208,"")</f>
        <v/>
      </c>
      <c r="P208" s="5">
        <f>IF(F208="INFERIOR",O208*MUS_parametros!$B$18,N208)</f>
        <v/>
      </c>
      <c r="Q208" s="4" t="inlineStr">
        <is>
          <t>Documento confere com o registro</t>
        </is>
      </c>
    </row>
    <row r="209">
      <c r="A209" s="4" t="inlineStr">
        <is>
          <t>IMB-0138065</t>
        </is>
      </c>
      <c r="B209" s="4" t="inlineStr">
        <is>
          <t>DESENVOLVIMENTO_CAMPOS</t>
        </is>
      </c>
      <c r="C209" s="4" t="inlineStr">
        <is>
          <t>1.2.03.04.001</t>
        </is>
      </c>
      <c r="D209" s="4" t="inlineStr">
        <is>
          <t>POT-CONC-10 (SINTETICO)</t>
        </is>
      </c>
      <c r="E209" s="4" t="inlineStr">
        <is>
          <t>PERFURACAO E COMPLETACAO</t>
        </is>
      </c>
      <c r="F209" s="4" t="inlineStr">
        <is>
          <t>INFERIOR</t>
        </is>
      </c>
      <c r="G209" s="4" t="n">
        <v>1</v>
      </c>
      <c r="H209" s="5" t="n">
        <v>1471077906.838174</v>
      </c>
      <c r="I209" s="5" t="n">
        <v>1471216543.060003</v>
      </c>
      <c r="J209" s="5" t="n">
        <v>330128.06</v>
      </c>
      <c r="K209" s="4" t="inlineStr">
        <is>
          <t>S</t>
        </is>
      </c>
      <c r="L209" s="4" t="inlineStr">
        <is>
          <t>2025-08-12</t>
        </is>
      </c>
      <c r="M209" s="5" t="n">
        <v>330128.06</v>
      </c>
      <c r="N209" s="5">
        <f>J209-M209</f>
        <v/>
      </c>
      <c r="O209" s="6">
        <f>IF(F209="INFERIOR",N209/J209,"")</f>
        <v/>
      </c>
      <c r="P209" s="5">
        <f>IF(F209="INFERIOR",O209*MUS_parametros!$B$18,N209)</f>
        <v/>
      </c>
      <c r="Q209" s="4" t="inlineStr">
        <is>
          <t>Documento confere com o registro</t>
        </is>
      </c>
    </row>
    <row r="210">
      <c r="A210" s="4" t="inlineStr">
        <is>
          <t>IMB-0138647</t>
        </is>
      </c>
      <c r="B210" s="4" t="inlineStr">
        <is>
          <t>DESENVOLVIMENTO_CAMPOS</t>
        </is>
      </c>
      <c r="C210" s="4" t="inlineStr">
        <is>
          <t>1.2.03.04.001</t>
        </is>
      </c>
      <c r="D210" s="4" t="inlineStr">
        <is>
          <t>TARTARUGA</t>
        </is>
      </c>
      <c r="E210" s="4" t="inlineStr">
        <is>
          <t>PERFURACAO E COMPLETACAO</t>
        </is>
      </c>
      <c r="F210" s="4" t="inlineStr">
        <is>
          <t>INFERIOR</t>
        </is>
      </c>
      <c r="G210" s="4" t="n">
        <v>1</v>
      </c>
      <c r="H210" s="5" t="n">
        <v>1476810906.838174</v>
      </c>
      <c r="I210" s="5" t="n">
        <v>1478849335.129999</v>
      </c>
      <c r="J210" s="5" t="n">
        <v>3931104.57</v>
      </c>
      <c r="K210" s="4" t="inlineStr">
        <is>
          <t>S</t>
        </is>
      </c>
      <c r="L210" s="4" t="inlineStr">
        <is>
          <t>2025-07-16</t>
        </is>
      </c>
      <c r="M210" s="5" t="n">
        <v>3931104.57</v>
      </c>
      <c r="N210" s="5">
        <f>J210-M210</f>
        <v/>
      </c>
      <c r="O210" s="6">
        <f>IF(F210="INFERIOR",N210/J210,"")</f>
        <v/>
      </c>
      <c r="P210" s="5">
        <f>IF(F210="INFERIOR",O210*MUS_parametros!$B$18,N210)</f>
        <v/>
      </c>
      <c r="Q210" s="4" t="inlineStr">
        <is>
          <t>Documento confere com o registro</t>
        </is>
      </c>
    </row>
    <row r="211">
      <c r="A211" s="4" t="inlineStr">
        <is>
          <t>IMB-0139000</t>
        </is>
      </c>
      <c r="B211" s="4" t="inlineStr">
        <is>
          <t>MAQUINAS_EQUIPAMENTOS</t>
        </is>
      </c>
      <c r="C211" s="4" t="inlineStr">
        <is>
          <t>1.2.03.01.005</t>
        </is>
      </c>
      <c r="D211" s="4" t="inlineStr">
        <is>
          <t>POT-CONC-12 (SINTETICO)</t>
        </is>
      </c>
      <c r="E211" s="4" t="inlineStr">
        <is>
          <t>FERRAMENTA/EQUIPAMENTO DE CAMPO</t>
        </is>
      </c>
      <c r="F211" s="4" t="inlineStr">
        <is>
          <t>INFERIOR</t>
        </is>
      </c>
      <c r="G211" s="4" t="n">
        <v>1</v>
      </c>
      <c r="H211" s="5" t="n">
        <v>1482543906.838174</v>
      </c>
      <c r="I211" s="5" t="n">
        <v>1482547411.119999</v>
      </c>
      <c r="J211" s="5" t="n">
        <v>5609.97</v>
      </c>
      <c r="K211" s="4" t="inlineStr">
        <is>
          <t>S</t>
        </is>
      </c>
      <c r="L211" s="4" t="inlineStr">
        <is>
          <t>2015-05-09</t>
        </is>
      </c>
      <c r="M211" s="5" t="n">
        <v>5609.97</v>
      </c>
      <c r="N211" s="5">
        <f>J211-M211</f>
        <v/>
      </c>
      <c r="O211" s="6">
        <f>IF(F211="INFERIOR",N211/J211,"")</f>
        <v/>
      </c>
      <c r="P211" s="5">
        <f>IF(F211="INFERIOR",O211*MUS_parametros!$B$18,N211)</f>
        <v/>
      </c>
      <c r="Q211" s="4" t="inlineStr">
        <is>
          <t>Documento confere com o registro</t>
        </is>
      </c>
    </row>
    <row r="212">
      <c r="A212" s="4" t="inlineStr">
        <is>
          <t>IMB-0140020</t>
        </is>
      </c>
      <c r="B212" s="4" t="inlineStr">
        <is>
          <t>DESENVOLVIMENTO_CAMPOS</t>
        </is>
      </c>
      <c r="C212" s="4" t="inlineStr">
        <is>
          <t>1.2.03.04.002</t>
        </is>
      </c>
      <c r="D212" s="4" t="inlineStr">
        <is>
          <t>POT-CONC-19 (SINTETICO)</t>
        </is>
      </c>
      <c r="E212" s="4" t="inlineStr">
        <is>
          <t>FRATURAMENTO / ESTIMULACAO CAPITALIZADA</t>
        </is>
      </c>
      <c r="F212" s="4" t="inlineStr">
        <is>
          <t>INFERIOR</t>
        </is>
      </c>
      <c r="G212" s="4" t="n">
        <v>1</v>
      </c>
      <c r="H212" s="5" t="n">
        <v>1488276906.838174</v>
      </c>
      <c r="I212" s="5" t="n">
        <v>1488282687.92</v>
      </c>
      <c r="J212" s="5" t="n">
        <v>8273.530000000001</v>
      </c>
      <c r="K212" s="4" t="inlineStr">
        <is>
          <t>S</t>
        </is>
      </c>
      <c r="L212" s="4" t="inlineStr">
        <is>
          <t>2025-04-15</t>
        </is>
      </c>
      <c r="M212" s="5" t="n">
        <v>8273.530000000001</v>
      </c>
      <c r="N212" s="5">
        <f>J212-M212</f>
        <v/>
      </c>
      <c r="O212" s="6">
        <f>IF(F212="INFERIOR",N212/J212,"")</f>
        <v/>
      </c>
      <c r="P212" s="5">
        <f>IF(F212="INFERIOR",O212*MUS_parametros!$B$18,N212)</f>
        <v/>
      </c>
      <c r="Q212" s="4" t="inlineStr">
        <is>
          <t>Documento confere com o registro</t>
        </is>
      </c>
    </row>
    <row r="213">
      <c r="A213" s="4" t="inlineStr">
        <is>
          <t>IMB-0140337</t>
        </is>
      </c>
      <c r="B213" s="4" t="inlineStr">
        <is>
          <t>DESENVOLVIMENTO_CAMPOS</t>
        </is>
      </c>
      <c r="C213" s="4" t="inlineStr">
        <is>
          <t>1.2.03.04.001</t>
        </is>
      </c>
      <c r="D213" s="4" t="inlineStr">
        <is>
          <t>RIO DOS OVOS</t>
        </is>
      </c>
      <c r="E213" s="4" t="inlineStr">
        <is>
          <t>PERFURACAO E COMPLETACAO</t>
        </is>
      </c>
      <c r="F213" s="4" t="inlineStr">
        <is>
          <t>INFERIOR</t>
        </is>
      </c>
      <c r="G213" s="4" t="n">
        <v>1</v>
      </c>
      <c r="H213" s="5" t="n">
        <v>1494009906.838174</v>
      </c>
      <c r="I213" s="5" t="n">
        <v>1494457863.42</v>
      </c>
      <c r="J213" s="5" t="n">
        <v>1027776.04</v>
      </c>
      <c r="K213" s="4" t="inlineStr">
        <is>
          <t>S</t>
        </is>
      </c>
      <c r="L213" s="4" t="inlineStr">
        <is>
          <t>2025-12-23</t>
        </is>
      </c>
      <c r="M213" s="5" t="n">
        <v>1027776.04</v>
      </c>
      <c r="N213" s="5">
        <f>J213-M213</f>
        <v/>
      </c>
      <c r="O213" s="6">
        <f>IF(F213="INFERIOR",N213/J213,"")</f>
        <v/>
      </c>
      <c r="P213" s="5">
        <f>IF(F213="INFERIOR",O213*MUS_parametros!$B$18,N213)</f>
        <v/>
      </c>
      <c r="Q213" s="4" t="inlineStr">
        <is>
          <t>Documento confere com o registro</t>
        </is>
      </c>
    </row>
    <row r="214">
      <c r="A214" s="4" t="inlineStr">
        <is>
          <t>IMB-0141247</t>
        </is>
      </c>
      <c r="B214" s="4" t="inlineStr">
        <is>
          <t>ALMOXARIFADO_INVERSOES_FIXAS</t>
        </is>
      </c>
      <c r="C214" s="4" t="inlineStr">
        <is>
          <t>1.2.03.07.001</t>
        </is>
      </c>
      <c r="D214" s="4" t="inlineStr">
        <is>
          <t>MATA DE SAO JOAO</t>
        </is>
      </c>
      <c r="E214" s="4" t="inlineStr">
        <is>
          <t>TUBO DE REVESTIMENTO/PRODUCAO (LOTE)</t>
        </is>
      </c>
      <c r="F214" s="4" t="inlineStr">
        <is>
          <t>INFERIOR</t>
        </is>
      </c>
      <c r="G214" s="4" t="n">
        <v>1</v>
      </c>
      <c r="H214" s="5" t="n">
        <v>1499742906.838174</v>
      </c>
      <c r="I214" s="5" t="n">
        <v>1499746571.380001</v>
      </c>
      <c r="J214" s="5" t="n">
        <v>3727.51</v>
      </c>
      <c r="K214" s="4" t="inlineStr">
        <is>
          <t>S</t>
        </is>
      </c>
      <c r="L214" s="4" t="inlineStr">
        <is>
          <t>2025-09-25</t>
        </is>
      </c>
      <c r="M214" s="5" t="n">
        <v>3727.51</v>
      </c>
      <c r="N214" s="5">
        <f>J214-M214</f>
        <v/>
      </c>
      <c r="O214" s="6">
        <f>IF(F214="INFERIOR",N214/J214,"")</f>
        <v/>
      </c>
      <c r="P214" s="5">
        <f>IF(F214="INFERIOR",O214*MUS_parametros!$B$18,N214)</f>
        <v/>
      </c>
      <c r="Q214" s="4" t="inlineStr">
        <is>
          <t>Documento confere com o registro</t>
        </is>
      </c>
    </row>
    <row r="215">
      <c r="A215" s="4" t="inlineStr">
        <is>
          <t>IMB-0142029</t>
        </is>
      </c>
      <c r="B215" s="4" t="inlineStr">
        <is>
          <t>DESENVOLVIMENTO_CAMPOS</t>
        </is>
      </c>
      <c r="C215" s="4" t="inlineStr">
        <is>
          <t>1.2.03.04.001</t>
        </is>
      </c>
      <c r="D215" s="4" t="inlineStr">
        <is>
          <t>POT-CONC-07 (SINTETICO)</t>
        </is>
      </c>
      <c r="E215" s="4" t="inlineStr">
        <is>
          <t>PERFURACAO E COMPLETACAO</t>
        </is>
      </c>
      <c r="F215" s="4" t="inlineStr">
        <is>
          <t>INFERIOR</t>
        </is>
      </c>
      <c r="G215" s="4" t="n">
        <v>1</v>
      </c>
      <c r="H215" s="5" t="n">
        <v>1505475906.838174</v>
      </c>
      <c r="I215" s="5" t="n">
        <v>1505829642.200001</v>
      </c>
      <c r="J215" s="5" t="n">
        <v>530110.41</v>
      </c>
      <c r="K215" s="4" t="inlineStr">
        <is>
          <t>S</t>
        </is>
      </c>
      <c r="L215" s="4" t="inlineStr">
        <is>
          <t>2025-03-02</t>
        </is>
      </c>
      <c r="M215" s="5" t="n">
        <v>530110.41</v>
      </c>
      <c r="N215" s="5">
        <f>J215-M215</f>
        <v/>
      </c>
      <c r="O215" s="6">
        <f>IF(F215="INFERIOR",N215/J215,"")</f>
        <v/>
      </c>
      <c r="P215" s="5">
        <f>IF(F215="INFERIOR",O215*MUS_parametros!$B$18,N215)</f>
        <v/>
      </c>
      <c r="Q215" s="4" t="inlineStr">
        <is>
          <t>Documento confere com o registro</t>
        </is>
      </c>
    </row>
    <row r="216">
      <c r="A216" s="4" t="inlineStr">
        <is>
          <t>IMB-0142682</t>
        </is>
      </c>
      <c r="B216" s="4" t="inlineStr">
        <is>
          <t>ALMOXARIFADO_INVERSOES_FIXAS</t>
        </is>
      </c>
      <c r="C216" s="4" t="inlineStr">
        <is>
          <t>1.2.03.07.001</t>
        </is>
      </c>
      <c r="D216" s="4" t="inlineStr">
        <is>
          <t>JACUIPE</t>
        </is>
      </c>
      <c r="E216" s="4" t="inlineStr">
        <is>
          <t>TUBO DE REVESTIMENTO/PRODUCAO (LOTE)</t>
        </is>
      </c>
      <c r="F216" s="4" t="inlineStr">
        <is>
          <t>INFERIOR</t>
        </is>
      </c>
      <c r="G216" s="4" t="n">
        <v>1</v>
      </c>
      <c r="H216" s="5" t="n">
        <v>1511208906.838174</v>
      </c>
      <c r="I216" s="5" t="n">
        <v>1511209005.740001</v>
      </c>
      <c r="J216" s="5" t="n">
        <v>2240.28</v>
      </c>
      <c r="K216" s="4" t="inlineStr">
        <is>
          <t>S</t>
        </is>
      </c>
      <c r="L216" s="4" t="inlineStr">
        <is>
          <t>2023-07-17</t>
        </is>
      </c>
      <c r="M216" s="5" t="n">
        <v>2240.28</v>
      </c>
      <c r="N216" s="5">
        <f>J216-M216</f>
        <v/>
      </c>
      <c r="O216" s="6">
        <f>IF(F216="INFERIOR",N216/J216,"")</f>
        <v/>
      </c>
      <c r="P216" s="5">
        <f>IF(F216="INFERIOR",O216*MUS_parametros!$B$18,N216)</f>
        <v/>
      </c>
      <c r="Q216" s="4" t="inlineStr">
        <is>
          <t>Documento confere com o registro</t>
        </is>
      </c>
    </row>
    <row r="217">
      <c r="A217" s="4" t="inlineStr">
        <is>
          <t>IMB-0143564</t>
        </is>
      </c>
      <c r="B217" s="4" t="inlineStr">
        <is>
          <t>MAQUINAS_EQUIPAMENTOS</t>
        </is>
      </c>
      <c r="C217" s="4" t="inlineStr">
        <is>
          <t>1.2.03.01.003</t>
        </is>
      </c>
      <c r="D217" s="4" t="inlineStr">
        <is>
          <t>BAIXA DO ALGODAO</t>
        </is>
      </c>
      <c r="E217" s="4" t="inlineStr">
        <is>
          <t>COMPRESSOR/SEPARADOR/TANQUE/FACILITY</t>
        </is>
      </c>
      <c r="F217" s="4" t="inlineStr">
        <is>
          <t>INFERIOR</t>
        </is>
      </c>
      <c r="G217" s="4" t="n">
        <v>1</v>
      </c>
      <c r="H217" s="5" t="n">
        <v>1516941906.838174</v>
      </c>
      <c r="I217" s="5" t="n">
        <v>1516965193.849998</v>
      </c>
      <c r="J217" s="5" t="n">
        <v>53271.84</v>
      </c>
      <c r="K217" s="4" t="inlineStr">
        <is>
          <t>S</t>
        </is>
      </c>
      <c r="L217" s="4" t="inlineStr">
        <is>
          <t>2024-11-13</t>
        </is>
      </c>
      <c r="M217" s="5" t="n">
        <v>53271.84</v>
      </c>
      <c r="N217" s="5">
        <f>J217-M217</f>
        <v/>
      </c>
      <c r="O217" s="6">
        <f>IF(F217="INFERIOR",N217/J217,"")</f>
        <v/>
      </c>
      <c r="P217" s="5">
        <f>IF(F217="INFERIOR",O217*MUS_parametros!$B$18,N217)</f>
        <v/>
      </c>
      <c r="Q217" s="4" t="inlineStr">
        <is>
          <t>Documento confere com o registro</t>
        </is>
      </c>
    </row>
    <row r="218">
      <c r="A218" s="4" t="inlineStr">
        <is>
          <t>IMB-0144527</t>
        </is>
      </c>
      <c r="B218" s="4" t="inlineStr">
        <is>
          <t>DESENVOLVIMENTO_CAMPOS</t>
        </is>
      </c>
      <c r="C218" s="4" t="inlineStr">
        <is>
          <t>1.2.03.04.001</t>
        </is>
      </c>
      <c r="D218" s="4" t="inlineStr">
        <is>
          <t>REMANSO</t>
        </is>
      </c>
      <c r="E218" s="4" t="inlineStr">
        <is>
          <t>PERFURACAO E COMPLETACAO</t>
        </is>
      </c>
      <c r="F218" s="4" t="inlineStr">
        <is>
          <t>INFERIOR</t>
        </is>
      </c>
      <c r="G218" s="4" t="n">
        <v>1</v>
      </c>
      <c r="H218" s="5" t="n">
        <v>1522674906.838174</v>
      </c>
      <c r="I218" s="5" t="n">
        <v>1525381984.059998</v>
      </c>
      <c r="J218" s="5" t="n">
        <v>3060744.02</v>
      </c>
      <c r="K218" s="4" t="inlineStr">
        <is>
          <t>S</t>
        </is>
      </c>
      <c r="L218" s="4" t="inlineStr">
        <is>
          <t>2025-12-21</t>
        </is>
      </c>
      <c r="M218" s="5" t="n">
        <v>3060744.02</v>
      </c>
      <c r="N218" s="5">
        <f>J218-M218</f>
        <v/>
      </c>
      <c r="O218" s="6">
        <f>IF(F218="INFERIOR",N218/J218,"")</f>
        <v/>
      </c>
      <c r="P218" s="5">
        <f>IF(F218="INFERIOR",O218*MUS_parametros!$B$18,N218)</f>
        <v/>
      </c>
      <c r="Q218" s="4" t="inlineStr">
        <is>
          <t>Documento confere com o registro</t>
        </is>
      </c>
    </row>
    <row r="219">
      <c r="A219" s="4" t="inlineStr">
        <is>
          <t>IMB-0144862</t>
        </is>
      </c>
      <c r="B219" s="4" t="inlineStr">
        <is>
          <t>DESENVOLVIMENTO_CAMPOS</t>
        </is>
      </c>
      <c r="C219" s="4" t="inlineStr">
        <is>
          <t>1.2.03.04.001</t>
        </is>
      </c>
      <c r="D219" s="4" t="inlineStr">
        <is>
          <t>TIE</t>
        </is>
      </c>
      <c r="E219" s="4" t="inlineStr">
        <is>
          <t>PERFURACAO E COMPLETACAO</t>
        </is>
      </c>
      <c r="F219" s="4" t="inlineStr">
        <is>
          <t>INFERIOR</t>
        </is>
      </c>
      <c r="G219" s="4" t="n">
        <v>1</v>
      </c>
      <c r="H219" s="5" t="n">
        <v>1528407906.838174</v>
      </c>
      <c r="I219" s="5" t="n">
        <v>1531620449.679999</v>
      </c>
      <c r="J219" s="5" t="n">
        <v>4408977.58</v>
      </c>
      <c r="K219" s="4" t="inlineStr">
        <is>
          <t>S</t>
        </is>
      </c>
      <c r="L219" s="4" t="inlineStr">
        <is>
          <t>2025-02-19</t>
        </is>
      </c>
      <c r="M219" s="5" t="n">
        <v>4408977.58</v>
      </c>
      <c r="N219" s="5">
        <f>J219-M219</f>
        <v/>
      </c>
      <c r="O219" s="6">
        <f>IF(F219="INFERIOR",N219/J219,"")</f>
        <v/>
      </c>
      <c r="P219" s="5">
        <f>IF(F219="INFERIOR",O219*MUS_parametros!$B$18,N219)</f>
        <v/>
      </c>
      <c r="Q219" s="4" t="inlineStr">
        <is>
          <t>Documento confere com o registro</t>
        </is>
      </c>
    </row>
    <row r="220">
      <c r="A220" s="4" t="inlineStr">
        <is>
          <t>IMB-0145305</t>
        </is>
      </c>
      <c r="B220" s="4" t="inlineStr">
        <is>
          <t>ALMOXARIFADO_INVERSOES_FIXAS</t>
        </is>
      </c>
      <c r="C220" s="4" t="inlineStr">
        <is>
          <t>1.2.03.07.002</t>
        </is>
      </c>
      <c r="D220" s="4" t="inlineStr">
        <is>
          <t>POT-CONC-04 (SINTETICO)</t>
        </is>
      </c>
      <c r="E220" s="4" t="inlineStr">
        <is>
          <t>BOMBA DE FUNDO EM ESTOQUE</t>
        </is>
      </c>
      <c r="F220" s="4" t="inlineStr">
        <is>
          <t>INFERIOR</t>
        </is>
      </c>
      <c r="G220" s="4" t="n">
        <v>1</v>
      </c>
      <c r="H220" s="5" t="n">
        <v>1534140906.838174</v>
      </c>
      <c r="I220" s="5" t="n">
        <v>1534141727.539999</v>
      </c>
      <c r="J220" s="5" t="n">
        <v>1645.66</v>
      </c>
      <c r="K220" s="4" t="inlineStr">
        <is>
          <t>S</t>
        </is>
      </c>
      <c r="L220" s="4" t="inlineStr">
        <is>
          <t>2025-04-13</t>
        </is>
      </c>
      <c r="M220" s="5" t="n">
        <v>1645.66</v>
      </c>
      <c r="N220" s="5">
        <f>J220-M220</f>
        <v/>
      </c>
      <c r="O220" s="6">
        <f>IF(F220="INFERIOR",N220/J220,"")</f>
        <v/>
      </c>
      <c r="P220" s="5">
        <f>IF(F220="INFERIOR",O220*MUS_parametros!$B$18,N220)</f>
        <v/>
      </c>
      <c r="Q220" s="4" t="inlineStr">
        <is>
          <t>Documento confere com o registro</t>
        </is>
      </c>
    </row>
    <row r="221">
      <c r="A221" s="4" t="inlineStr">
        <is>
          <t>IMB-0146086</t>
        </is>
      </c>
      <c r="B221" s="4" t="inlineStr">
        <is>
          <t>ALMOXARIFADO_INVERSOES_FIXAS</t>
        </is>
      </c>
      <c r="C221" s="4" t="inlineStr">
        <is>
          <t>1.2.03.07.002</t>
        </is>
      </c>
      <c r="D221" s="4" t="inlineStr">
        <is>
          <t>BAIXA DO ALGODAO</t>
        </is>
      </c>
      <c r="E221" s="4" t="inlineStr">
        <is>
          <t>BOMBA DE FUNDO EM ESTOQUE</t>
        </is>
      </c>
      <c r="F221" s="4" t="inlineStr">
        <is>
          <t>INFERIOR</t>
        </is>
      </c>
      <c r="G221" s="4" t="n">
        <v>1</v>
      </c>
      <c r="H221" s="5" t="n">
        <v>1539873906.838174</v>
      </c>
      <c r="I221" s="5" t="n">
        <v>1539879324.64</v>
      </c>
      <c r="J221" s="5" t="n">
        <v>11631.85</v>
      </c>
      <c r="K221" s="4" t="inlineStr">
        <is>
          <t>S</t>
        </is>
      </c>
      <c r="L221" s="4" t="inlineStr">
        <is>
          <t>2024-05-13</t>
        </is>
      </c>
      <c r="M221" s="5" t="n">
        <v>11631.85</v>
      </c>
      <c r="N221" s="5">
        <f>J221-M221</f>
        <v/>
      </c>
      <c r="O221" s="6">
        <f>IF(F221="INFERIOR",N221/J221,"")</f>
        <v/>
      </c>
      <c r="P221" s="5">
        <f>IF(F221="INFERIOR",O221*MUS_parametros!$B$18,N221)</f>
        <v/>
      </c>
      <c r="Q221" s="4" t="inlineStr">
        <is>
          <t>Documento confere com o registro</t>
        </is>
      </c>
    </row>
    <row r="222">
      <c r="A222" s="4" t="inlineStr">
        <is>
          <t>IMB-0146758</t>
        </is>
      </c>
      <c r="B222" s="4" t="inlineStr">
        <is>
          <t>DESENVOLVIMENTO_CAMPOS</t>
        </is>
      </c>
      <c r="C222" s="4" t="inlineStr">
        <is>
          <t>1.2.03.04.001</t>
        </is>
      </c>
      <c r="D222" s="4" t="inlineStr">
        <is>
          <t>BIRIBA</t>
        </is>
      </c>
      <c r="E222" s="4" t="inlineStr">
        <is>
          <t>PERFURACAO E COMPLETACAO</t>
        </is>
      </c>
      <c r="F222" s="4" t="inlineStr">
        <is>
          <t>INFERIOR</t>
        </is>
      </c>
      <c r="G222" s="4" t="n">
        <v>1</v>
      </c>
      <c r="H222" s="5" t="n">
        <v>1545606906.838174</v>
      </c>
      <c r="I222" s="5" t="n">
        <v>1545879504.07</v>
      </c>
      <c r="J222" s="5" t="n">
        <v>622802.7</v>
      </c>
      <c r="K222" s="4" t="inlineStr">
        <is>
          <t>S</t>
        </is>
      </c>
      <c r="L222" s="4" t="inlineStr">
        <is>
          <t>2025-10-12</t>
        </is>
      </c>
      <c r="M222" s="5" t="n">
        <v>622802.7</v>
      </c>
      <c r="N222" s="5">
        <f>J222-M222</f>
        <v/>
      </c>
      <c r="O222" s="6">
        <f>IF(F222="INFERIOR",N222/J222,"")</f>
        <v/>
      </c>
      <c r="P222" s="5">
        <f>IF(F222="INFERIOR",O222*MUS_parametros!$B$18,N222)</f>
        <v/>
      </c>
      <c r="Q222" s="4" t="inlineStr">
        <is>
          <t>Documento confere com o registro</t>
        </is>
      </c>
    </row>
    <row r="223">
      <c r="A223" s="4" t="inlineStr">
        <is>
          <t>IMB-0147385</t>
        </is>
      </c>
      <c r="B223" s="4" t="inlineStr">
        <is>
          <t>DESENVOLVIMENTO_CAMPOS</t>
        </is>
      </c>
      <c r="C223" s="4" t="inlineStr">
        <is>
          <t>1.2.03.04.001</t>
        </is>
      </c>
      <c r="D223" s="4" t="inlineStr">
        <is>
          <t>JACUIPE</t>
        </is>
      </c>
      <c r="E223" s="4" t="inlineStr">
        <is>
          <t>PERFURACAO E COMPLETACAO</t>
        </is>
      </c>
      <c r="F223" s="4" t="inlineStr">
        <is>
          <t>INFERIOR</t>
        </is>
      </c>
      <c r="G223" s="4" t="n">
        <v>1</v>
      </c>
      <c r="H223" s="5" t="n">
        <v>1551339906.838174</v>
      </c>
      <c r="I223" s="5" t="n">
        <v>1551495874.429998</v>
      </c>
      <c r="J223" s="5" t="n">
        <v>172305.73</v>
      </c>
      <c r="K223" s="4" t="inlineStr">
        <is>
          <t>S</t>
        </is>
      </c>
      <c r="L223" s="4" t="inlineStr">
        <is>
          <t>2024-01-13</t>
        </is>
      </c>
      <c r="M223" s="5" t="n">
        <v>172305.73</v>
      </c>
      <c r="N223" s="5">
        <f>J223-M223</f>
        <v/>
      </c>
      <c r="O223" s="6">
        <f>IF(F223="INFERIOR",N223/J223,"")</f>
        <v/>
      </c>
      <c r="P223" s="5">
        <f>IF(F223="INFERIOR",O223*MUS_parametros!$B$18,N223)</f>
        <v/>
      </c>
      <c r="Q223" s="4" t="inlineStr">
        <is>
          <t>Documento confere com o registro</t>
        </is>
      </c>
    </row>
    <row r="224">
      <c r="A224" s="4" t="inlineStr">
        <is>
          <t>IMB-0147469</t>
        </is>
      </c>
      <c r="B224" s="4" t="inlineStr">
        <is>
          <t>DIREITO_PRODUCAO_OLEO_GAS</t>
        </is>
      </c>
      <c r="C224" s="4" t="inlineStr">
        <is>
          <t>1.2.03.03.004</t>
        </is>
      </c>
      <c r="D224" s="4" t="inlineStr">
        <is>
          <t>POT-CONC-16 (SINTETICO)</t>
        </is>
      </c>
      <c r="E224" s="4" t="inlineStr">
        <is>
          <t>CUSTO DE AQUISICAO DA CONCESSAO</t>
        </is>
      </c>
      <c r="F224" s="4" t="inlineStr">
        <is>
          <t>SUPERIOR (VC &gt;= I)</t>
        </is>
      </c>
      <c r="G224" s="4" t="n">
        <v>3</v>
      </c>
      <c r="H224" s="5" t="n">
        <v>1557072906.838174</v>
      </c>
      <c r="I224" s="5" t="n">
        <v>1572759388.839998</v>
      </c>
      <c r="J224" s="5" t="n">
        <v>21014855.98</v>
      </c>
      <c r="K224" s="4" t="inlineStr">
        <is>
          <t>S</t>
        </is>
      </c>
      <c r="L224" s="4" t="inlineStr">
        <is>
          <t>2019-12-09</t>
        </is>
      </c>
      <c r="M224" s="5" t="n">
        <v>21014855.98</v>
      </c>
      <c r="N224" s="5">
        <f>J224-M224</f>
        <v/>
      </c>
      <c r="O224" s="6">
        <f>IF(F224="INFERIOR",N224/J224,"")</f>
        <v/>
      </c>
      <c r="P224" s="5">
        <f>IF(F224="INFERIOR",O224*MUS_parametros!$B$18,N224)</f>
        <v/>
      </c>
      <c r="Q224" s="4" t="inlineStr">
        <is>
          <t>Documento confere com o registro</t>
        </is>
      </c>
    </row>
    <row r="225">
      <c r="A225" s="4" t="inlineStr">
        <is>
          <t>IMB-0147498</t>
        </is>
      </c>
      <c r="B225" s="4" t="inlineStr">
        <is>
          <t>DESENVOLVIMENTO_CAMPOS</t>
        </is>
      </c>
      <c r="C225" s="4" t="inlineStr">
        <is>
          <t>1.2.03.04.001</t>
        </is>
      </c>
      <c r="D225" s="4" t="inlineStr">
        <is>
          <t>POT-CONC-19 (SINTETICO)</t>
        </is>
      </c>
      <c r="E225" s="4" t="inlineStr">
        <is>
          <t>PERFURACAO E COMPLETACAO</t>
        </is>
      </c>
      <c r="F225" s="4" t="inlineStr">
        <is>
          <t>INFERIOR</t>
        </is>
      </c>
      <c r="G225" s="4" t="n">
        <v>1</v>
      </c>
      <c r="H225" s="5" t="n">
        <v>1574271906.838174</v>
      </c>
      <c r="I225" s="5" t="n">
        <v>1574439240.629998</v>
      </c>
      <c r="J225" s="5" t="n">
        <v>402355.23</v>
      </c>
      <c r="K225" s="4" t="inlineStr">
        <is>
          <t>S</t>
        </is>
      </c>
      <c r="L225" s="4" t="inlineStr">
        <is>
          <t>2025-08-09</t>
        </is>
      </c>
      <c r="M225" s="5" t="n">
        <v>402355.23</v>
      </c>
      <c r="N225" s="5">
        <f>J225-M225</f>
        <v/>
      </c>
      <c r="O225" s="6">
        <f>IF(F225="INFERIOR",N225/J225,"")</f>
        <v/>
      </c>
      <c r="P225" s="5">
        <f>IF(F225="INFERIOR",O225*MUS_parametros!$B$18,N225)</f>
        <v/>
      </c>
      <c r="Q225" s="4" t="inlineStr">
        <is>
          <t>Documento confere com o registro</t>
        </is>
      </c>
    </row>
    <row r="226">
      <c r="A226" s="4" t="inlineStr">
        <is>
          <t>IMB-0148205</t>
        </is>
      </c>
      <c r="B226" s="4" t="inlineStr">
        <is>
          <t>DESENVOLVIMENTO_CAMPOS</t>
        </is>
      </c>
      <c r="C226" s="4" t="inlineStr">
        <is>
          <t>1.2.03.04.001</t>
        </is>
      </c>
      <c r="D226" s="4" t="inlineStr">
        <is>
          <t>MATA DE SAO JOAO</t>
        </is>
      </c>
      <c r="E226" s="4" t="inlineStr">
        <is>
          <t>PERFURACAO E COMPLETACAO</t>
        </is>
      </c>
      <c r="F226" s="4" t="inlineStr">
        <is>
          <t>INFERIOR</t>
        </is>
      </c>
      <c r="G226" s="4" t="n">
        <v>1</v>
      </c>
      <c r="H226" s="5" t="n">
        <v>1580004906.838174</v>
      </c>
      <c r="I226" s="5" t="n">
        <v>1580965284.489999</v>
      </c>
      <c r="J226" s="5" t="n">
        <v>1197939.17</v>
      </c>
      <c r="K226" s="4" t="inlineStr">
        <is>
          <t>S</t>
        </is>
      </c>
      <c r="L226" s="4" t="inlineStr">
        <is>
          <t>2025-12-15</t>
        </is>
      </c>
      <c r="M226" s="5" t="n">
        <v>1197939.17</v>
      </c>
      <c r="N226" s="5">
        <f>J226-M226</f>
        <v/>
      </c>
      <c r="O226" s="6">
        <f>IF(F226="INFERIOR",N226/J226,"")</f>
        <v/>
      </c>
      <c r="P226" s="5">
        <f>IF(F226="INFERIOR",O226*MUS_parametros!$B$18,N226)</f>
        <v/>
      </c>
      <c r="Q226" s="4" t="inlineStr">
        <is>
          <t>Documento confere com o registro</t>
        </is>
      </c>
    </row>
    <row r="227">
      <c r="A227" s="4" t="inlineStr">
        <is>
          <t>IMB-0148950</t>
        </is>
      </c>
      <c r="B227" s="4" t="inlineStr">
        <is>
          <t>DESENVOLVIMENTO_CAMPOS</t>
        </is>
      </c>
      <c r="C227" s="4" t="inlineStr">
        <is>
          <t>1.2.03.04.001</t>
        </is>
      </c>
      <c r="D227" s="4" t="inlineStr">
        <is>
          <t>REMANSO</t>
        </is>
      </c>
      <c r="E227" s="4" t="inlineStr">
        <is>
          <t>PERFURACAO E COMPLETACAO</t>
        </is>
      </c>
      <c r="F227" s="4" t="inlineStr">
        <is>
          <t>INFERIOR</t>
        </is>
      </c>
      <c r="G227" s="4" t="n">
        <v>1</v>
      </c>
      <c r="H227" s="5" t="n">
        <v>1585737906.838174</v>
      </c>
      <c r="I227" s="5" t="n">
        <v>1586111413.8</v>
      </c>
      <c r="J227" s="5" t="n">
        <v>899128.42</v>
      </c>
      <c r="K227" s="4" t="inlineStr">
        <is>
          <t>S</t>
        </is>
      </c>
      <c r="L227" s="4" t="inlineStr">
        <is>
          <t>2022-11-21</t>
        </is>
      </c>
      <c r="M227" s="5" t="n">
        <v>899128.42</v>
      </c>
      <c r="N227" s="5">
        <f>J227-M227</f>
        <v/>
      </c>
      <c r="O227" s="6">
        <f>IF(F227="INFERIOR",N227/J227,"")</f>
        <v/>
      </c>
      <c r="P227" s="5">
        <f>IF(F227="INFERIOR",O227*MUS_parametros!$B$18,N227)</f>
        <v/>
      </c>
      <c r="Q227" s="4" t="inlineStr">
        <is>
          <t>Documento confere com o registro</t>
        </is>
      </c>
    </row>
    <row r="228">
      <c r="A228" s="4" t="inlineStr">
        <is>
          <t>IMB-0149675</t>
        </is>
      </c>
      <c r="B228" s="4" t="inlineStr">
        <is>
          <t>ALMOXARIFADO_INVERSOES_FIXAS</t>
        </is>
      </c>
      <c r="C228" s="4" t="inlineStr">
        <is>
          <t>1.2.03.07.001</t>
        </is>
      </c>
      <c r="D228" s="4" t="inlineStr">
        <is>
          <t>POT-CONC-07 (SINTETICO)</t>
        </is>
      </c>
      <c r="E228" s="4" t="inlineStr">
        <is>
          <t>TUBO DE REVESTIMENTO/PRODUCAO (LOTE)</t>
        </is>
      </c>
      <c r="F228" s="4" t="inlineStr">
        <is>
          <t>INFERIOR</t>
        </is>
      </c>
      <c r="G228" s="4" t="n">
        <v>1</v>
      </c>
      <c r="H228" s="5" t="n">
        <v>1591470906.838174</v>
      </c>
      <c r="I228" s="5" t="n">
        <v>1591500314.440001</v>
      </c>
      <c r="J228" s="5" t="n">
        <v>31369.33</v>
      </c>
      <c r="K228" s="4" t="inlineStr">
        <is>
          <t>S</t>
        </is>
      </c>
      <c r="L228" s="4" t="inlineStr">
        <is>
          <t>2025-07-22</t>
        </is>
      </c>
      <c r="M228" s="5" t="n">
        <v>31369.33</v>
      </c>
      <c r="N228" s="5">
        <f>J228-M228</f>
        <v/>
      </c>
      <c r="O228" s="6">
        <f>IF(F228="INFERIOR",N228/J228,"")</f>
        <v/>
      </c>
      <c r="P228" s="5">
        <f>IF(F228="INFERIOR",O228*MUS_parametros!$B$18,N228)</f>
        <v/>
      </c>
      <c r="Q228" s="4" t="inlineStr">
        <is>
          <t>Documento confere com o registro</t>
        </is>
      </c>
    </row>
    <row r="229">
      <c r="A229" s="4" t="inlineStr">
        <is>
          <t>IMB-0150398</t>
        </is>
      </c>
      <c r="B229" s="4" t="inlineStr">
        <is>
          <t>DESENVOLVIMENTO_CAMPOS</t>
        </is>
      </c>
      <c r="C229" s="4" t="inlineStr">
        <is>
          <t>1.2.03.04.001</t>
        </is>
      </c>
      <c r="D229" s="4" t="inlineStr">
        <is>
          <t>JACUIPE</t>
        </is>
      </c>
      <c r="E229" s="4" t="inlineStr">
        <is>
          <t>PERFURACAO E COMPLETACAO</t>
        </is>
      </c>
      <c r="F229" s="4" t="inlineStr">
        <is>
          <t>INFERIOR</t>
        </is>
      </c>
      <c r="G229" s="4" t="n">
        <v>1</v>
      </c>
      <c r="H229" s="5" t="n">
        <v>1597203906.838174</v>
      </c>
      <c r="I229" s="5" t="n">
        <v>1597289079.07</v>
      </c>
      <c r="J229" s="5" t="n">
        <v>340051.35</v>
      </c>
      <c r="K229" s="4" t="inlineStr">
        <is>
          <t>S</t>
        </is>
      </c>
      <c r="L229" s="4" t="inlineStr">
        <is>
          <t>2025-12-19</t>
        </is>
      </c>
      <c r="M229" s="5" t="n">
        <v>340051.35</v>
      </c>
      <c r="N229" s="5">
        <f>J229-M229</f>
        <v/>
      </c>
      <c r="O229" s="6">
        <f>IF(F229="INFERIOR",N229/J229,"")</f>
        <v/>
      </c>
      <c r="P229" s="5">
        <f>IF(F229="INFERIOR",O229*MUS_parametros!$B$18,N229)</f>
        <v/>
      </c>
      <c r="Q229" s="4" t="inlineStr">
        <is>
          <t>Documento confere com o registro</t>
        </is>
      </c>
    </row>
    <row r="230">
      <c r="A230" s="4" t="inlineStr">
        <is>
          <t>IMB-0151015</t>
        </is>
      </c>
      <c r="B230" s="4" t="inlineStr">
        <is>
          <t>OUTROS</t>
        </is>
      </c>
      <c r="C230" s="4" t="inlineStr">
        <is>
          <t>1.2.03.09.004</t>
        </is>
      </c>
      <c r="D230" s="4" t="inlineStr">
        <is>
          <t>POT-CONC-19 (SINTETICO)</t>
        </is>
      </c>
      <c r="E230" s="4" t="inlineStr">
        <is>
          <t>EQUIPAMENTO DE INFORMATICA</t>
        </is>
      </c>
      <c r="F230" s="4" t="inlineStr">
        <is>
          <t>INFERIOR</t>
        </is>
      </c>
      <c r="G230" s="4" t="n">
        <v>1</v>
      </c>
      <c r="H230" s="5" t="n">
        <v>1602936906.838174</v>
      </c>
      <c r="I230" s="5" t="n">
        <v>1602938937.270002</v>
      </c>
      <c r="J230" s="5" t="n">
        <v>3261.69</v>
      </c>
      <c r="K230" s="4" t="inlineStr">
        <is>
          <t>S</t>
        </is>
      </c>
      <c r="L230" s="4" t="inlineStr">
        <is>
          <t>2023-07-20</t>
        </is>
      </c>
      <c r="M230" s="5" t="n">
        <v>3261.69</v>
      </c>
      <c r="N230" s="5">
        <f>J230-M230</f>
        <v/>
      </c>
      <c r="O230" s="6">
        <f>IF(F230="INFERIOR",N230/J230,"")</f>
        <v/>
      </c>
      <c r="P230" s="5">
        <f>IF(F230="INFERIOR",O230*MUS_parametros!$B$18,N230)</f>
        <v/>
      </c>
      <c r="Q230" s="4" t="inlineStr">
        <is>
          <t>Documento confere com o registro</t>
        </is>
      </c>
    </row>
    <row r="231">
      <c r="A231" s="4" t="inlineStr">
        <is>
          <t>IMB-0152038</t>
        </is>
      </c>
      <c r="B231" s="4" t="inlineStr">
        <is>
          <t>MAQUINAS_EQUIPAMENTOS</t>
        </is>
      </c>
      <c r="C231" s="4" t="inlineStr">
        <is>
          <t>1.2.03.01.002</t>
        </is>
      </c>
      <c r="D231" s="4" t="inlineStr">
        <is>
          <t>POT-CONC-20 (SINTETICO)</t>
        </is>
      </c>
      <c r="E231" s="4" t="inlineStr">
        <is>
          <t>UNIDADE DE BOMBEIO MECANICO</t>
        </is>
      </c>
      <c r="F231" s="4" t="inlineStr">
        <is>
          <t>INFERIOR</t>
        </is>
      </c>
      <c r="G231" s="4" t="n">
        <v>1</v>
      </c>
      <c r="H231" s="5" t="n">
        <v>1608669906.838174</v>
      </c>
      <c r="I231" s="5" t="n">
        <v>1608691993.649999</v>
      </c>
      <c r="J231" s="5" t="n">
        <v>32023.89</v>
      </c>
      <c r="K231" s="4" t="inlineStr">
        <is>
          <t>S</t>
        </is>
      </c>
      <c r="L231" s="4" t="inlineStr">
        <is>
          <t>2021-12-11</t>
        </is>
      </c>
      <c r="M231" s="5" t="n">
        <v>32023.89</v>
      </c>
      <c r="N231" s="5">
        <f>J231-M231</f>
        <v/>
      </c>
      <c r="O231" s="6">
        <f>IF(F231="INFERIOR",N231/J231,"")</f>
        <v/>
      </c>
      <c r="P231" s="5">
        <f>IF(F231="INFERIOR",O231*MUS_parametros!$B$18,N231)</f>
        <v/>
      </c>
      <c r="Q231" s="4" t="inlineStr">
        <is>
          <t>Documento confere com o registro</t>
        </is>
      </c>
    </row>
    <row r="232">
      <c r="A232" s="4" t="inlineStr">
        <is>
          <t>IMB-0152864</t>
        </is>
      </c>
      <c r="B232" s="4" t="inlineStr">
        <is>
          <t>DESENVOLVIMENTO_CAMPOS</t>
        </is>
      </c>
      <c r="C232" s="4" t="inlineStr">
        <is>
          <t>1.2.03.04.005</t>
        </is>
      </c>
      <c r="D232" s="4" t="inlineStr">
        <is>
          <t>BIRIBA</t>
        </is>
      </c>
      <c r="E232" s="4" t="inlineStr">
        <is>
          <t>CONVERSAO EM POCO INJETOR</t>
        </is>
      </c>
      <c r="F232" s="4" t="inlineStr">
        <is>
          <t>INFERIOR</t>
        </is>
      </c>
      <c r="G232" s="4" t="n">
        <v>1</v>
      </c>
      <c r="H232" s="5" t="n">
        <v>1614402906.838174</v>
      </c>
      <c r="I232" s="5" t="n">
        <v>1614405643.629998</v>
      </c>
      <c r="J232" s="5" t="n">
        <v>3776.22</v>
      </c>
      <c r="K232" s="4" t="inlineStr">
        <is>
          <t>S</t>
        </is>
      </c>
      <c r="L232" s="4" t="inlineStr">
        <is>
          <t>2023-10-09</t>
        </is>
      </c>
      <c r="M232" s="5" t="n">
        <v>3776.22</v>
      </c>
      <c r="N232" s="5">
        <f>J232-M232</f>
        <v/>
      </c>
      <c r="O232" s="6">
        <f>IF(F232="INFERIOR",N232/J232,"")</f>
        <v/>
      </c>
      <c r="P232" s="5">
        <f>IF(F232="INFERIOR",O232*MUS_parametros!$B$18,N232)</f>
        <v/>
      </c>
      <c r="Q232" s="4" t="inlineStr">
        <is>
          <t>Documento confere com o registro</t>
        </is>
      </c>
    </row>
    <row r="233">
      <c r="A233" s="4" t="inlineStr">
        <is>
          <t>IMB-0153737</t>
        </is>
      </c>
      <c r="B233" s="4" t="inlineStr">
        <is>
          <t>OUTROS</t>
        </is>
      </c>
      <c r="C233" s="4" t="inlineStr">
        <is>
          <t>1.2.03.09.004</t>
        </is>
      </c>
      <c r="D233" s="4" t="inlineStr">
        <is>
          <t>JACUIPE</t>
        </is>
      </c>
      <c r="E233" s="4" t="inlineStr">
        <is>
          <t>EQUIPAMENTO DE INFORMATICA</t>
        </is>
      </c>
      <c r="F233" s="4" t="inlineStr">
        <is>
          <t>INFERIOR</t>
        </is>
      </c>
      <c r="G233" s="4" t="n">
        <v>1</v>
      </c>
      <c r="H233" s="5" t="n">
        <v>1620135906.838174</v>
      </c>
      <c r="I233" s="5" t="n">
        <v>1620135938.259995</v>
      </c>
      <c r="J233" s="5" t="n">
        <v>1214.05</v>
      </c>
      <c r="K233" s="4" t="inlineStr">
        <is>
          <t>S</t>
        </is>
      </c>
      <c r="L233" s="4" t="inlineStr">
        <is>
          <t>2023-10-22</t>
        </is>
      </c>
      <c r="M233" s="5" t="n">
        <v>1214.05</v>
      </c>
      <c r="N233" s="5">
        <f>J233-M233</f>
        <v/>
      </c>
      <c r="O233" s="6">
        <f>IF(F233="INFERIOR",N233/J233,"")</f>
        <v/>
      </c>
      <c r="P233" s="5">
        <f>IF(F233="INFERIOR",O233*MUS_parametros!$B$18,N233)</f>
        <v/>
      </c>
      <c r="Q233" s="4" t="inlineStr">
        <is>
          <t>Documento confere com o registro</t>
        </is>
      </c>
    </row>
    <row r="234">
      <c r="A234" s="4" t="inlineStr">
        <is>
          <t>IMB-0154691</t>
        </is>
      </c>
      <c r="B234" s="4" t="inlineStr">
        <is>
          <t>ALMOXARIFADO_INVERSOES_FIXAS</t>
        </is>
      </c>
      <c r="C234" s="4" t="inlineStr">
        <is>
          <t>1.2.03.07.002</t>
        </is>
      </c>
      <c r="D234" s="4" t="inlineStr">
        <is>
          <t>TARTARUGA</t>
        </is>
      </c>
      <c r="E234" s="4" t="inlineStr">
        <is>
          <t>HASTE DE BOMBEIO (LOTE)</t>
        </is>
      </c>
      <c r="F234" s="4" t="inlineStr">
        <is>
          <t>INFERIOR</t>
        </is>
      </c>
      <c r="G234" s="4" t="n">
        <v>1</v>
      </c>
      <c r="H234" s="5" t="n">
        <v>1625868906.838174</v>
      </c>
      <c r="I234" s="5" t="n">
        <v>1625869537.279996</v>
      </c>
      <c r="J234" s="5" t="n">
        <v>2174.42</v>
      </c>
      <c r="K234" s="4" t="inlineStr">
        <is>
          <t>S</t>
        </is>
      </c>
      <c r="L234" s="4" t="inlineStr">
        <is>
          <t>2023-07-04</t>
        </is>
      </c>
      <c r="M234" s="5" t="n">
        <v>2174.42</v>
      </c>
      <c r="N234" s="5">
        <f>J234-M234</f>
        <v/>
      </c>
      <c r="O234" s="6">
        <f>IF(F234="INFERIOR",N234/J234,"")</f>
        <v/>
      </c>
      <c r="P234" s="5">
        <f>IF(F234="INFERIOR",O234*MUS_parametros!$B$18,N234)</f>
        <v/>
      </c>
      <c r="Q234" s="4" t="inlineStr">
        <is>
          <t>Documento confere com o registro</t>
        </is>
      </c>
    </row>
    <row r="235">
      <c r="A235" s="4" t="inlineStr">
        <is>
          <t>IMB-0155119</t>
        </is>
      </c>
      <c r="B235" s="4" t="inlineStr">
        <is>
          <t>BLOCOS_EXPLORATORIOS</t>
        </is>
      </c>
      <c r="C235" s="4" t="inlineStr">
        <is>
          <t>1.2.03.05.001</t>
        </is>
      </c>
      <c r="D235" s="4" t="inlineStr">
        <is>
          <t>BLOCO POT-T-702</t>
        </is>
      </c>
      <c r="E235" s="4" t="inlineStr">
        <is>
          <t>BONUS DE ASSINATURA E GASTOS EXPLORATORIOS</t>
        </is>
      </c>
      <c r="F235" s="4" t="inlineStr">
        <is>
          <t>INFERIOR</t>
        </is>
      </c>
      <c r="G235" s="4" t="n">
        <v>1</v>
      </c>
      <c r="H235" s="5" t="n">
        <v>1631601906.838174</v>
      </c>
      <c r="I235" s="5" t="n">
        <v>1633607743.159994</v>
      </c>
      <c r="J235" s="5" t="n">
        <v>3851741.61</v>
      </c>
      <c r="K235" s="4" t="inlineStr">
        <is>
          <t>S</t>
        </is>
      </c>
      <c r="L235" s="4" t="inlineStr">
        <is>
          <t>2021-03-15</t>
        </is>
      </c>
      <c r="M235" s="5" t="n">
        <v>3851741.61</v>
      </c>
      <c r="N235" s="5">
        <f>J235-M235</f>
        <v/>
      </c>
      <c r="O235" s="6">
        <f>IF(F235="INFERIOR",N235/J235,"")</f>
        <v/>
      </c>
      <c r="P235" s="5">
        <f>IF(F235="INFERIOR",O235*MUS_parametros!$B$18,N235)</f>
        <v/>
      </c>
      <c r="Q235" s="4" t="inlineStr">
        <is>
          <t>Documento confere com o registro</t>
        </is>
      </c>
    </row>
    <row r="236">
      <c r="A236" s="4" t="inlineStr">
        <is>
          <t>IMB-0155484</t>
        </is>
      </c>
      <c r="B236" s="4" t="inlineStr">
        <is>
          <t>MAQUINAS_EQUIPAMENTOS</t>
        </is>
      </c>
      <c r="C236" s="4" t="inlineStr">
        <is>
          <t>1.2.03.01.004</t>
        </is>
      </c>
      <c r="D236" s="4" t="inlineStr">
        <is>
          <t>UPGN GUAMARE</t>
        </is>
      </c>
      <c r="E236" s="4" t="inlineStr">
        <is>
          <t>MODULO DE PROCESSAMENTO UPGN III</t>
        </is>
      </c>
      <c r="F236" s="4" t="inlineStr">
        <is>
          <t>INFERIOR</t>
        </is>
      </c>
      <c r="G236" s="4" t="n">
        <v>1</v>
      </c>
      <c r="H236" s="5" t="n">
        <v>1637334906.838174</v>
      </c>
      <c r="I236" s="5" t="n">
        <v>1637494212.839995</v>
      </c>
      <c r="J236" s="5" t="n">
        <v>349151.88</v>
      </c>
      <c r="K236" s="4" t="inlineStr">
        <is>
          <t>S</t>
        </is>
      </c>
      <c r="L236" s="4" t="inlineStr">
        <is>
          <t>2025-09-30</t>
        </is>
      </c>
      <c r="M236" s="5" t="n">
        <v>349151.88</v>
      </c>
      <c r="N236" s="5">
        <f>J236-M236</f>
        <v/>
      </c>
      <c r="O236" s="6">
        <f>IF(F236="INFERIOR",N236/J236,"")</f>
        <v/>
      </c>
      <c r="P236" s="5">
        <f>IF(F236="INFERIOR",O236*MUS_parametros!$B$18,N236)</f>
        <v/>
      </c>
      <c r="Q236" s="4" t="inlineStr">
        <is>
          <t>Documento confere com o registro</t>
        </is>
      </c>
    </row>
    <row r="237">
      <c r="A237" s="4" t="inlineStr">
        <is>
          <t>IMB-0156238</t>
        </is>
      </c>
      <c r="B237" s="4" t="inlineStr">
        <is>
          <t>MAQUINAS_EQUIPAMENTOS</t>
        </is>
      </c>
      <c r="C237" s="4" t="inlineStr">
        <is>
          <t>1.2.03.01.003</t>
        </is>
      </c>
      <c r="D237" s="4" t="inlineStr">
        <is>
          <t>POT-CONC-07 (SINTETICO)</t>
        </is>
      </c>
      <c r="E237" s="4" t="inlineStr">
        <is>
          <t>COMPRESSOR/SEPARADOR/TANQUE/FACILITY</t>
        </is>
      </c>
      <c r="F237" s="4" t="inlineStr">
        <is>
          <t>INFERIOR</t>
        </is>
      </c>
      <c r="G237" s="4" t="n">
        <v>1</v>
      </c>
      <c r="H237" s="5" t="n">
        <v>1643067906.838174</v>
      </c>
      <c r="I237" s="5" t="n">
        <v>1643086836.569995</v>
      </c>
      <c r="J237" s="5" t="n">
        <v>35565.53</v>
      </c>
      <c r="K237" s="4" t="inlineStr">
        <is>
          <t>S</t>
        </is>
      </c>
      <c r="L237" s="4" t="inlineStr">
        <is>
          <t>2023-09-05</t>
        </is>
      </c>
      <c r="M237" s="5" t="n">
        <v>35565.53</v>
      </c>
      <c r="N237" s="5">
        <f>J237-M237</f>
        <v/>
      </c>
      <c r="O237" s="6">
        <f>IF(F237="INFERIOR",N237/J237,"")</f>
        <v/>
      </c>
      <c r="P237" s="5">
        <f>IF(F237="INFERIOR",O237*MUS_parametros!$B$18,N237)</f>
        <v/>
      </c>
      <c r="Q237" s="4" t="inlineStr">
        <is>
          <t>Documento confere com o registro</t>
        </is>
      </c>
    </row>
    <row r="238">
      <c r="A238" s="4" t="inlineStr">
        <is>
          <t>IMB-0156999</t>
        </is>
      </c>
      <c r="B238" s="4" t="inlineStr">
        <is>
          <t>DESENVOLVIMENTO_CAMPOS</t>
        </is>
      </c>
      <c r="C238" s="4" t="inlineStr">
        <is>
          <t>1.2.03.04.001</t>
        </is>
      </c>
      <c r="D238" s="4" t="inlineStr">
        <is>
          <t>MATA DE SAO JOAO</t>
        </is>
      </c>
      <c r="E238" s="4" t="inlineStr">
        <is>
          <t>PERFURACAO E COMPLETACAO</t>
        </is>
      </c>
      <c r="F238" s="4" t="inlineStr">
        <is>
          <t>INFERIOR</t>
        </is>
      </c>
      <c r="G238" s="4" t="n">
        <v>1</v>
      </c>
      <c r="H238" s="5" t="n">
        <v>1648800906.838174</v>
      </c>
      <c r="I238" s="5" t="n">
        <v>1648900693.419994</v>
      </c>
      <c r="J238" s="5" t="n">
        <v>131785.19</v>
      </c>
      <c r="K238" s="4" t="inlineStr">
        <is>
          <t>S</t>
        </is>
      </c>
      <c r="L238" s="4" t="inlineStr">
        <is>
          <t>2025-06-12</t>
        </is>
      </c>
      <c r="M238" s="5" t="n">
        <v>131785.19</v>
      </c>
      <c r="N238" s="5">
        <f>J238-M238</f>
        <v/>
      </c>
      <c r="O238" s="6">
        <f>IF(F238="INFERIOR",N238/J238,"")</f>
        <v/>
      </c>
      <c r="P238" s="5">
        <f>IF(F238="INFERIOR",O238*MUS_parametros!$B$18,N238)</f>
        <v/>
      </c>
      <c r="Q238" s="4" t="inlineStr">
        <is>
          <t>Documento confere com o registro</t>
        </is>
      </c>
    </row>
    <row r="239">
      <c r="A239" s="4" t="inlineStr">
        <is>
          <t>IMB-0157527</t>
        </is>
      </c>
      <c r="B239" s="4" t="inlineStr">
        <is>
          <t>DESENVOLVIMENTO_CAMPOS</t>
        </is>
      </c>
      <c r="C239" s="4" t="inlineStr">
        <is>
          <t>1.2.03.04.001</t>
        </is>
      </c>
      <c r="D239" s="4" t="inlineStr">
        <is>
          <t>TIE</t>
        </is>
      </c>
      <c r="E239" s="4" t="inlineStr">
        <is>
          <t>PERFURACAO E COMPLETACAO</t>
        </is>
      </c>
      <c r="F239" s="4" t="inlineStr">
        <is>
          <t>INFERIOR</t>
        </is>
      </c>
      <c r="G239" s="4" t="n">
        <v>1</v>
      </c>
      <c r="H239" s="5" t="n">
        <v>1654533906.838174</v>
      </c>
      <c r="I239" s="5" t="n">
        <v>1654625319.499995</v>
      </c>
      <c r="J239" s="5" t="n">
        <v>573771.64</v>
      </c>
      <c r="K239" s="4" t="inlineStr">
        <is>
          <t>S</t>
        </is>
      </c>
      <c r="L239" s="4" t="inlineStr">
        <is>
          <t>2025-02-02</t>
        </is>
      </c>
      <c r="M239" s="5" t="n">
        <v>573771.64</v>
      </c>
      <c r="N239" s="5">
        <f>J239-M239</f>
        <v/>
      </c>
      <c r="O239" s="6">
        <f>IF(F239="INFERIOR",N239/J239,"")</f>
        <v/>
      </c>
      <c r="P239" s="5">
        <f>IF(F239="INFERIOR",O239*MUS_parametros!$B$18,N239)</f>
        <v/>
      </c>
      <c r="Q239" s="4" t="inlineStr">
        <is>
          <t>Documento confere com o registro</t>
        </is>
      </c>
    </row>
    <row r="240">
      <c r="A240" s="4" t="inlineStr">
        <is>
          <t>IMB-0158369</t>
        </is>
      </c>
      <c r="B240" s="4" t="inlineStr">
        <is>
          <t>ALMOXARIFADO_INVERSOES_FIXAS</t>
        </is>
      </c>
      <c r="C240" s="4" t="inlineStr">
        <is>
          <t>1.2.03.07.001</t>
        </is>
      </c>
      <c r="D240" s="4" t="inlineStr">
        <is>
          <t>POT-CONC-07 (SINTETICO)</t>
        </is>
      </c>
      <c r="E240" s="4" t="inlineStr">
        <is>
          <t>TUBO DE REVESTIMENTO/PRODUCAO (LOTE)</t>
        </is>
      </c>
      <c r="F240" s="4" t="inlineStr">
        <is>
          <t>INFERIOR</t>
        </is>
      </c>
      <c r="G240" s="4" t="n">
        <v>1</v>
      </c>
      <c r="H240" s="5" t="n">
        <v>1660266906.838174</v>
      </c>
      <c r="I240" s="5" t="n">
        <v>1660268660.179995</v>
      </c>
      <c r="J240" s="5" t="n">
        <v>21824.41</v>
      </c>
      <c r="K240" s="4" t="inlineStr">
        <is>
          <t>S</t>
        </is>
      </c>
      <c r="L240" s="4" t="inlineStr">
        <is>
          <t>2024-12-22</t>
        </is>
      </c>
      <c r="M240" s="5" t="n">
        <v>21824.41</v>
      </c>
      <c r="N240" s="5">
        <f>J240-M240</f>
        <v/>
      </c>
      <c r="O240" s="6">
        <f>IF(F240="INFERIOR",N240/J240,"")</f>
        <v/>
      </c>
      <c r="P240" s="5">
        <f>IF(F240="INFERIOR",O240*MUS_parametros!$B$18,N240)</f>
        <v/>
      </c>
      <c r="Q240" s="4" t="inlineStr">
        <is>
          <t>Documento confere com o registro</t>
        </is>
      </c>
    </row>
    <row r="241">
      <c r="A241" s="4" t="inlineStr">
        <is>
          <t>IMB-0159292</t>
        </is>
      </c>
      <c r="B241" s="4" t="inlineStr">
        <is>
          <t>MAQUINAS_EQUIPAMENTOS</t>
        </is>
      </c>
      <c r="C241" s="4" t="inlineStr">
        <is>
          <t>1.2.03.01.004</t>
        </is>
      </c>
      <c r="D241" s="4" t="inlineStr">
        <is>
          <t>UPGN GUAMARE</t>
        </is>
      </c>
      <c r="E241" s="4" t="inlineStr">
        <is>
          <t>UTILIDADES E INSTRUMENTACAO</t>
        </is>
      </c>
      <c r="F241" s="4" t="inlineStr">
        <is>
          <t>INFERIOR</t>
        </is>
      </c>
      <c r="G241" s="4" t="n">
        <v>1</v>
      </c>
      <c r="H241" s="5" t="n">
        <v>1665999906.838174</v>
      </c>
      <c r="I241" s="5" t="n">
        <v>1666066739.789998</v>
      </c>
      <c r="J241" s="5" t="n">
        <v>218978.94</v>
      </c>
      <c r="K241" s="4" t="inlineStr">
        <is>
          <t>S</t>
        </is>
      </c>
      <c r="L241" s="4" t="inlineStr">
        <is>
          <t>2025-09-30</t>
        </is>
      </c>
      <c r="M241" s="5" t="n">
        <v>218978.94</v>
      </c>
      <c r="N241" s="5">
        <f>J241-M241</f>
        <v/>
      </c>
      <c r="O241" s="6">
        <f>IF(F241="INFERIOR",N241/J241,"")</f>
        <v/>
      </c>
      <c r="P241" s="5">
        <f>IF(F241="INFERIOR",O241*MUS_parametros!$B$18,N241)</f>
        <v/>
      </c>
      <c r="Q241" s="4" t="inlineStr">
        <is>
          <t>Documento confere com o registro</t>
        </is>
      </c>
    </row>
    <row r="242">
      <c r="A242" s="4" t="inlineStr">
        <is>
          <t>IMB-0159678</t>
        </is>
      </c>
      <c r="B242" s="4" t="inlineStr">
        <is>
          <t>ALMOXARIFADO_INVERSOES_FIXAS</t>
        </is>
      </c>
      <c r="C242" s="4" t="inlineStr">
        <is>
          <t>1.2.03.07.003</t>
        </is>
      </c>
      <c r="D242" s="4" t="inlineStr">
        <is>
          <t>RIO MOSSORO</t>
        </is>
      </c>
      <c r="E242" s="4" t="inlineStr">
        <is>
          <t>VALVULA/EQUIPAMENTO DE SUPERFICIE</t>
        </is>
      </c>
      <c r="F242" s="4" t="inlineStr">
        <is>
          <t>INFERIOR</t>
        </is>
      </c>
      <c r="G242" s="4" t="n">
        <v>1</v>
      </c>
      <c r="H242" s="5" t="n">
        <v>1671732906.838174</v>
      </c>
      <c r="I242" s="5" t="n">
        <v>1671733131.949997</v>
      </c>
      <c r="J242" s="5" t="n">
        <v>467.12</v>
      </c>
      <c r="K242" s="4" t="inlineStr">
        <is>
          <t>S</t>
        </is>
      </c>
      <c r="L242" s="4" t="inlineStr">
        <is>
          <t>2025-05-29</t>
        </is>
      </c>
      <c r="M242" s="5" t="n">
        <v>467.12</v>
      </c>
      <c r="N242" s="5">
        <f>J242-M242</f>
        <v/>
      </c>
      <c r="O242" s="6">
        <f>IF(F242="INFERIOR",N242/J242,"")</f>
        <v/>
      </c>
      <c r="P242" s="5">
        <f>IF(F242="INFERIOR",O242*MUS_parametros!$B$18,N242)</f>
        <v/>
      </c>
      <c r="Q242" s="4" t="inlineStr">
        <is>
          <t>Documento confere com o registro</t>
        </is>
      </c>
    </row>
    <row r="243">
      <c r="A243" s="4" t="inlineStr">
        <is>
          <t>IMB-0160492</t>
        </is>
      </c>
      <c r="B243" s="4" t="inlineStr">
        <is>
          <t>DESENVOLVIMENTO_CAMPOS</t>
        </is>
      </c>
      <c r="C243" s="4" t="inlineStr">
        <is>
          <t>1.2.03.04.005</t>
        </is>
      </c>
      <c r="D243" s="4" t="inlineStr">
        <is>
          <t>POT-CONC-01 (SINTETICO)</t>
        </is>
      </c>
      <c r="E243" s="4" t="inlineStr">
        <is>
          <t>CONVERSAO EM POCO INJETOR</t>
        </is>
      </c>
      <c r="F243" s="4" t="inlineStr">
        <is>
          <t>INFERIOR</t>
        </is>
      </c>
      <c r="G243" s="4" t="n">
        <v>1</v>
      </c>
      <c r="H243" s="5" t="n">
        <v>1677465906.838174</v>
      </c>
      <c r="I243" s="5" t="n">
        <v>1677467840.479995</v>
      </c>
      <c r="J243" s="5" t="n">
        <v>3286</v>
      </c>
      <c r="K243" s="4" t="inlineStr">
        <is>
          <t>S</t>
        </is>
      </c>
      <c r="L243" s="4" t="inlineStr">
        <is>
          <t>2023-11-17</t>
        </is>
      </c>
      <c r="M243" s="5" t="n">
        <v>3286</v>
      </c>
      <c r="N243" s="5">
        <f>J243-M243</f>
        <v/>
      </c>
      <c r="O243" s="6">
        <f>IF(F243="INFERIOR",N243/J243,"")</f>
        <v/>
      </c>
      <c r="P243" s="5">
        <f>IF(F243="INFERIOR",O243*MUS_parametros!$B$18,N243)</f>
        <v/>
      </c>
      <c r="Q243" s="4" t="inlineStr">
        <is>
          <t>Documento confere com o registro</t>
        </is>
      </c>
    </row>
    <row r="244">
      <c r="A244" s="4" t="inlineStr">
        <is>
          <t>IMB-0161320</t>
        </is>
      </c>
      <c r="B244" s="4" t="inlineStr">
        <is>
          <t>DESENVOLVIMENTO_CAMPOS</t>
        </is>
      </c>
      <c r="C244" s="4" t="inlineStr">
        <is>
          <t>1.2.03.04.001</t>
        </is>
      </c>
      <c r="D244" s="4" t="inlineStr">
        <is>
          <t>JACUIPE</t>
        </is>
      </c>
      <c r="E244" s="4" t="inlineStr">
        <is>
          <t>PERFURACAO E COMPLETACAO</t>
        </is>
      </c>
      <c r="F244" s="4" t="inlineStr">
        <is>
          <t>INFERIOR</t>
        </is>
      </c>
      <c r="G244" s="4" t="n">
        <v>1</v>
      </c>
      <c r="H244" s="5" t="n">
        <v>1683198906.838174</v>
      </c>
      <c r="I244" s="5" t="n">
        <v>1683217491.889992</v>
      </c>
      <c r="J244" s="5" t="n">
        <v>26038.64</v>
      </c>
      <c r="K244" s="4" t="inlineStr">
        <is>
          <t>S</t>
        </is>
      </c>
      <c r="L244" s="4" t="inlineStr">
        <is>
          <t>2024-12-05</t>
        </is>
      </c>
      <c r="M244" s="5" t="n">
        <v>26038.64</v>
      </c>
      <c r="N244" s="5">
        <f>J244-M244</f>
        <v/>
      </c>
      <c r="O244" s="6">
        <f>IF(F244="INFERIOR",N244/J244,"")</f>
        <v/>
      </c>
      <c r="P244" s="5">
        <f>IF(F244="INFERIOR",O244*MUS_parametros!$B$18,N244)</f>
        <v/>
      </c>
      <c r="Q244" s="4" t="inlineStr">
        <is>
          <t>Documento confere com o registro</t>
        </is>
      </c>
    </row>
    <row r="245">
      <c r="A245" s="4" t="inlineStr">
        <is>
          <t>IMB-0162323</t>
        </is>
      </c>
      <c r="B245" s="4" t="inlineStr">
        <is>
          <t>DESENVOLVIMENTO_CAMPOS</t>
        </is>
      </c>
      <c r="C245" s="4" t="inlineStr">
        <is>
          <t>1.2.03.04.001</t>
        </is>
      </c>
      <c r="D245" s="4" t="inlineStr">
        <is>
          <t>TIE</t>
        </is>
      </c>
      <c r="E245" s="4" t="inlineStr">
        <is>
          <t>PERFURACAO E COMPLETACAO</t>
        </is>
      </c>
      <c r="F245" s="4" t="inlineStr">
        <is>
          <t>INFERIOR</t>
        </is>
      </c>
      <c r="G245" s="4" t="n">
        <v>1</v>
      </c>
      <c r="H245" s="5" t="n">
        <v>1688931906.838174</v>
      </c>
      <c r="I245" s="5" t="n">
        <v>1689769783.239992</v>
      </c>
      <c r="J245" s="5" t="n">
        <v>927497.26</v>
      </c>
      <c r="K245" s="4" t="inlineStr">
        <is>
          <t>S</t>
        </is>
      </c>
      <c r="L245" s="4" t="inlineStr">
        <is>
          <t>2025-08-01</t>
        </is>
      </c>
      <c r="M245" s="5" t="n">
        <v>927497.26</v>
      </c>
      <c r="N245" s="5">
        <f>J245-M245</f>
        <v/>
      </c>
      <c r="O245" s="6">
        <f>IF(F245="INFERIOR",N245/J245,"")</f>
        <v/>
      </c>
      <c r="P245" s="5">
        <f>IF(F245="INFERIOR",O245*MUS_parametros!$B$18,N245)</f>
        <v/>
      </c>
      <c r="Q245" s="4" t="inlineStr">
        <is>
          <t>Documento confere com o registro</t>
        </is>
      </c>
    </row>
    <row r="246">
      <c r="A246" s="4" t="inlineStr">
        <is>
          <t>IMB-0163106</t>
        </is>
      </c>
      <c r="B246" s="4" t="inlineStr">
        <is>
          <t>DIREITO_PRODUCAO_OLEO_GAS</t>
        </is>
      </c>
      <c r="C246" s="4" t="inlineStr">
        <is>
          <t>1.2.03.03.004</t>
        </is>
      </c>
      <c r="D246" s="4" t="inlineStr">
        <is>
          <t>SABIA</t>
        </is>
      </c>
      <c r="E246" s="4" t="inlineStr">
        <is>
          <t>CUSTO DE AQUISICAO DA CONCESSAO</t>
        </is>
      </c>
      <c r="F246" s="4" t="inlineStr">
        <is>
          <t>INFERIOR</t>
        </is>
      </c>
      <c r="G246" s="4" t="n">
        <v>1</v>
      </c>
      <c r="H246" s="5" t="n">
        <v>1694664906.838174</v>
      </c>
      <c r="I246" s="5" t="n">
        <v>1698236684.199994</v>
      </c>
      <c r="J246" s="5" t="n">
        <v>3609443.91</v>
      </c>
      <c r="K246" s="4" t="inlineStr">
        <is>
          <t>S</t>
        </is>
      </c>
      <c r="L246" s="4" t="inlineStr">
        <is>
          <t>2019-12-09</t>
        </is>
      </c>
      <c r="M246" s="5" t="n">
        <v>3609443.91</v>
      </c>
      <c r="N246" s="5">
        <f>J246-M246</f>
        <v/>
      </c>
      <c r="O246" s="6">
        <f>IF(F246="INFERIOR",N246/J246,"")</f>
        <v/>
      </c>
      <c r="P246" s="5">
        <f>IF(F246="INFERIOR",O246*MUS_parametros!$B$18,N246)</f>
        <v/>
      </c>
      <c r="Q246" s="4" t="inlineStr">
        <is>
          <t>Documento confere com o registro</t>
        </is>
      </c>
    </row>
    <row r="247">
      <c r="A247" s="4" t="inlineStr">
        <is>
          <t>IMB-0163396</t>
        </is>
      </c>
      <c r="B247" s="4" t="inlineStr">
        <is>
          <t>DESENVOLVIMENTO_CAMPOS</t>
        </is>
      </c>
      <c r="C247" s="4" t="inlineStr">
        <is>
          <t>1.2.03.04.001</t>
        </is>
      </c>
      <c r="D247" s="4" t="inlineStr">
        <is>
          <t>JACUIPE</t>
        </is>
      </c>
      <c r="E247" s="4" t="inlineStr">
        <is>
          <t>PERFURACAO E COMPLETACAO</t>
        </is>
      </c>
      <c r="F247" s="4" t="inlineStr">
        <is>
          <t>INFERIOR</t>
        </is>
      </c>
      <c r="G247" s="4" t="n">
        <v>1</v>
      </c>
      <c r="H247" s="5" t="n">
        <v>1700397906.838174</v>
      </c>
      <c r="I247" s="5" t="n">
        <v>1700671076.249995</v>
      </c>
      <c r="J247" s="5" t="n">
        <v>764218.47</v>
      </c>
      <c r="K247" s="4" t="inlineStr">
        <is>
          <t>S</t>
        </is>
      </c>
      <c r="L247" s="4" t="inlineStr">
        <is>
          <t>2024-05-01</t>
        </is>
      </c>
      <c r="M247" s="5" t="n">
        <v>764218.47</v>
      </c>
      <c r="N247" s="5">
        <f>J247-M247</f>
        <v/>
      </c>
      <c r="O247" s="6">
        <f>IF(F247="INFERIOR",N247/J247,"")</f>
        <v/>
      </c>
      <c r="P247" s="5">
        <f>IF(F247="INFERIOR",O247*MUS_parametros!$B$18,N247)</f>
        <v/>
      </c>
      <c r="Q247" s="4" t="inlineStr">
        <is>
          <t>Documento confere com o registro</t>
        </is>
      </c>
    </row>
    <row r="248">
      <c r="A248" s="4" t="inlineStr">
        <is>
          <t>IMB-0164153</t>
        </is>
      </c>
      <c r="B248" s="4" t="inlineStr">
        <is>
          <t>ALMOXARIFADO_INVERSOES_FIXAS</t>
        </is>
      </c>
      <c r="C248" s="4" t="inlineStr">
        <is>
          <t>1.2.03.07.001</t>
        </is>
      </c>
      <c r="D248" s="4" t="inlineStr">
        <is>
          <t>POT-CONC-16 (SINTETICO)</t>
        </is>
      </c>
      <c r="E248" s="4" t="inlineStr">
        <is>
          <t>TUBO DE REVESTIMENTO/PRODUCAO (LOTE)</t>
        </is>
      </c>
      <c r="F248" s="4" t="inlineStr">
        <is>
          <t>INFERIOR</t>
        </is>
      </c>
      <c r="G248" s="4" t="n">
        <v>1</v>
      </c>
      <c r="H248" s="5" t="n">
        <v>1706130906.838174</v>
      </c>
      <c r="I248" s="5" t="n">
        <v>1706138574.129994</v>
      </c>
      <c r="J248" s="5" t="n">
        <v>24048.06</v>
      </c>
      <c r="K248" s="4" t="inlineStr">
        <is>
          <t>S</t>
        </is>
      </c>
      <c r="L248" s="4" t="inlineStr">
        <is>
          <t>2024-04-26</t>
        </is>
      </c>
      <c r="M248" s="5" t="n">
        <v>24048.06</v>
      </c>
      <c r="N248" s="5">
        <f>J248-M248</f>
        <v/>
      </c>
      <c r="O248" s="6">
        <f>IF(F248="INFERIOR",N248/J248,"")</f>
        <v/>
      </c>
      <c r="P248" s="5">
        <f>IF(F248="INFERIOR",O248*MUS_parametros!$B$18,N248)</f>
        <v/>
      </c>
      <c r="Q248" s="4" t="inlineStr">
        <is>
          <t>Documento confere com o registro</t>
        </is>
      </c>
    </row>
    <row r="249">
      <c r="A249" s="4" t="inlineStr">
        <is>
          <t>IMB-0164502</t>
        </is>
      </c>
      <c r="B249" s="4" t="inlineStr">
        <is>
          <t>DESENVOLVIMENTO_CAMPOS</t>
        </is>
      </c>
      <c r="C249" s="4" t="inlineStr">
        <is>
          <t>1.2.03.04.001</t>
        </is>
      </c>
      <c r="D249" s="4" t="inlineStr">
        <is>
          <t>TARTARUGA</t>
        </is>
      </c>
      <c r="E249" s="4" t="inlineStr">
        <is>
          <t>PERFURACAO E COMPLETACAO</t>
        </is>
      </c>
      <c r="F249" s="4" t="inlineStr">
        <is>
          <t>INFERIOR</t>
        </is>
      </c>
      <c r="G249" s="4" t="n">
        <v>1</v>
      </c>
      <c r="H249" s="5" t="n">
        <v>1711863906.838174</v>
      </c>
      <c r="I249" s="5" t="n">
        <v>1715552750.209995</v>
      </c>
      <c r="J249" s="5" t="n">
        <v>5521462.63</v>
      </c>
      <c r="K249" s="4" t="inlineStr">
        <is>
          <t>S</t>
        </is>
      </c>
      <c r="L249" s="4" t="inlineStr">
        <is>
          <t>2025-10-14</t>
        </is>
      </c>
      <c r="M249" s="5" t="n">
        <v>5521462.63</v>
      </c>
      <c r="N249" s="5">
        <f>J249-M249</f>
        <v/>
      </c>
      <c r="O249" s="6">
        <f>IF(F249="INFERIOR",N249/J249,"")</f>
        <v/>
      </c>
      <c r="P249" s="5">
        <f>IF(F249="INFERIOR",O249*MUS_parametros!$B$18,N249)</f>
        <v/>
      </c>
      <c r="Q249" s="4" t="inlineStr">
        <is>
          <t>Documento confere com o registro</t>
        </is>
      </c>
    </row>
    <row r="250">
      <c r="A250" s="4" t="inlineStr">
        <is>
          <t>IMB-0164734</t>
        </is>
      </c>
      <c r="B250" s="4" t="inlineStr">
        <is>
          <t>MAQUINAS_EQUIPAMENTOS</t>
        </is>
      </c>
      <c r="C250" s="4" t="inlineStr">
        <is>
          <t>1.2.03.01.003</t>
        </is>
      </c>
      <c r="D250" s="4" t="inlineStr">
        <is>
          <t>POT-CONC-07 (SINTETICO)</t>
        </is>
      </c>
      <c r="E250" s="4" t="inlineStr">
        <is>
          <t>COMPRESSOR/SEPARADOR/TANQUE/FACILITY</t>
        </is>
      </c>
      <c r="F250" s="4" t="inlineStr">
        <is>
          <t>INFERIOR</t>
        </is>
      </c>
      <c r="G250" s="4" t="n">
        <v>1</v>
      </c>
      <c r="H250" s="5" t="n">
        <v>1717596906.838174</v>
      </c>
      <c r="I250" s="5" t="n">
        <v>1717610221.819994</v>
      </c>
      <c r="J250" s="5" t="n">
        <v>116492.71</v>
      </c>
      <c r="K250" s="4" t="inlineStr">
        <is>
          <t>S</t>
        </is>
      </c>
      <c r="L250" s="4" t="inlineStr">
        <is>
          <t>2020-05-29</t>
        </is>
      </c>
      <c r="M250" s="5" t="n">
        <v>116492.71</v>
      </c>
      <c r="N250" s="5">
        <f>J250-M250</f>
        <v/>
      </c>
      <c r="O250" s="6">
        <f>IF(F250="INFERIOR",N250/J250,"")</f>
        <v/>
      </c>
      <c r="P250" s="5">
        <f>IF(F250="INFERIOR",O250*MUS_parametros!$B$18,N250)</f>
        <v/>
      </c>
      <c r="Q250" s="4" t="inlineStr">
        <is>
          <t>Documento confere com o registro</t>
        </is>
      </c>
    </row>
    <row r="251">
      <c r="A251" s="4" t="inlineStr">
        <is>
          <t>IMB-0165628</t>
        </is>
      </c>
      <c r="B251" s="4" t="inlineStr">
        <is>
          <t>OUTROS</t>
        </is>
      </c>
      <c r="C251" s="4" t="inlineStr">
        <is>
          <t>1.2.03.09.005</t>
        </is>
      </c>
      <c r="D251" s="4" t="inlineStr">
        <is>
          <t>PAJEU</t>
        </is>
      </c>
      <c r="E251" s="4" t="inlineStr">
        <is>
          <t>VEICULO LEVE</t>
        </is>
      </c>
      <c r="F251" s="4" t="inlineStr">
        <is>
          <t>INFERIOR</t>
        </is>
      </c>
      <c r="G251" s="4" t="n">
        <v>1</v>
      </c>
      <c r="H251" s="5" t="n">
        <v>1723329906.838174</v>
      </c>
      <c r="I251" s="5" t="n">
        <v>1723348101.389995</v>
      </c>
      <c r="J251" s="5" t="n">
        <v>19652.4</v>
      </c>
      <c r="K251" s="4" t="inlineStr">
        <is>
          <t>S</t>
        </is>
      </c>
      <c r="L251" s="4" t="inlineStr">
        <is>
          <t>2023-07-14</t>
        </is>
      </c>
      <c r="M251" s="5" t="n">
        <v>19652.4</v>
      </c>
      <c r="N251" s="5">
        <f>J251-M251</f>
        <v/>
      </c>
      <c r="O251" s="6">
        <f>IF(F251="INFERIOR",N251/J251,"")</f>
        <v/>
      </c>
      <c r="P251" s="5">
        <f>IF(F251="INFERIOR",O251*MUS_parametros!$B$18,N251)</f>
        <v/>
      </c>
      <c r="Q251" s="4" t="inlineStr">
        <is>
          <t>Documento confere com o registro</t>
        </is>
      </c>
    </row>
    <row r="252">
      <c r="A252" s="4" t="inlineStr">
        <is>
          <t>IMB-0166312</t>
        </is>
      </c>
      <c r="B252" s="4" t="inlineStr">
        <is>
          <t>DESENVOLVIMENTO_CAMPOS</t>
        </is>
      </c>
      <c r="C252" s="4" t="inlineStr">
        <is>
          <t>1.2.03.04.001</t>
        </is>
      </c>
      <c r="D252" s="4" t="inlineStr">
        <is>
          <t>POT-CONC-18 (SINTETICO)</t>
        </is>
      </c>
      <c r="E252" s="4" t="inlineStr">
        <is>
          <t>PERFURACAO E COMPLETACAO</t>
        </is>
      </c>
      <c r="F252" s="4" t="inlineStr">
        <is>
          <t>INFERIOR</t>
        </is>
      </c>
      <c r="G252" s="4" t="n">
        <v>1</v>
      </c>
      <c r="H252" s="5" t="n">
        <v>1729062906.838174</v>
      </c>
      <c r="I252" s="5" t="n">
        <v>1729138238.759995</v>
      </c>
      <c r="J252" s="5" t="n">
        <v>124333.13</v>
      </c>
      <c r="K252" s="4" t="inlineStr">
        <is>
          <t>S</t>
        </is>
      </c>
      <c r="L252" s="4" t="inlineStr">
        <is>
          <t>2024-07-08</t>
        </is>
      </c>
      <c r="M252" s="5" t="n">
        <v>124333.13</v>
      </c>
      <c r="N252" s="5">
        <f>J252-M252</f>
        <v/>
      </c>
      <c r="O252" s="6">
        <f>IF(F252="INFERIOR",N252/J252,"")</f>
        <v/>
      </c>
      <c r="P252" s="5">
        <f>IF(F252="INFERIOR",O252*MUS_parametros!$B$18,N252)</f>
        <v/>
      </c>
      <c r="Q252" s="4" t="inlineStr">
        <is>
          <t>Documento confere com o registro</t>
        </is>
      </c>
    </row>
    <row r="253">
      <c r="A253" s="4" t="inlineStr">
        <is>
          <t>IMB-0166528</t>
        </is>
      </c>
      <c r="B253" s="4" t="inlineStr">
        <is>
          <t>DESENVOLVIMENTO_CAMPOS</t>
        </is>
      </c>
      <c r="C253" s="4" t="inlineStr">
        <is>
          <t>1.2.03.04.001</t>
        </is>
      </c>
      <c r="D253" s="4" t="inlineStr">
        <is>
          <t>TARTARUGA</t>
        </is>
      </c>
      <c r="E253" s="4" t="inlineStr">
        <is>
          <t>PERFURACAO E COMPLETACAO</t>
        </is>
      </c>
      <c r="F253" s="4" t="inlineStr">
        <is>
          <t>INFERIOR</t>
        </is>
      </c>
      <c r="G253" s="4" t="n">
        <v>1</v>
      </c>
      <c r="H253" s="5" t="n">
        <v>1734795906.838174</v>
      </c>
      <c r="I253" s="5" t="n">
        <v>1734877239.709996</v>
      </c>
      <c r="J253" s="5" t="n">
        <v>3430463.71</v>
      </c>
      <c r="K253" s="4" t="inlineStr">
        <is>
          <t>S</t>
        </is>
      </c>
      <c r="L253" s="4" t="inlineStr">
        <is>
          <t>2025-11-21</t>
        </is>
      </c>
      <c r="M253" s="5" t="n">
        <v>3430463.71</v>
      </c>
      <c r="N253" s="5">
        <f>J253-M253</f>
        <v/>
      </c>
      <c r="O253" s="6">
        <f>IF(F253="INFERIOR",N253/J253,"")</f>
        <v/>
      </c>
      <c r="P253" s="5">
        <f>IF(F253="INFERIOR",O253*MUS_parametros!$B$18,N253)</f>
        <v/>
      </c>
      <c r="Q253" s="4" t="inlineStr">
        <is>
          <t>Documento confere com o registro</t>
        </is>
      </c>
    </row>
    <row r="254">
      <c r="A254" s="4" t="inlineStr">
        <is>
          <t>IMB-0167378</t>
        </is>
      </c>
      <c r="B254" s="4" t="inlineStr">
        <is>
          <t>DESENVOLVIMENTO_CAMPOS</t>
        </is>
      </c>
      <c r="C254" s="4" t="inlineStr">
        <is>
          <t>1.2.03.04.002</t>
        </is>
      </c>
      <c r="D254" s="4" t="inlineStr">
        <is>
          <t>RIO MOSSORO</t>
        </is>
      </c>
      <c r="E254" s="4" t="inlineStr">
        <is>
          <t>WORKOVER / RECOMPLETACAO CAPITALIZADO</t>
        </is>
      </c>
      <c r="F254" s="4" t="inlineStr">
        <is>
          <t>INFERIOR</t>
        </is>
      </c>
      <c r="G254" s="4" t="n">
        <v>1</v>
      </c>
      <c r="H254" s="5" t="n">
        <v>1740528906.838174</v>
      </c>
      <c r="I254" s="5" t="n">
        <v>1740561877.649998</v>
      </c>
      <c r="J254" s="5" t="n">
        <v>46103.37</v>
      </c>
      <c r="K254" s="4" t="inlineStr">
        <is>
          <t>S</t>
        </is>
      </c>
      <c r="L254" s="4" t="inlineStr">
        <is>
          <t>2025-11-28</t>
        </is>
      </c>
      <c r="M254" s="5" t="n">
        <v>46103.37</v>
      </c>
      <c r="N254" s="5">
        <f>J254-M254</f>
        <v/>
      </c>
      <c r="O254" s="6">
        <f>IF(F254="INFERIOR",N254/J254,"")</f>
        <v/>
      </c>
      <c r="P254" s="5">
        <f>IF(F254="INFERIOR",O254*MUS_parametros!$B$18,N254)</f>
        <v/>
      </c>
      <c r="Q254" s="4" t="inlineStr">
        <is>
          <t>Documento confere com o registro</t>
        </is>
      </c>
    </row>
    <row r="255">
      <c r="A255" s="4" t="inlineStr">
        <is>
          <t>IMB-0167826</t>
        </is>
      </c>
      <c r="B255" s="4" t="inlineStr">
        <is>
          <t>DESENVOLVIMENTO_CAMPOS</t>
        </is>
      </c>
      <c r="C255" s="4" t="inlineStr">
        <is>
          <t>1.2.03.04.002</t>
        </is>
      </c>
      <c r="D255" s="4" t="inlineStr">
        <is>
          <t>POT-CONC-12 (SINTETICO)</t>
        </is>
      </c>
      <c r="E255" s="4" t="inlineStr">
        <is>
          <t>WORKOVER / RECOMPLETACAO CAPITALIZADO</t>
        </is>
      </c>
      <c r="F255" s="4" t="inlineStr">
        <is>
          <t>INFERIOR</t>
        </is>
      </c>
      <c r="G255" s="4" t="n">
        <v>1</v>
      </c>
      <c r="H255" s="5" t="n">
        <v>1746261906.838174</v>
      </c>
      <c r="I255" s="5" t="n">
        <v>1746265739.99</v>
      </c>
      <c r="J255" s="5" t="n">
        <v>8339.02</v>
      </c>
      <c r="K255" s="4" t="inlineStr">
        <is>
          <t>S</t>
        </is>
      </c>
      <c r="L255" s="4" t="inlineStr">
        <is>
          <t>2025-12-04</t>
        </is>
      </c>
      <c r="M255" s="5" t="n">
        <v>8339.02</v>
      </c>
      <c r="N255" s="5">
        <f>J255-M255</f>
        <v/>
      </c>
      <c r="O255" s="6">
        <f>IF(F255="INFERIOR",N255/J255,"")</f>
        <v/>
      </c>
      <c r="P255" s="5">
        <f>IF(F255="INFERIOR",O255*MUS_parametros!$B$18,N255)</f>
        <v/>
      </c>
      <c r="Q255" s="4" t="inlineStr">
        <is>
          <t>Documento confere com o registro</t>
        </is>
      </c>
    </row>
    <row r="256">
      <c r="A256" s="4" t="inlineStr">
        <is>
          <t>IMB-0168737</t>
        </is>
      </c>
      <c r="B256" s="4" t="inlineStr">
        <is>
          <t>DESENVOLVIMENTO_CAMPOS</t>
        </is>
      </c>
      <c r="C256" s="4" t="inlineStr">
        <is>
          <t>1.2.03.04.002</t>
        </is>
      </c>
      <c r="D256" s="4" t="inlineStr">
        <is>
          <t>REMANSO</t>
        </is>
      </c>
      <c r="E256" s="4" t="inlineStr">
        <is>
          <t>WORKOVER / RECOMPLETACAO CAPITALIZADO</t>
        </is>
      </c>
      <c r="F256" s="4" t="inlineStr">
        <is>
          <t>INFERIOR</t>
        </is>
      </c>
      <c r="G256" s="4" t="n">
        <v>1</v>
      </c>
      <c r="H256" s="5" t="n">
        <v>1751994906.838174</v>
      </c>
      <c r="I256" s="5" t="n">
        <v>1752005483.03</v>
      </c>
      <c r="J256" s="5" t="n">
        <v>56185.29</v>
      </c>
      <c r="K256" s="4" t="inlineStr">
        <is>
          <t>S</t>
        </is>
      </c>
      <c r="L256" s="4" t="inlineStr">
        <is>
          <t>2025-03-10</t>
        </is>
      </c>
      <c r="M256" s="5" t="n">
        <v>56185.29</v>
      </c>
      <c r="N256" s="5">
        <f>J256-M256</f>
        <v/>
      </c>
      <c r="O256" s="6">
        <f>IF(F256="INFERIOR",N256/J256,"")</f>
        <v/>
      </c>
      <c r="P256" s="5">
        <f>IF(F256="INFERIOR",O256*MUS_parametros!$B$18,N256)</f>
        <v/>
      </c>
      <c r="Q256" s="4" t="inlineStr">
        <is>
          <t>Documento confere com o registro</t>
        </is>
      </c>
    </row>
    <row r="257">
      <c r="A257" s="4" t="inlineStr">
        <is>
          <t>IMB-0169450</t>
        </is>
      </c>
      <c r="B257" s="4" t="inlineStr">
        <is>
          <t>ALMOXARIFADO_INVERSOES_FIXAS</t>
        </is>
      </c>
      <c r="C257" s="4" t="inlineStr">
        <is>
          <t>1.2.03.07.004</t>
        </is>
      </c>
      <c r="D257" s="4" t="inlineStr">
        <is>
          <t>POT-CONC-08 (SINTETICO)</t>
        </is>
      </c>
      <c r="E257" s="4" t="inlineStr">
        <is>
          <t>MATERIAL DIVERSO DE INVESTIMENTO</t>
        </is>
      </c>
      <c r="F257" s="4" t="inlineStr">
        <is>
          <t>INFERIOR</t>
        </is>
      </c>
      <c r="G257" s="4" t="n">
        <v>1</v>
      </c>
      <c r="H257" s="5" t="n">
        <v>1757727906.838174</v>
      </c>
      <c r="I257" s="5" t="n">
        <v>1757728236.6</v>
      </c>
      <c r="J257" s="5" t="n">
        <v>337.11</v>
      </c>
      <c r="K257" s="4" t="inlineStr">
        <is>
          <t>S</t>
        </is>
      </c>
      <c r="L257" s="4" t="inlineStr">
        <is>
          <t>2025-08-16</t>
        </is>
      </c>
      <c r="M257" s="5" t="n">
        <v>337.11</v>
      </c>
      <c r="N257" s="5">
        <f>J257-M257</f>
        <v/>
      </c>
      <c r="O257" s="6">
        <f>IF(F257="INFERIOR",N257/J257,"")</f>
        <v/>
      </c>
      <c r="P257" s="5">
        <f>IF(F257="INFERIOR",O257*MUS_parametros!$B$18,N257)</f>
        <v/>
      </c>
      <c r="Q257" s="4" t="inlineStr">
        <is>
          <t>Documento confere com o registro</t>
        </is>
      </c>
    </row>
    <row r="258">
      <c r="A258" s="4" t="inlineStr">
        <is>
          <t>IMB-0170319</t>
        </is>
      </c>
      <c r="B258" s="4" t="inlineStr">
        <is>
          <t>DESENVOLVIMENTO_CAMPOS</t>
        </is>
      </c>
      <c r="C258" s="4" t="inlineStr">
        <is>
          <t>1.2.03.04.001</t>
        </is>
      </c>
      <c r="D258" s="4" t="inlineStr">
        <is>
          <t>BIRIBA</t>
        </is>
      </c>
      <c r="E258" s="4" t="inlineStr">
        <is>
          <t>PERFURACAO E COMPLETACAO</t>
        </is>
      </c>
      <c r="F258" s="4" t="inlineStr">
        <is>
          <t>INFERIOR</t>
        </is>
      </c>
      <c r="G258" s="4" t="n">
        <v>1</v>
      </c>
      <c r="H258" s="5" t="n">
        <v>1763460906.838174</v>
      </c>
      <c r="I258" s="5" t="n">
        <v>1763603255.9</v>
      </c>
      <c r="J258" s="5" t="n">
        <v>153051.84</v>
      </c>
      <c r="K258" s="4" t="inlineStr">
        <is>
          <t>S</t>
        </is>
      </c>
      <c r="L258" s="4" t="inlineStr">
        <is>
          <t>2024-10-04</t>
        </is>
      </c>
      <c r="M258" s="5" t="n">
        <v>153051.84</v>
      </c>
      <c r="N258" s="5">
        <f>J258-M258</f>
        <v/>
      </c>
      <c r="O258" s="6">
        <f>IF(F258="INFERIOR",N258/J258,"")</f>
        <v/>
      </c>
      <c r="P258" s="5">
        <f>IF(F258="INFERIOR",O258*MUS_parametros!$B$18,N258)</f>
        <v/>
      </c>
      <c r="Q258" s="4" t="inlineStr">
        <is>
          <t>Documento confere com o registro</t>
        </is>
      </c>
    </row>
    <row r="259">
      <c r="A259" s="4" t="inlineStr">
        <is>
          <t>IMB-0170938</t>
        </is>
      </c>
      <c r="B259" s="4" t="inlineStr">
        <is>
          <t>ALMOXARIFADO_INVERSOES_FIXAS</t>
        </is>
      </c>
      <c r="C259" s="4" t="inlineStr">
        <is>
          <t>1.2.03.07.001</t>
        </is>
      </c>
      <c r="D259" s="4" t="inlineStr">
        <is>
          <t>POT-CONC-02 (SINTETICO)</t>
        </is>
      </c>
      <c r="E259" s="4" t="inlineStr">
        <is>
          <t>TUBO DE REVESTIMENTO/PRODUCAO (LOTE)</t>
        </is>
      </c>
      <c r="F259" s="4" t="inlineStr">
        <is>
          <t>INFERIOR</t>
        </is>
      </c>
      <c r="G259" s="4" t="n">
        <v>1</v>
      </c>
      <c r="H259" s="5" t="n">
        <v>1769193906.838174</v>
      </c>
      <c r="I259" s="5" t="n">
        <v>1769196267.819998</v>
      </c>
      <c r="J259" s="5" t="n">
        <v>22219.58</v>
      </c>
      <c r="K259" s="4" t="inlineStr">
        <is>
          <t>S</t>
        </is>
      </c>
      <c r="L259" s="4" t="inlineStr">
        <is>
          <t>2025-12-01</t>
        </is>
      </c>
      <c r="M259" s="5" t="n">
        <v>22219.58</v>
      </c>
      <c r="N259" s="5">
        <f>J259-M259</f>
        <v/>
      </c>
      <c r="O259" s="6">
        <f>IF(F259="INFERIOR",N259/J259,"")</f>
        <v/>
      </c>
      <c r="P259" s="5">
        <f>IF(F259="INFERIOR",O259*MUS_parametros!$B$18,N259)</f>
        <v/>
      </c>
      <c r="Q259" s="4" t="inlineStr">
        <is>
          <t>Documento confere com o registro</t>
        </is>
      </c>
    </row>
    <row r="260">
      <c r="A260" s="4" t="inlineStr">
        <is>
          <t>IMB-0171277</t>
        </is>
      </c>
      <c r="B260" s="4" t="inlineStr">
        <is>
          <t>MAQUINAS_EQUIPAMENTOS</t>
        </is>
      </c>
      <c r="C260" s="4" t="inlineStr">
        <is>
          <t>1.2.03.01.004</t>
        </is>
      </c>
      <c r="D260" s="4" t="inlineStr">
        <is>
          <t>UPGN GUAMARE</t>
        </is>
      </c>
      <c r="E260" s="4" t="inlineStr">
        <is>
          <t>ARMAZENAMENTO DE LIQUIDOS</t>
        </is>
      </c>
      <c r="F260" s="4" t="inlineStr">
        <is>
          <t>SUPERIOR (VC &gt;= I)</t>
        </is>
      </c>
      <c r="G260" s="4" t="n">
        <v>1</v>
      </c>
      <c r="H260" s="5" t="n">
        <v>1774926906.838174</v>
      </c>
      <c r="I260" s="5" t="n">
        <v>1777853750.089998</v>
      </c>
      <c r="J260" s="5" t="n">
        <v>6168724.62</v>
      </c>
      <c r="K260" s="4" t="inlineStr">
        <is>
          <t>S</t>
        </is>
      </c>
      <c r="L260" s="4" t="inlineStr">
        <is>
          <t>2025-09-30</t>
        </is>
      </c>
      <c r="M260" s="5" t="n">
        <v>6168724.62</v>
      </c>
      <c r="N260" s="5">
        <f>J260-M260</f>
        <v/>
      </c>
      <c r="O260" s="6">
        <f>IF(F260="INFERIOR",N260/J260,"")</f>
        <v/>
      </c>
      <c r="P260" s="5">
        <f>IF(F260="INFERIOR",O260*MUS_parametros!$B$18,N260)</f>
        <v/>
      </c>
      <c r="Q260" s="4" t="inlineStr">
        <is>
          <t>Documento confere com o registro</t>
        </is>
      </c>
    </row>
    <row r="261">
      <c r="A261" s="4" t="inlineStr">
        <is>
          <t>IMB-0171800</t>
        </is>
      </c>
      <c r="B261" s="4" t="inlineStr">
        <is>
          <t>DESENVOLVIMENTO_CAMPOS</t>
        </is>
      </c>
      <c r="C261" s="4" t="inlineStr">
        <is>
          <t>1.2.03.04.001</t>
        </is>
      </c>
      <c r="D261" s="4" t="inlineStr">
        <is>
          <t>POT-CONC-20 (SINTETICO)</t>
        </is>
      </c>
      <c r="E261" s="4" t="inlineStr">
        <is>
          <t>PERFURACAO E COMPLETACAO</t>
        </is>
      </c>
      <c r="F261" s="4" t="inlineStr">
        <is>
          <t>INFERIOR</t>
        </is>
      </c>
      <c r="G261" s="4" t="n">
        <v>1</v>
      </c>
      <c r="H261" s="5" t="n">
        <v>1780659906.838174</v>
      </c>
      <c r="I261" s="5" t="n">
        <v>1780720737.909998</v>
      </c>
      <c r="J261" s="5" t="n">
        <v>110257.49</v>
      </c>
      <c r="K261" s="4" t="inlineStr">
        <is>
          <t>S</t>
        </is>
      </c>
      <c r="L261" s="4" t="inlineStr">
        <is>
          <t>2025-10-28</t>
        </is>
      </c>
      <c r="M261" s="5" t="n">
        <v>110257.49</v>
      </c>
      <c r="N261" s="5">
        <f>J261-M261</f>
        <v/>
      </c>
      <c r="O261" s="6">
        <f>IF(F261="INFERIOR",N261/J261,"")</f>
        <v/>
      </c>
      <c r="P261" s="5">
        <f>IF(F261="INFERIOR",O261*MUS_parametros!$B$18,N261)</f>
        <v/>
      </c>
      <c r="Q261" s="4" t="inlineStr">
        <is>
          <t>Documento confere com o registro</t>
        </is>
      </c>
    </row>
    <row r="262">
      <c r="A262" s="4" t="inlineStr">
        <is>
          <t>IMB-0172896</t>
        </is>
      </c>
      <c r="B262" s="4" t="inlineStr">
        <is>
          <t>ALMOXARIFADO_INVERSOES_FIXAS</t>
        </is>
      </c>
      <c r="C262" s="4" t="inlineStr">
        <is>
          <t>1.2.03.07.001</t>
        </is>
      </c>
      <c r="D262" s="4" t="inlineStr">
        <is>
          <t>POT-CONC-12 (SINTETICO)</t>
        </is>
      </c>
      <c r="E262" s="4" t="inlineStr">
        <is>
          <t>TUBO DE REVESTIMENTO/PRODUCAO (LOTE)</t>
        </is>
      </c>
      <c r="F262" s="4" t="inlineStr">
        <is>
          <t>INFERIOR</t>
        </is>
      </c>
      <c r="G262" s="4" t="n">
        <v>1</v>
      </c>
      <c r="H262" s="5" t="n">
        <v>1786392906.838174</v>
      </c>
      <c r="I262" s="5" t="n">
        <v>1786395668.869998</v>
      </c>
      <c r="J262" s="5" t="n">
        <v>4720.54</v>
      </c>
      <c r="K262" s="4" t="inlineStr">
        <is>
          <t>S</t>
        </is>
      </c>
      <c r="L262" s="4" t="inlineStr">
        <is>
          <t>2025-03-26</t>
        </is>
      </c>
      <c r="M262" s="5" t="n">
        <v>4720.54</v>
      </c>
      <c r="N262" s="5">
        <f>J262-M262</f>
        <v/>
      </c>
      <c r="O262" s="6">
        <f>IF(F262="INFERIOR",N262/J262,"")</f>
        <v/>
      </c>
      <c r="P262" s="5">
        <f>IF(F262="INFERIOR",O262*MUS_parametros!$B$18,N262)</f>
        <v/>
      </c>
      <c r="Q262" s="4" t="inlineStr">
        <is>
          <t>Documento confere com o registro</t>
        </is>
      </c>
    </row>
    <row r="263">
      <c r="A263" s="4" t="inlineStr">
        <is>
          <t>IMB-0173584</t>
        </is>
      </c>
      <c r="B263" s="4" t="inlineStr">
        <is>
          <t>ALMOXARIFADO_INVERSOES_FIXAS</t>
        </is>
      </c>
      <c r="C263" s="4" t="inlineStr">
        <is>
          <t>1.2.03.07.001</t>
        </is>
      </c>
      <c r="D263" s="4" t="inlineStr">
        <is>
          <t>BAIXA DO ALGODAO</t>
        </is>
      </c>
      <c r="E263" s="4" t="inlineStr">
        <is>
          <t>TUBO DE REVESTIMENTO/PRODUCAO (LOTE)</t>
        </is>
      </c>
      <c r="F263" s="4" t="inlineStr">
        <is>
          <t>INFERIOR</t>
        </is>
      </c>
      <c r="G263" s="4" t="n">
        <v>1</v>
      </c>
      <c r="H263" s="5" t="n">
        <v>1792125906.838174</v>
      </c>
      <c r="I263" s="5" t="n">
        <v>1792126079.260001</v>
      </c>
      <c r="J263" s="5" t="n">
        <v>1123.19</v>
      </c>
      <c r="K263" s="4" t="inlineStr">
        <is>
          <t>S</t>
        </is>
      </c>
      <c r="L263" s="4" t="inlineStr">
        <is>
          <t>2025-11-29</t>
        </is>
      </c>
      <c r="M263" s="5" t="n">
        <v>1123.19</v>
      </c>
      <c r="N263" s="5">
        <f>J263-M263</f>
        <v/>
      </c>
      <c r="O263" s="6">
        <f>IF(F263="INFERIOR",N263/J263,"")</f>
        <v/>
      </c>
      <c r="P263" s="5">
        <f>IF(F263="INFERIOR",O263*MUS_parametros!$B$18,N263)</f>
        <v/>
      </c>
      <c r="Q263" s="4" t="inlineStr">
        <is>
          <t>Documento confere com o registro</t>
        </is>
      </c>
    </row>
    <row r="264">
      <c r="A264" s="4" t="inlineStr">
        <is>
          <t>IMB-0174087</t>
        </is>
      </c>
      <c r="B264" s="4" t="inlineStr">
        <is>
          <t>DESENVOLVIMENTO_CAMPOS</t>
        </is>
      </c>
      <c r="C264" s="4" t="inlineStr">
        <is>
          <t>1.2.03.04.004</t>
        </is>
      </c>
      <c r="D264" s="4" t="inlineStr">
        <is>
          <t>POT-CONC-12 (SINTETICO)</t>
        </is>
      </c>
      <c r="E264" s="4" t="inlineStr">
        <is>
          <t>LINHA DE SURGENCIA E MANIFOLD</t>
        </is>
      </c>
      <c r="F264" s="4" t="inlineStr">
        <is>
          <t>INFERIOR</t>
        </is>
      </c>
      <c r="G264" s="4" t="n">
        <v>1</v>
      </c>
      <c r="H264" s="5" t="n">
        <v>1797858906.838174</v>
      </c>
      <c r="I264" s="5" t="n">
        <v>1797863104.07</v>
      </c>
      <c r="J264" s="5" t="n">
        <v>4213.32</v>
      </c>
      <c r="K264" s="4" t="inlineStr">
        <is>
          <t>S</t>
        </is>
      </c>
      <c r="L264" s="4" t="inlineStr">
        <is>
          <t>2025-10-12</t>
        </is>
      </c>
      <c r="M264" s="5" t="n">
        <v>4213.32</v>
      </c>
      <c r="N264" s="5">
        <f>J264-M264</f>
        <v/>
      </c>
      <c r="O264" s="6">
        <f>IF(F264="INFERIOR",N264/J264,"")</f>
        <v/>
      </c>
      <c r="P264" s="5">
        <f>IF(F264="INFERIOR",O264*MUS_parametros!$B$18,N264)</f>
        <v/>
      </c>
      <c r="Q264" s="4" t="inlineStr">
        <is>
          <t>Documento confere com o registro</t>
        </is>
      </c>
    </row>
    <row r="265">
      <c r="A265" s="4" t="inlineStr">
        <is>
          <t>IMB-0175078</t>
        </is>
      </c>
      <c r="B265" s="4" t="inlineStr">
        <is>
          <t>ABANDONO_POCO_ARO</t>
        </is>
      </c>
      <c r="C265" s="4" t="inlineStr">
        <is>
          <t>1.2.03.06.001</t>
        </is>
      </c>
      <c r="D265" s="4" t="inlineStr">
        <is>
          <t>APRAIUS</t>
        </is>
      </c>
      <c r="E265" s="4" t="inlineStr">
        <is>
          <t>CUSTO ESTIMADO DE ABANDONO (VALOR PRESENTE)</t>
        </is>
      </c>
      <c r="F265" s="4" t="inlineStr">
        <is>
          <t>INFERIOR</t>
        </is>
      </c>
      <c r="G265" s="4" t="n">
        <v>1</v>
      </c>
      <c r="H265" s="5" t="n">
        <v>1803591906.838174</v>
      </c>
      <c r="I265" s="5" t="n">
        <v>1803598376.229999</v>
      </c>
      <c r="J265" s="5" t="n">
        <v>7643.46</v>
      </c>
      <c r="K265" s="4" t="inlineStr">
        <is>
          <t>S</t>
        </is>
      </c>
      <c r="L265" s="4" t="inlineStr">
        <is>
          <t>2021-12-07</t>
        </is>
      </c>
      <c r="M265" s="5" t="n">
        <v>7643.46</v>
      </c>
      <c r="N265" s="5">
        <f>J265-M265</f>
        <v/>
      </c>
      <c r="O265" s="6">
        <f>IF(F265="INFERIOR",N265/J265,"")</f>
        <v/>
      </c>
      <c r="P265" s="5">
        <f>IF(F265="INFERIOR",O265*MUS_parametros!$B$18,N265)</f>
        <v/>
      </c>
      <c r="Q265" s="4" t="inlineStr">
        <is>
          <t>Documento confere com o registro</t>
        </is>
      </c>
    </row>
    <row r="266">
      <c r="A266" s="4" t="inlineStr">
        <is>
          <t>IMB-0175701</t>
        </is>
      </c>
      <c r="B266" s="4" t="inlineStr">
        <is>
          <t>DESENVOLVIMENTO_CAMPOS</t>
        </is>
      </c>
      <c r="C266" s="4" t="inlineStr">
        <is>
          <t>1.2.03.04.001</t>
        </is>
      </c>
      <c r="D266" s="4" t="inlineStr">
        <is>
          <t>TARTARUGA</t>
        </is>
      </c>
      <c r="E266" s="4" t="inlineStr">
        <is>
          <t>PERFURACAO E COMPLETACAO</t>
        </is>
      </c>
      <c r="F266" s="4" t="inlineStr">
        <is>
          <t>INFERIOR</t>
        </is>
      </c>
      <c r="G266" s="4" t="n">
        <v>1</v>
      </c>
      <c r="H266" s="5" t="n">
        <v>1809324906.838174</v>
      </c>
      <c r="I266" s="5" t="n">
        <v>1809989536.269996</v>
      </c>
      <c r="J266" s="5" t="n">
        <v>2432282.9</v>
      </c>
      <c r="K266" s="4" t="inlineStr">
        <is>
          <t>S</t>
        </is>
      </c>
      <c r="L266" s="4" t="inlineStr">
        <is>
          <t>2025-11-25</t>
        </is>
      </c>
      <c r="M266" s="5" t="n">
        <v>2432282.9</v>
      </c>
      <c r="N266" s="5">
        <f>J266-M266</f>
        <v/>
      </c>
      <c r="O266" s="6">
        <f>IF(F266="INFERIOR",N266/J266,"")</f>
        <v/>
      </c>
      <c r="P266" s="5">
        <f>IF(F266="INFERIOR",O266*MUS_parametros!$B$18,N266)</f>
        <v/>
      </c>
      <c r="Q266" s="4" t="inlineStr">
        <is>
          <t>Documento confere com o registro</t>
        </is>
      </c>
    </row>
    <row r="267">
      <c r="A267" s="4" t="inlineStr">
        <is>
          <t>IMB-0176221</t>
        </is>
      </c>
      <c r="B267" s="4" t="inlineStr">
        <is>
          <t>DESENVOLVIMENTO_CAMPOS</t>
        </is>
      </c>
      <c r="C267" s="4" t="inlineStr">
        <is>
          <t>1.2.03.04.001</t>
        </is>
      </c>
      <c r="D267" s="4" t="inlineStr">
        <is>
          <t>TARTARUGA</t>
        </is>
      </c>
      <c r="E267" s="4" t="inlineStr">
        <is>
          <t>PERFURACAO E COMPLETACAO</t>
        </is>
      </c>
      <c r="F267" s="4" t="inlineStr">
        <is>
          <t>INFERIOR</t>
        </is>
      </c>
      <c r="G267" s="4" t="n">
        <v>1</v>
      </c>
      <c r="H267" s="5" t="n">
        <v>1815057906.838174</v>
      </c>
      <c r="I267" s="5" t="n">
        <v>1816142981.849997</v>
      </c>
      <c r="J267" s="5" t="n">
        <v>1893552.12</v>
      </c>
      <c r="K267" s="4" t="inlineStr">
        <is>
          <t>S</t>
        </is>
      </c>
      <c r="L267" s="4" t="inlineStr">
        <is>
          <t>2025-12-21</t>
        </is>
      </c>
      <c r="M267" s="5" t="n">
        <v>1893552.12</v>
      </c>
      <c r="N267" s="5">
        <f>J267-M267</f>
        <v/>
      </c>
      <c r="O267" s="6">
        <f>IF(F267="INFERIOR",N267/J267,"")</f>
        <v/>
      </c>
      <c r="P267" s="5">
        <f>IF(F267="INFERIOR",O267*MUS_parametros!$B$18,N267)</f>
        <v/>
      </c>
      <c r="Q267" s="4" t="inlineStr">
        <is>
          <t>Documento confere com o registro</t>
        </is>
      </c>
    </row>
    <row r="268">
      <c r="A268" s="4" t="inlineStr">
        <is>
          <t>IMB-0176790</t>
        </is>
      </c>
      <c r="B268" s="4" t="inlineStr">
        <is>
          <t>MAQUINAS_EQUIPAMENTOS</t>
        </is>
      </c>
      <c r="C268" s="4" t="inlineStr">
        <is>
          <t>1.2.03.01.003</t>
        </is>
      </c>
      <c r="D268" s="4" t="inlineStr">
        <is>
          <t>REMANSO</t>
        </is>
      </c>
      <c r="E268" s="4" t="inlineStr">
        <is>
          <t>COMPRESSOR/SEPARADOR/TANQUE/FACILITY</t>
        </is>
      </c>
      <c r="F268" s="4" t="inlineStr">
        <is>
          <t>INFERIOR</t>
        </is>
      </c>
      <c r="G268" s="4" t="n">
        <v>1</v>
      </c>
      <c r="H268" s="5" t="n">
        <v>1820790906.838174</v>
      </c>
      <c r="I268" s="5" t="n">
        <v>1820825195.719997</v>
      </c>
      <c r="J268" s="5" t="n">
        <v>37361.46</v>
      </c>
      <c r="K268" s="4" t="inlineStr">
        <is>
          <t>S</t>
        </is>
      </c>
      <c r="L268" s="4" t="inlineStr">
        <is>
          <t>2024-04-18</t>
        </is>
      </c>
      <c r="M268" s="5" t="n">
        <v>37361.46</v>
      </c>
      <c r="N268" s="5">
        <f>J268-M268</f>
        <v/>
      </c>
      <c r="O268" s="6">
        <f>IF(F268="INFERIOR",N268/J268,"")</f>
        <v/>
      </c>
      <c r="P268" s="5">
        <f>IF(F268="INFERIOR",O268*MUS_parametros!$B$18,N268)</f>
        <v/>
      </c>
      <c r="Q268" s="4" t="inlineStr">
        <is>
          <t>Documento confere com o registro</t>
        </is>
      </c>
    </row>
    <row r="269">
      <c r="A269" s="4" t="inlineStr">
        <is>
          <t>IMB-0177846</t>
        </is>
      </c>
      <c r="B269" s="4" t="inlineStr">
        <is>
          <t>MAQUINAS_EQUIPAMENTOS</t>
        </is>
      </c>
      <c r="C269" s="4" t="inlineStr">
        <is>
          <t>1.2.03.01.003</t>
        </is>
      </c>
      <c r="D269" s="4" t="inlineStr">
        <is>
          <t>LAGOA DO PAULO NORTE</t>
        </is>
      </c>
      <c r="E269" s="4" t="inlineStr">
        <is>
          <t>COMPRESSOR/SEPARADOR/TANQUE/FACILITY</t>
        </is>
      </c>
      <c r="F269" s="4" t="inlineStr">
        <is>
          <t>INFERIOR</t>
        </is>
      </c>
      <c r="G269" s="4" t="n">
        <v>1</v>
      </c>
      <c r="H269" s="5" t="n">
        <v>1826523906.838174</v>
      </c>
      <c r="I269" s="5" t="n">
        <v>1826526648.839997</v>
      </c>
      <c r="J269" s="5" t="n">
        <v>5130.12</v>
      </c>
      <c r="K269" s="4" t="inlineStr">
        <is>
          <t>S</t>
        </is>
      </c>
      <c r="L269" s="4" t="inlineStr">
        <is>
          <t>2024-05-22</t>
        </is>
      </c>
      <c r="M269" s="5" t="n">
        <v>5130.12</v>
      </c>
      <c r="N269" s="5">
        <f>J269-M269</f>
        <v/>
      </c>
      <c r="O269" s="6">
        <f>IF(F269="INFERIOR",N269/J269,"")</f>
        <v/>
      </c>
      <c r="P269" s="5">
        <f>IF(F269="INFERIOR",O269*MUS_parametros!$B$18,N269)</f>
        <v/>
      </c>
      <c r="Q269" s="4" t="inlineStr">
        <is>
          <t>Documento confere com o registro</t>
        </is>
      </c>
    </row>
    <row r="270">
      <c r="A270" s="4" t="inlineStr">
        <is>
          <t>IMB-0178505</t>
        </is>
      </c>
      <c r="B270" s="4" t="inlineStr">
        <is>
          <t>DESENVOLVIMENTO_CAMPOS</t>
        </is>
      </c>
      <c r="C270" s="4" t="inlineStr">
        <is>
          <t>1.2.03.04.005</t>
        </is>
      </c>
      <c r="D270" s="4" t="inlineStr">
        <is>
          <t>TARTARUGA</t>
        </is>
      </c>
      <c r="E270" s="4" t="inlineStr">
        <is>
          <t>CONVERSAO EM POCO INJETOR</t>
        </is>
      </c>
      <c r="F270" s="4" t="inlineStr">
        <is>
          <t>INFERIOR</t>
        </is>
      </c>
      <c r="G270" s="4" t="n">
        <v>1</v>
      </c>
      <c r="H270" s="5" t="n">
        <v>1832256906.838174</v>
      </c>
      <c r="I270" s="5" t="n">
        <v>1832285670.31</v>
      </c>
      <c r="J270" s="5" t="n">
        <v>95865.03</v>
      </c>
      <c r="K270" s="4" t="inlineStr">
        <is>
          <t>S</t>
        </is>
      </c>
      <c r="L270" s="4" t="inlineStr">
        <is>
          <t>2025-11-04</t>
        </is>
      </c>
      <c r="M270" s="5" t="n">
        <v>95865.03</v>
      </c>
      <c r="N270" s="5">
        <f>J270-M270</f>
        <v/>
      </c>
      <c r="O270" s="6">
        <f>IF(F270="INFERIOR",N270/J270,"")</f>
        <v/>
      </c>
      <c r="P270" s="5">
        <f>IF(F270="INFERIOR",O270*MUS_parametros!$B$18,N270)</f>
        <v/>
      </c>
      <c r="Q270" s="4" t="inlineStr">
        <is>
          <t>Documento confere com o registro</t>
        </is>
      </c>
    </row>
    <row r="271">
      <c r="A271" s="4" t="inlineStr">
        <is>
          <t>IMB-0179505</t>
        </is>
      </c>
      <c r="B271" s="4" t="inlineStr">
        <is>
          <t>DESENVOLVIMENTO_CAMPOS</t>
        </is>
      </c>
      <c r="C271" s="4" t="inlineStr">
        <is>
          <t>1.2.03.04.001</t>
        </is>
      </c>
      <c r="D271" s="4" t="inlineStr">
        <is>
          <t>MATA DE SAO JOAO</t>
        </is>
      </c>
      <c r="E271" s="4" t="inlineStr">
        <is>
          <t>PERFURACAO E COMPLETACAO</t>
        </is>
      </c>
      <c r="F271" s="4" t="inlineStr">
        <is>
          <t>INFERIOR</t>
        </is>
      </c>
      <c r="G271" s="4" t="n">
        <v>1</v>
      </c>
      <c r="H271" s="5" t="n">
        <v>1837989906.838174</v>
      </c>
      <c r="I271" s="5" t="n">
        <v>1839040430.159998</v>
      </c>
      <c r="J271" s="5" t="n">
        <v>1470732.09</v>
      </c>
      <c r="K271" s="4" t="inlineStr">
        <is>
          <t>S</t>
        </is>
      </c>
      <c r="L271" s="4" t="inlineStr">
        <is>
          <t>2025-05-02</t>
        </is>
      </c>
      <c r="M271" s="5" t="n">
        <v>1470732.09</v>
      </c>
      <c r="N271" s="5">
        <f>J271-M271</f>
        <v/>
      </c>
      <c r="O271" s="6">
        <f>IF(F271="INFERIOR",N271/J271,"")</f>
        <v/>
      </c>
      <c r="P271" s="5">
        <f>IF(F271="INFERIOR",O271*MUS_parametros!$B$18,N271)</f>
        <v/>
      </c>
      <c r="Q271" s="4" t="inlineStr">
        <is>
          <t>Documento confere com o registro</t>
        </is>
      </c>
    </row>
    <row r="272">
      <c r="A272" s="4" t="inlineStr">
        <is>
          <t>IMB-0180173</t>
        </is>
      </c>
      <c r="B272" s="4" t="inlineStr">
        <is>
          <t>DESENVOLVIMENTO_CAMPOS</t>
        </is>
      </c>
      <c r="C272" s="4" t="inlineStr">
        <is>
          <t>1.2.03.04.002</t>
        </is>
      </c>
      <c r="D272" s="4" t="inlineStr">
        <is>
          <t>CASSARONGONGO</t>
        </is>
      </c>
      <c r="E272" s="4" t="inlineStr">
        <is>
          <t>WORKOVER / RECOMPLETACAO CAPITALIZADO</t>
        </is>
      </c>
      <c r="F272" s="4" t="inlineStr">
        <is>
          <t>INFERIOR</t>
        </is>
      </c>
      <c r="G272" s="4" t="n">
        <v>1</v>
      </c>
      <c r="H272" s="5" t="n">
        <v>1843722906.838174</v>
      </c>
      <c r="I272" s="5" t="n">
        <v>1843734497.89</v>
      </c>
      <c r="J272" s="5" t="n">
        <v>35228.13</v>
      </c>
      <c r="K272" s="4" t="inlineStr">
        <is>
          <t>S</t>
        </is>
      </c>
      <c r="L272" s="4" t="inlineStr">
        <is>
          <t>2024-11-29</t>
        </is>
      </c>
      <c r="M272" s="5" t="n">
        <v>35228.13</v>
      </c>
      <c r="N272" s="5">
        <f>J272-M272</f>
        <v/>
      </c>
      <c r="O272" s="6">
        <f>IF(F272="INFERIOR",N272/J272,"")</f>
        <v/>
      </c>
      <c r="P272" s="5">
        <f>IF(F272="INFERIOR",O272*MUS_parametros!$B$18,N272)</f>
        <v/>
      </c>
      <c r="Q272" s="4" t="inlineStr">
        <is>
          <t>Documento confere com o registro</t>
        </is>
      </c>
    </row>
    <row r="273">
      <c r="A273" s="4" t="inlineStr">
        <is>
          <t>IMB-0180583</t>
        </is>
      </c>
      <c r="B273" s="4" t="inlineStr">
        <is>
          <t>DESENVOLVIMENTO_CAMPOS</t>
        </is>
      </c>
      <c r="C273" s="4" t="inlineStr">
        <is>
          <t>1.2.03.04.001</t>
        </is>
      </c>
      <c r="D273" s="4" t="inlineStr">
        <is>
          <t>JACUIPE</t>
        </is>
      </c>
      <c r="E273" s="4" t="inlineStr">
        <is>
          <t>PERFURACAO E COMPLETACAO</t>
        </is>
      </c>
      <c r="F273" s="4" t="inlineStr">
        <is>
          <t>INFERIOR</t>
        </is>
      </c>
      <c r="G273" s="4" t="n">
        <v>1</v>
      </c>
      <c r="H273" s="5" t="n">
        <v>1849455906.838174</v>
      </c>
      <c r="I273" s="5" t="n">
        <v>1849491797.669998</v>
      </c>
      <c r="J273" s="5" t="n">
        <v>341042.81</v>
      </c>
      <c r="K273" s="4" t="inlineStr">
        <is>
          <t>S</t>
        </is>
      </c>
      <c r="L273" s="4" t="inlineStr">
        <is>
          <t>2025-12-04</t>
        </is>
      </c>
      <c r="M273" s="5" t="n">
        <v>341042.81</v>
      </c>
      <c r="N273" s="5">
        <f>J273-M273</f>
        <v/>
      </c>
      <c r="O273" s="6">
        <f>IF(F273="INFERIOR",N273/J273,"")</f>
        <v/>
      </c>
      <c r="P273" s="5">
        <f>IF(F273="INFERIOR",O273*MUS_parametros!$B$18,N273)</f>
        <v/>
      </c>
      <c r="Q273" s="4" t="inlineStr">
        <is>
          <t>Documento confere com o registro</t>
        </is>
      </c>
    </row>
    <row r="274">
      <c r="A274" s="4" t="inlineStr">
        <is>
          <t>IMB-0181403</t>
        </is>
      </c>
      <c r="B274" s="4" t="inlineStr">
        <is>
          <t>DESENVOLVIMENTO_CAMPOS</t>
        </is>
      </c>
      <c r="C274" s="4" t="inlineStr">
        <is>
          <t>1.2.03.04.003</t>
        </is>
      </c>
      <c r="D274" s="4" t="inlineStr">
        <is>
          <t>REMANSO</t>
        </is>
      </c>
      <c r="E274" s="4" t="inlineStr">
        <is>
          <t>CABECA DE POCO / ARVORE DE NATAL</t>
        </is>
      </c>
      <c r="F274" s="4" t="inlineStr">
        <is>
          <t>INFERIOR</t>
        </is>
      </c>
      <c r="G274" s="4" t="n">
        <v>1</v>
      </c>
      <c r="H274" s="5" t="n">
        <v>1855188906.838174</v>
      </c>
      <c r="I274" s="5" t="n">
        <v>1855189056.789995</v>
      </c>
      <c r="J274" s="5" t="n">
        <v>2231.56</v>
      </c>
      <c r="K274" s="4" t="inlineStr">
        <is>
          <t>S</t>
        </is>
      </c>
      <c r="L274" s="4" t="inlineStr">
        <is>
          <t>2025-12-10</t>
        </is>
      </c>
      <c r="M274" s="5" t="n">
        <v>2231.56</v>
      </c>
      <c r="N274" s="5">
        <f>J274-M274</f>
        <v/>
      </c>
      <c r="O274" s="6">
        <f>IF(F274="INFERIOR",N274/J274,"")</f>
        <v/>
      </c>
      <c r="P274" s="5">
        <f>IF(F274="INFERIOR",O274*MUS_parametros!$B$18,N274)</f>
        <v/>
      </c>
      <c r="Q274" s="4" t="inlineStr">
        <is>
          <t>Documento confere com o registro</t>
        </is>
      </c>
    </row>
    <row r="275">
      <c r="A275" s="4" t="inlineStr">
        <is>
          <t>IMB-0182208</t>
        </is>
      </c>
      <c r="B275" s="4" t="inlineStr">
        <is>
          <t>DESENVOLVIMENTO_CAMPOS</t>
        </is>
      </c>
      <c r="C275" s="4" t="inlineStr">
        <is>
          <t>1.2.03.04.001</t>
        </is>
      </c>
      <c r="D275" s="4" t="inlineStr">
        <is>
          <t>RIO SUBAUMA</t>
        </is>
      </c>
      <c r="E275" s="4" t="inlineStr">
        <is>
          <t>PERFURACAO E COMPLETACAO</t>
        </is>
      </c>
      <c r="F275" s="4" t="inlineStr">
        <is>
          <t>INFERIOR</t>
        </is>
      </c>
      <c r="G275" s="4" t="n">
        <v>1</v>
      </c>
      <c r="H275" s="5" t="n">
        <v>1860921906.838174</v>
      </c>
      <c r="I275" s="5" t="n">
        <v>1861056608.739997</v>
      </c>
      <c r="J275" s="5" t="n">
        <v>251709.79</v>
      </c>
      <c r="K275" s="4" t="inlineStr">
        <is>
          <t>S</t>
        </is>
      </c>
      <c r="L275" s="4" t="inlineStr">
        <is>
          <t>2025-06-20</t>
        </is>
      </c>
      <c r="M275" s="5" t="n">
        <v>251709.79</v>
      </c>
      <c r="N275" s="5">
        <f>J275-M275</f>
        <v/>
      </c>
      <c r="O275" s="6">
        <f>IF(F275="INFERIOR",N275/J275,"")</f>
        <v/>
      </c>
      <c r="P275" s="5">
        <f>IF(F275="INFERIOR",O275*MUS_parametros!$B$18,N275)</f>
        <v/>
      </c>
      <c r="Q275" s="4" t="inlineStr">
        <is>
          <t>Documento confere com o registro</t>
        </is>
      </c>
    </row>
    <row r="276">
      <c r="A276" s="4" t="inlineStr">
        <is>
          <t>IMB-0182855</t>
        </is>
      </c>
      <c r="B276" s="4" t="inlineStr">
        <is>
          <t>DIREITO_PRODUCAO_OLEO_GAS</t>
        </is>
      </c>
      <c r="C276" s="4" t="inlineStr">
        <is>
          <t>1.2.03.03.003</t>
        </is>
      </c>
      <c r="D276" s="4" t="inlineStr">
        <is>
          <t>FAZENDA ONCA</t>
        </is>
      </c>
      <c r="E276" s="4" t="inlineStr">
        <is>
          <t>CUSTO DE AQUISICAO DA CONCESSAO</t>
        </is>
      </c>
      <c r="F276" s="4" t="inlineStr">
        <is>
          <t>SUPERIOR (VC &gt;= I)</t>
        </is>
      </c>
      <c r="G276" s="4" t="n">
        <v>10</v>
      </c>
      <c r="H276" s="5" t="n">
        <v>1866654906.838174</v>
      </c>
      <c r="I276" s="5" t="n">
        <v>1918338760.719996</v>
      </c>
      <c r="J276" s="5" t="n">
        <v>53091791.71</v>
      </c>
      <c r="K276" s="4" t="inlineStr">
        <is>
          <t>S</t>
        </is>
      </c>
      <c r="L276" s="4" t="inlineStr">
        <is>
          <t>2021-12-07</t>
        </is>
      </c>
      <c r="M276" s="5" t="n">
        <v>53091791.71</v>
      </c>
      <c r="N276" s="5">
        <f>J276-M276</f>
        <v/>
      </c>
      <c r="O276" s="6">
        <f>IF(F276="INFERIOR",N276/J276,"")</f>
        <v/>
      </c>
      <c r="P276" s="5">
        <f>IF(F276="INFERIOR",O276*MUS_parametros!$B$18,N276)</f>
        <v/>
      </c>
      <c r="Q276" s="4" t="inlineStr">
        <is>
          <t>Documento confere com o registro</t>
        </is>
      </c>
    </row>
    <row r="277">
      <c r="A277" s="4" t="inlineStr">
        <is>
          <t>IMB-0183932</t>
        </is>
      </c>
      <c r="B277" s="4" t="inlineStr">
        <is>
          <t>ALMOXARIFADO_INVERSOES_FIXAS</t>
        </is>
      </c>
      <c r="C277" s="4" t="inlineStr">
        <is>
          <t>1.2.03.07.001</t>
        </is>
      </c>
      <c r="D277" s="4" t="inlineStr">
        <is>
          <t>POT-CONC-19 (SINTETICO)</t>
        </is>
      </c>
      <c r="E277" s="4" t="inlineStr">
        <is>
          <t>TUBO DE REVESTIMENTO/PRODUCAO (LOTE)</t>
        </is>
      </c>
      <c r="F277" s="4" t="inlineStr">
        <is>
          <t>INFERIOR</t>
        </is>
      </c>
      <c r="G277" s="4" t="n">
        <v>1</v>
      </c>
      <c r="H277" s="5" t="n">
        <v>1923984906.838174</v>
      </c>
      <c r="I277" s="5" t="n">
        <v>1923985272.219998</v>
      </c>
      <c r="J277" s="5" t="n">
        <v>13678.99</v>
      </c>
      <c r="K277" s="4" t="inlineStr">
        <is>
          <t>S</t>
        </is>
      </c>
      <c r="L277" s="4" t="inlineStr">
        <is>
          <t>2025-09-03</t>
        </is>
      </c>
      <c r="M277" s="5" t="n">
        <v>13678.99</v>
      </c>
      <c r="N277" s="5">
        <f>J277-M277</f>
        <v/>
      </c>
      <c r="O277" s="6">
        <f>IF(F277="INFERIOR",N277/J277,"")</f>
        <v/>
      </c>
      <c r="P277" s="5">
        <f>IF(F277="INFERIOR",O277*MUS_parametros!$B$18,N277)</f>
        <v/>
      </c>
      <c r="Q277" s="4" t="inlineStr">
        <is>
          <t>Documento confere com o registro</t>
        </is>
      </c>
    </row>
    <row r="278">
      <c r="A278" s="4" t="inlineStr">
        <is>
          <t>IMB-0184431</t>
        </is>
      </c>
      <c r="B278" s="4" t="inlineStr">
        <is>
          <t>OUTROS</t>
        </is>
      </c>
      <c r="C278" s="4" t="inlineStr">
        <is>
          <t>1.2.03.09.005</t>
        </is>
      </c>
      <c r="D278" s="4" t="inlineStr">
        <is>
          <t>RIACHO SAO PEDRO</t>
        </is>
      </c>
      <c r="E278" s="4" t="inlineStr">
        <is>
          <t>VEICULO LEVE</t>
        </is>
      </c>
      <c r="F278" s="4" t="inlineStr">
        <is>
          <t>INFERIOR</t>
        </is>
      </c>
      <c r="G278" s="4" t="n">
        <v>1</v>
      </c>
      <c r="H278" s="5" t="n">
        <v>1929717906.838174</v>
      </c>
      <c r="I278" s="5" t="n">
        <v>1929744707.559997</v>
      </c>
      <c r="J278" s="5" t="n">
        <v>75277.17999999999</v>
      </c>
      <c r="K278" s="4" t="inlineStr">
        <is>
          <t>S</t>
        </is>
      </c>
      <c r="L278" s="4" t="inlineStr">
        <is>
          <t>2025-10-12</t>
        </is>
      </c>
      <c r="M278" s="5" t="n">
        <v>75277.17999999999</v>
      </c>
      <c r="N278" s="5">
        <f>J278-M278</f>
        <v/>
      </c>
      <c r="O278" s="6">
        <f>IF(F278="INFERIOR",N278/J278,"")</f>
        <v/>
      </c>
      <c r="P278" s="5">
        <f>IF(F278="INFERIOR",O278*MUS_parametros!$B$18,N278)</f>
        <v/>
      </c>
      <c r="Q278" s="4" t="inlineStr">
        <is>
          <t>Documento confere com o registro</t>
        </is>
      </c>
    </row>
    <row r="279">
      <c r="A279" s="4" t="inlineStr">
        <is>
          <t>IMB-0184863</t>
        </is>
      </c>
      <c r="B279" s="4" t="inlineStr">
        <is>
          <t>DIREITO_PRODUCAO_OLEO_GAS</t>
        </is>
      </c>
      <c r="C279" s="4" t="inlineStr">
        <is>
          <t>1.2.03.03.004</t>
        </is>
      </c>
      <c r="D279" s="4" t="inlineStr">
        <is>
          <t>PAJEU</t>
        </is>
      </c>
      <c r="E279" s="4" t="inlineStr">
        <is>
          <t>CUSTO DE AQUISICAO DA CONCESSAO</t>
        </is>
      </c>
      <c r="F279" s="4" t="inlineStr">
        <is>
          <t>SUPERIOR (VC &gt;= I)</t>
        </is>
      </c>
      <c r="G279" s="4" t="n">
        <v>9</v>
      </c>
      <c r="H279" s="5" t="n">
        <v>1935450906.838174</v>
      </c>
      <c r="I279" s="5" t="n">
        <v>1983000020.399998</v>
      </c>
      <c r="J279" s="5" t="n">
        <v>50493066.28</v>
      </c>
      <c r="K279" s="4" t="inlineStr">
        <is>
          <t>S</t>
        </is>
      </c>
      <c r="L279" s="4" t="inlineStr">
        <is>
          <t>2019-12-09</t>
        </is>
      </c>
      <c r="M279" s="5" t="n">
        <v>50493066.28</v>
      </c>
      <c r="N279" s="5">
        <f>J279-M279</f>
        <v/>
      </c>
      <c r="O279" s="6">
        <f>IF(F279="INFERIOR",N279/J279,"")</f>
        <v/>
      </c>
      <c r="P279" s="5">
        <f>IF(F279="INFERIOR",O279*MUS_parametros!$B$18,N279)</f>
        <v/>
      </c>
      <c r="Q279" s="4" t="inlineStr">
        <is>
          <t>Documento confere com o registro</t>
        </is>
      </c>
    </row>
    <row r="280">
      <c r="A280" s="4" t="inlineStr">
        <is>
          <t>IMB-0185040</t>
        </is>
      </c>
      <c r="B280" s="4" t="inlineStr">
        <is>
          <t>ABANDONO_POCO_ARO</t>
        </is>
      </c>
      <c r="C280" s="4" t="inlineStr">
        <is>
          <t>1.2.03.06.001</t>
        </is>
      </c>
      <c r="D280" s="4" t="inlineStr">
        <is>
          <t>FAZENDA ONCA</t>
        </is>
      </c>
      <c r="E280" s="4" t="inlineStr">
        <is>
          <t>CUSTO ESTIMADO DE ABANDONO (VALOR PRESENTE)</t>
        </is>
      </c>
      <c r="F280" s="4" t="inlineStr">
        <is>
          <t>INFERIOR</t>
        </is>
      </c>
      <c r="G280" s="4" t="n">
        <v>1</v>
      </c>
      <c r="H280" s="5" t="n">
        <v>1987047906.838174</v>
      </c>
      <c r="I280" s="5" t="n">
        <v>1987052816.369997</v>
      </c>
      <c r="J280" s="5" t="n">
        <v>7032.03</v>
      </c>
      <c r="K280" s="4" t="inlineStr">
        <is>
          <t>S</t>
        </is>
      </c>
      <c r="L280" s="4" t="inlineStr">
        <is>
          <t>2021-12-07</t>
        </is>
      </c>
      <c r="M280" s="5" t="n">
        <v>7032.03</v>
      </c>
      <c r="N280" s="5">
        <f>J280-M280</f>
        <v/>
      </c>
      <c r="O280" s="6">
        <f>IF(F280="INFERIOR",N280/J280,"")</f>
        <v/>
      </c>
      <c r="P280" s="5">
        <f>IF(F280="INFERIOR",O280*MUS_parametros!$B$18,N280)</f>
        <v/>
      </c>
      <c r="Q280" s="4" t="inlineStr">
        <is>
          <t>Documento confere com o registro</t>
        </is>
      </c>
    </row>
    <row r="281">
      <c r="A281" s="4" t="inlineStr">
        <is>
          <t>IMB-0185315</t>
        </is>
      </c>
      <c r="B281" s="4" t="inlineStr">
        <is>
          <t>DESENVOLVIMENTO_CAMPOS</t>
        </is>
      </c>
      <c r="C281" s="4" t="inlineStr">
        <is>
          <t>1.2.03.04.001</t>
        </is>
      </c>
      <c r="D281" s="4" t="inlineStr">
        <is>
          <t>TIE</t>
        </is>
      </c>
      <c r="E281" s="4" t="inlineStr">
        <is>
          <t>PERFURACAO E COMPLETACAO</t>
        </is>
      </c>
      <c r="F281" s="4" t="inlineStr">
        <is>
          <t>INFERIOR</t>
        </is>
      </c>
      <c r="G281" s="4" t="n">
        <v>1</v>
      </c>
      <c r="H281" s="5" t="n">
        <v>1992780906.838174</v>
      </c>
      <c r="I281" s="5" t="n">
        <v>1994493861.919996</v>
      </c>
      <c r="J281" s="5" t="n">
        <v>4845665.34</v>
      </c>
      <c r="K281" s="4" t="inlineStr">
        <is>
          <t>S</t>
        </is>
      </c>
      <c r="L281" s="4" t="inlineStr">
        <is>
          <t>2025-06-18</t>
        </is>
      </c>
      <c r="M281" s="5" t="n">
        <v>4845665.34</v>
      </c>
      <c r="N281" s="5">
        <f>J281-M281</f>
        <v/>
      </c>
      <c r="O281" s="6">
        <f>IF(F281="INFERIOR",N281/J281,"")</f>
        <v/>
      </c>
      <c r="P281" s="5">
        <f>IF(F281="INFERIOR",O281*MUS_parametros!$B$18,N281)</f>
        <v/>
      </c>
      <c r="Q281" s="4" t="inlineStr">
        <is>
          <t>Documento confere com o registro</t>
        </is>
      </c>
    </row>
    <row r="282">
      <c r="A282" s="4" t="inlineStr">
        <is>
          <t>IMB-0185973</t>
        </is>
      </c>
      <c r="B282" s="4" t="inlineStr">
        <is>
          <t>DESENVOLVIMENTO_CAMPOS</t>
        </is>
      </c>
      <c r="C282" s="4" t="inlineStr">
        <is>
          <t>1.2.03.04.001</t>
        </is>
      </c>
      <c r="D282" s="4" t="inlineStr">
        <is>
          <t>POT-CONC-12 (SINTETICO)</t>
        </is>
      </c>
      <c r="E282" s="4" t="inlineStr">
        <is>
          <t>PERFURACAO E COMPLETACAO</t>
        </is>
      </c>
      <c r="F282" s="4" t="inlineStr">
        <is>
          <t>INFERIOR</t>
        </is>
      </c>
      <c r="G282" s="4" t="n">
        <v>1</v>
      </c>
      <c r="H282" s="5" t="n">
        <v>1998513906.838174</v>
      </c>
      <c r="I282" s="5" t="n">
        <v>1998602136.589998</v>
      </c>
      <c r="J282" s="5" t="n">
        <v>297430.31</v>
      </c>
      <c r="K282" s="4" t="inlineStr">
        <is>
          <t>S</t>
        </is>
      </c>
      <c r="L282" s="4" t="inlineStr">
        <is>
          <t>2025-10-27</t>
        </is>
      </c>
      <c r="M282" s="5" t="n">
        <v>297430.31</v>
      </c>
      <c r="N282" s="5">
        <f>J282-M282</f>
        <v/>
      </c>
      <c r="O282" s="6">
        <f>IF(F282="INFERIOR",N282/J282,"")</f>
        <v/>
      </c>
      <c r="P282" s="5">
        <f>IF(F282="INFERIOR",O282*MUS_parametros!$B$18,N282)</f>
        <v/>
      </c>
      <c r="Q282" s="4" t="inlineStr">
        <is>
          <t>Documento confere com o registro</t>
        </is>
      </c>
    </row>
    <row r="283">
      <c r="A283" s="4" t="inlineStr">
        <is>
          <t>IMB-0186522</t>
        </is>
      </c>
      <c r="B283" s="4" t="inlineStr">
        <is>
          <t>MAQUINAS_EQUIPAMENTOS</t>
        </is>
      </c>
      <c r="C283" s="4" t="inlineStr">
        <is>
          <t>1.2.03.01.003</t>
        </is>
      </c>
      <c r="D283" s="4" t="inlineStr">
        <is>
          <t>JACUIPE</t>
        </is>
      </c>
      <c r="E283" s="4" t="inlineStr">
        <is>
          <t>COMPRESSOR/SEPARADOR/TANQUE/FACILITY</t>
        </is>
      </c>
      <c r="F283" s="4" t="inlineStr">
        <is>
          <t>INFERIOR</t>
        </is>
      </c>
      <c r="G283" s="4" t="n">
        <v>1</v>
      </c>
      <c r="H283" s="5" t="n">
        <v>2004246906.838174</v>
      </c>
      <c r="I283" s="5" t="n">
        <v>2004253315.209998</v>
      </c>
      <c r="J283" s="5" t="n">
        <v>15366.13</v>
      </c>
      <c r="K283" s="4" t="inlineStr">
        <is>
          <t>S</t>
        </is>
      </c>
      <c r="L283" s="4" t="inlineStr">
        <is>
          <t>2020-10-12</t>
        </is>
      </c>
      <c r="M283" s="5" t="n">
        <v>15366.13</v>
      </c>
      <c r="N283" s="5">
        <f>J283-M283</f>
        <v/>
      </c>
      <c r="O283" s="6">
        <f>IF(F283="INFERIOR",N283/J283,"")</f>
        <v/>
      </c>
      <c r="P283" s="5">
        <f>IF(F283="INFERIOR",O283*MUS_parametros!$B$18,N283)</f>
        <v/>
      </c>
      <c r="Q283" s="4" t="inlineStr">
        <is>
          <t>Documento confere com o registro</t>
        </is>
      </c>
    </row>
    <row r="284">
      <c r="A284" s="4" t="inlineStr">
        <is>
          <t>IMB-0187278</t>
        </is>
      </c>
      <c r="B284" s="4" t="inlineStr">
        <is>
          <t>DESENVOLVIMENTO_CAMPOS</t>
        </is>
      </c>
      <c r="C284" s="4" t="inlineStr">
        <is>
          <t>1.2.03.04.001</t>
        </is>
      </c>
      <c r="D284" s="4" t="inlineStr">
        <is>
          <t>POT-CONC-19 (SINTETICO)</t>
        </is>
      </c>
      <c r="E284" s="4" t="inlineStr">
        <is>
          <t>PERFURACAO E COMPLETACAO</t>
        </is>
      </c>
      <c r="F284" s="4" t="inlineStr">
        <is>
          <t>INFERIOR</t>
        </is>
      </c>
      <c r="G284" s="4" t="n">
        <v>1</v>
      </c>
      <c r="H284" s="5" t="n">
        <v>2009979906.838174</v>
      </c>
      <c r="I284" s="5" t="n">
        <v>2010004530.629996</v>
      </c>
      <c r="J284" s="5" t="n">
        <v>33531.86</v>
      </c>
      <c r="K284" s="4" t="inlineStr">
        <is>
          <t>S</t>
        </is>
      </c>
      <c r="L284" s="4" t="inlineStr">
        <is>
          <t>2023-08-24</t>
        </is>
      </c>
      <c r="M284" s="5" t="n">
        <v>33531.86</v>
      </c>
      <c r="N284" s="5">
        <f>J284-M284</f>
        <v/>
      </c>
      <c r="O284" s="6">
        <f>IF(F284="INFERIOR",N284/J284,"")</f>
        <v/>
      </c>
      <c r="P284" s="5">
        <f>IF(F284="INFERIOR",O284*MUS_parametros!$B$18,N284)</f>
        <v/>
      </c>
      <c r="Q284" s="4" t="inlineStr">
        <is>
          <t>Documento confere com o registro</t>
        </is>
      </c>
    </row>
    <row r="285">
      <c r="A285" s="4" t="inlineStr">
        <is>
          <t>IMB-0188164</t>
        </is>
      </c>
      <c r="B285" s="4" t="inlineStr">
        <is>
          <t>DESENVOLVIMENTO_CAMPOS</t>
        </is>
      </c>
      <c r="C285" s="4" t="inlineStr">
        <is>
          <t>1.2.03.04.001</t>
        </is>
      </c>
      <c r="D285" s="4" t="inlineStr">
        <is>
          <t>POT-CONC-07 (SINTETICO)</t>
        </is>
      </c>
      <c r="E285" s="4" t="inlineStr">
        <is>
          <t>PERFURACAO E COMPLETACAO</t>
        </is>
      </c>
      <c r="F285" s="4" t="inlineStr">
        <is>
          <t>INFERIOR</t>
        </is>
      </c>
      <c r="G285" s="4" t="n">
        <v>1</v>
      </c>
      <c r="H285" s="5" t="n">
        <v>2015712906.838174</v>
      </c>
      <c r="I285" s="5" t="n">
        <v>2016148814.059997</v>
      </c>
      <c r="J285" s="5" t="n">
        <v>925127.12</v>
      </c>
      <c r="K285" s="4" t="inlineStr">
        <is>
          <t>S</t>
        </is>
      </c>
      <c r="L285" s="4" t="inlineStr">
        <is>
          <t>2025-06-21</t>
        </is>
      </c>
      <c r="M285" s="5" t="n">
        <v>925127.12</v>
      </c>
      <c r="N285" s="5">
        <f>J285-M285</f>
        <v/>
      </c>
      <c r="O285" s="6">
        <f>IF(F285="INFERIOR",N285/J285,"")</f>
        <v/>
      </c>
      <c r="P285" s="5">
        <f>IF(F285="INFERIOR",O285*MUS_parametros!$B$18,N285)</f>
        <v/>
      </c>
      <c r="Q285" s="4" t="inlineStr">
        <is>
          <t>Documento confere com o registro</t>
        </is>
      </c>
    </row>
    <row r="286">
      <c r="A286" s="4" t="inlineStr">
        <is>
          <t>IMB-0188937</t>
        </is>
      </c>
      <c r="B286" s="4" t="inlineStr">
        <is>
          <t>OUTROS</t>
        </is>
      </c>
      <c r="C286" s="4" t="inlineStr">
        <is>
          <t>1.2.03.09.001</t>
        </is>
      </c>
      <c r="D286" s="4" t="inlineStr">
        <is>
          <t>JACUIPE</t>
        </is>
      </c>
      <c r="E286" s="4" t="inlineStr">
        <is>
          <t>TERRENO</t>
        </is>
      </c>
      <c r="F286" s="4" t="inlineStr">
        <is>
          <t>INFERIOR</t>
        </is>
      </c>
      <c r="G286" s="4" t="n">
        <v>1</v>
      </c>
      <c r="H286" s="5" t="n">
        <v>2021445906.838174</v>
      </c>
      <c r="I286" s="5" t="n">
        <v>2021505068.119996</v>
      </c>
      <c r="J286" s="5" t="n">
        <v>73707.97</v>
      </c>
      <c r="K286" s="4" t="inlineStr">
        <is>
          <t>S</t>
        </is>
      </c>
      <c r="L286" s="4" t="inlineStr">
        <is>
          <t>2011-05-02</t>
        </is>
      </c>
      <c r="M286" s="5" t="n">
        <v>73707.97</v>
      </c>
      <c r="N286" s="5">
        <f>J286-M286</f>
        <v/>
      </c>
      <c r="O286" s="6">
        <f>IF(F286="INFERIOR",N286/J286,"")</f>
        <v/>
      </c>
      <c r="P286" s="5">
        <f>IF(F286="INFERIOR",O286*MUS_parametros!$B$18,N286)</f>
        <v/>
      </c>
      <c r="Q286" s="4" t="inlineStr">
        <is>
          <t>Documento confere com o registro</t>
        </is>
      </c>
    </row>
    <row r="287">
      <c r="A287" s="4" t="inlineStr">
        <is>
          <t>IMB-0189606</t>
        </is>
      </c>
      <c r="B287" s="4" t="inlineStr">
        <is>
          <t>ABANDONO_POCO_ARO</t>
        </is>
      </c>
      <c r="C287" s="4" t="inlineStr">
        <is>
          <t>1.2.03.06.001</t>
        </is>
      </c>
      <c r="D287" s="4" t="inlineStr">
        <is>
          <t>MIRANGA NORTE</t>
        </is>
      </c>
      <c r="E287" s="4" t="inlineStr">
        <is>
          <t>CUSTO ESTIMADO DE ABANDONO (VALOR PRESENTE)</t>
        </is>
      </c>
      <c r="F287" s="4" t="inlineStr">
        <is>
          <t>INFERIOR</t>
        </is>
      </c>
      <c r="G287" s="4" t="n">
        <v>1</v>
      </c>
      <c r="H287" s="5" t="n">
        <v>2027178906.838174</v>
      </c>
      <c r="I287" s="5" t="n">
        <v>2027181389.749992</v>
      </c>
      <c r="J287" s="5" t="n">
        <v>4642.78</v>
      </c>
      <c r="K287" s="4" t="inlineStr">
        <is>
          <t>S</t>
        </is>
      </c>
      <c r="L287" s="4" t="inlineStr">
        <is>
          <t>2021-12-07</t>
        </is>
      </c>
      <c r="M287" s="5" t="n">
        <v>4642.78</v>
      </c>
      <c r="N287" s="5">
        <f>J287-M287</f>
        <v/>
      </c>
      <c r="O287" s="6">
        <f>IF(F287="INFERIOR",N287/J287,"")</f>
        <v/>
      </c>
      <c r="P287" s="5">
        <f>IF(F287="INFERIOR",O287*MUS_parametros!$B$18,N287)</f>
        <v/>
      </c>
      <c r="Q287" s="4" t="inlineStr">
        <is>
          <t>Documento confere com o registro</t>
        </is>
      </c>
    </row>
    <row r="288">
      <c r="A288" s="4" t="inlineStr">
        <is>
          <t>IMB-0190242</t>
        </is>
      </c>
      <c r="B288" s="4" t="inlineStr">
        <is>
          <t>OUTROS</t>
        </is>
      </c>
      <c r="C288" s="4" t="inlineStr">
        <is>
          <t>1.2.03.09.002</t>
        </is>
      </c>
      <c r="D288" s="4" t="inlineStr">
        <is>
          <t>SABIA</t>
        </is>
      </c>
      <c r="E288" s="4" t="inlineStr">
        <is>
          <t>EDIFICACAO / BENFEITORIA</t>
        </is>
      </c>
      <c r="F288" s="4" t="inlineStr">
        <is>
          <t>INFERIOR</t>
        </is>
      </c>
      <c r="G288" s="4" t="n">
        <v>1</v>
      </c>
      <c r="H288" s="5" t="n">
        <v>2032911906.838174</v>
      </c>
      <c r="I288" s="5" t="n">
        <v>2032918539.749991</v>
      </c>
      <c r="J288" s="5" t="n">
        <v>9904.790000000001</v>
      </c>
      <c r="K288" s="4" t="inlineStr">
        <is>
          <t>S</t>
        </is>
      </c>
      <c r="L288" s="4" t="inlineStr">
        <is>
          <t>2012-10-20</t>
        </is>
      </c>
      <c r="M288" s="5" t="n">
        <v>9904.790000000001</v>
      </c>
      <c r="N288" s="5">
        <f>J288-M288</f>
        <v/>
      </c>
      <c r="O288" s="6">
        <f>IF(F288="INFERIOR",N288/J288,"")</f>
        <v/>
      </c>
      <c r="P288" s="5">
        <f>IF(F288="INFERIOR",O288*MUS_parametros!$B$18,N288)</f>
        <v/>
      </c>
      <c r="Q288" s="4" t="inlineStr">
        <is>
          <t>Documento confere com o registro</t>
        </is>
      </c>
    </row>
    <row r="289">
      <c r="A289" s="4" t="inlineStr">
        <is>
          <t>IMB-0191066</t>
        </is>
      </c>
      <c r="B289" s="4" t="inlineStr">
        <is>
          <t>DESENVOLVIMENTO_CAMPOS</t>
        </is>
      </c>
      <c r="C289" s="4" t="inlineStr">
        <is>
          <t>1.2.03.04.002</t>
        </is>
      </c>
      <c r="D289" s="4" t="inlineStr">
        <is>
          <t>POT-CONC-12 (SINTETICO)</t>
        </is>
      </c>
      <c r="E289" s="4" t="inlineStr">
        <is>
          <t>WORKOVER / RECOMPLETACAO CAPITALIZADO</t>
        </is>
      </c>
      <c r="F289" s="4" t="inlineStr">
        <is>
          <t>INFERIOR</t>
        </is>
      </c>
      <c r="G289" s="4" t="n">
        <v>1</v>
      </c>
      <c r="H289" s="5" t="n">
        <v>2038644906.838174</v>
      </c>
      <c r="I289" s="5" t="n">
        <v>2038644953.529989</v>
      </c>
      <c r="J289" s="5" t="n">
        <v>5833.34</v>
      </c>
      <c r="K289" s="4" t="inlineStr">
        <is>
          <t>S</t>
        </is>
      </c>
      <c r="L289" s="4" t="inlineStr">
        <is>
          <t>2025-10-16</t>
        </is>
      </c>
      <c r="M289" s="5" t="n">
        <v>5833.34</v>
      </c>
      <c r="N289" s="5">
        <f>J289-M289</f>
        <v/>
      </c>
      <c r="O289" s="6">
        <f>IF(F289="INFERIOR",N289/J289,"")</f>
        <v/>
      </c>
      <c r="P289" s="5">
        <f>IF(F289="INFERIOR",O289*MUS_parametros!$B$18,N289)</f>
        <v/>
      </c>
      <c r="Q289" s="4" t="inlineStr">
        <is>
          <t>Documento confere com o registro</t>
        </is>
      </c>
    </row>
    <row r="290">
      <c r="A290" s="4" t="inlineStr">
        <is>
          <t>IMB-0191601</t>
        </is>
      </c>
      <c r="B290" s="4" t="inlineStr">
        <is>
          <t>DESENVOLVIMENTO_CAMPOS</t>
        </is>
      </c>
      <c r="C290" s="4" t="inlineStr">
        <is>
          <t>1.2.03.04.001</t>
        </is>
      </c>
      <c r="D290" s="4" t="inlineStr">
        <is>
          <t>TARTARUGA</t>
        </is>
      </c>
      <c r="E290" s="4" t="inlineStr">
        <is>
          <t>PERFURACAO E COMPLETACAO</t>
        </is>
      </c>
      <c r="F290" s="4" t="inlineStr">
        <is>
          <t>INFERIOR</t>
        </is>
      </c>
      <c r="G290" s="4" t="n">
        <v>1</v>
      </c>
      <c r="H290" s="5" t="n">
        <v>2044377906.838174</v>
      </c>
      <c r="I290" s="5" t="n">
        <v>2044493817.55999</v>
      </c>
      <c r="J290" s="5" t="n">
        <v>738959</v>
      </c>
      <c r="K290" s="4" t="inlineStr">
        <is>
          <t>S</t>
        </is>
      </c>
      <c r="L290" s="4" t="inlineStr">
        <is>
          <t>2025-10-17</t>
        </is>
      </c>
      <c r="M290" s="5" t="n">
        <v>738959</v>
      </c>
      <c r="N290" s="5">
        <f>J290-M290</f>
        <v/>
      </c>
      <c r="O290" s="6">
        <f>IF(F290="INFERIOR",N290/J290,"")</f>
        <v/>
      </c>
      <c r="P290" s="5">
        <f>IF(F290="INFERIOR",O290*MUS_parametros!$B$18,N290)</f>
        <v/>
      </c>
      <c r="Q290" s="4" t="inlineStr">
        <is>
          <t>Documento confere com o registro</t>
        </is>
      </c>
    </row>
    <row r="291">
      <c r="A291" s="4" t="inlineStr">
        <is>
          <t>IMB-0192494</t>
        </is>
      </c>
      <c r="B291" s="4" t="inlineStr">
        <is>
          <t>ALMOXARIFADO_INVERSOES_FIXAS</t>
        </is>
      </c>
      <c r="C291" s="4" t="inlineStr">
        <is>
          <t>1.2.03.07.002</t>
        </is>
      </c>
      <c r="D291" s="4" t="inlineStr">
        <is>
          <t>TIE</t>
        </is>
      </c>
      <c r="E291" s="4" t="inlineStr">
        <is>
          <t>HASTE DE BOMBEIO (LOTE)</t>
        </is>
      </c>
      <c r="F291" s="4" t="inlineStr">
        <is>
          <t>INFERIOR</t>
        </is>
      </c>
      <c r="G291" s="4" t="n">
        <v>1</v>
      </c>
      <c r="H291" s="5" t="n">
        <v>2050110906.838174</v>
      </c>
      <c r="I291" s="5" t="n">
        <v>2050113067.909991</v>
      </c>
      <c r="J291" s="5" t="n">
        <v>6551.06</v>
      </c>
      <c r="K291" s="4" t="inlineStr">
        <is>
          <t>S</t>
        </is>
      </c>
      <c r="L291" s="4" t="inlineStr">
        <is>
          <t>2025-11-05</t>
        </is>
      </c>
      <c r="M291" s="5" t="n">
        <v>6551.06</v>
      </c>
      <c r="N291" s="5">
        <f>J291-M291</f>
        <v/>
      </c>
      <c r="O291" s="6">
        <f>IF(F291="INFERIOR",N291/J291,"")</f>
        <v/>
      </c>
      <c r="P291" s="5">
        <f>IF(F291="INFERIOR",O291*MUS_parametros!$B$18,N291)</f>
        <v/>
      </c>
      <c r="Q291" s="4" t="inlineStr">
        <is>
          <t>Documento confere com o registro</t>
        </is>
      </c>
    </row>
    <row r="292">
      <c r="A292" s="4" t="inlineStr">
        <is>
          <t>IMB-0193173</t>
        </is>
      </c>
      <c r="B292" s="4" t="inlineStr">
        <is>
          <t>DESENVOLVIMENTO_CAMPOS</t>
        </is>
      </c>
      <c r="C292" s="4" t="inlineStr">
        <is>
          <t>1.2.03.04.002</t>
        </is>
      </c>
      <c r="D292" s="4" t="inlineStr">
        <is>
          <t>CASSARONGONGO</t>
        </is>
      </c>
      <c r="E292" s="4" t="inlineStr">
        <is>
          <t>WORKOVER / RECOMPLETACAO CAPITALIZADO</t>
        </is>
      </c>
      <c r="F292" s="4" t="inlineStr">
        <is>
          <t>INFERIOR</t>
        </is>
      </c>
      <c r="G292" s="4" t="n">
        <v>1</v>
      </c>
      <c r="H292" s="5" t="n">
        <v>2055843906.838174</v>
      </c>
      <c r="I292" s="5" t="n">
        <v>2055857621.759992</v>
      </c>
      <c r="J292" s="5" t="n">
        <v>19975.57</v>
      </c>
      <c r="K292" s="4" t="inlineStr">
        <is>
          <t>S</t>
        </is>
      </c>
      <c r="L292" s="4" t="inlineStr">
        <is>
          <t>2025-04-11</t>
        </is>
      </c>
      <c r="M292" s="5" t="n">
        <v>19975.57</v>
      </c>
      <c r="N292" s="5">
        <f>J292-M292</f>
        <v/>
      </c>
      <c r="O292" s="6">
        <f>IF(F292="INFERIOR",N292/J292,"")</f>
        <v/>
      </c>
      <c r="P292" s="5">
        <f>IF(F292="INFERIOR",O292*MUS_parametros!$B$18,N292)</f>
        <v/>
      </c>
      <c r="Q292" s="4" t="inlineStr">
        <is>
          <t>Documento confere com o registro</t>
        </is>
      </c>
    </row>
    <row r="293">
      <c r="A293" s="4" t="inlineStr">
        <is>
          <t>IMB-0194079</t>
        </is>
      </c>
      <c r="B293" s="4" t="inlineStr">
        <is>
          <t>IMOBILIZADO_EM_ANDAMENTO</t>
        </is>
      </c>
      <c r="C293" s="4" t="inlineStr">
        <is>
          <t>1.2.03.02.001</t>
        </is>
      </c>
      <c r="D293" s="4" t="inlineStr">
        <is>
          <t>POT-CONC-01 (SINTETICO)</t>
        </is>
      </c>
      <c r="E293" s="4" t="inlineStr">
        <is>
          <t>ORDEM DE INVESTIMENTO EM ANDAMENTO</t>
        </is>
      </c>
      <c r="F293" s="4" t="inlineStr">
        <is>
          <t>INFERIOR</t>
        </is>
      </c>
      <c r="G293" s="4" t="n">
        <v>1</v>
      </c>
      <c r="H293" s="5" t="n">
        <v>2061576906.838174</v>
      </c>
      <c r="I293" s="5" t="n">
        <v>2061752941.309991</v>
      </c>
      <c r="J293" s="5" t="n">
        <v>188524.22</v>
      </c>
      <c r="K293" s="4" t="inlineStr">
        <is>
          <t>S</t>
        </is>
      </c>
      <c r="L293" s="4" t="inlineStr">
        <is>
          <t>2025-11-23</t>
        </is>
      </c>
      <c r="M293" s="5" t="n">
        <v>188524.22</v>
      </c>
      <c r="N293" s="5">
        <f>J293-M293</f>
        <v/>
      </c>
      <c r="O293" s="6">
        <f>IF(F293="INFERIOR",N293/J293,"")</f>
        <v/>
      </c>
      <c r="P293" s="5">
        <f>IF(F293="INFERIOR",O293*MUS_parametros!$B$18,N293)</f>
        <v/>
      </c>
      <c r="Q293" s="4" t="inlineStr">
        <is>
          <t>Documento confere com o registro</t>
        </is>
      </c>
    </row>
    <row r="294">
      <c r="A294" s="4" t="inlineStr">
        <is>
          <t>IMB-0195131</t>
        </is>
      </c>
      <c r="B294" s="4" t="inlineStr">
        <is>
          <t>DESENVOLVIMENTO_CAMPOS</t>
        </is>
      </c>
      <c r="C294" s="4" t="inlineStr">
        <is>
          <t>1.2.03.04.001</t>
        </is>
      </c>
      <c r="D294" s="4" t="inlineStr">
        <is>
          <t>JACUIPE</t>
        </is>
      </c>
      <c r="E294" s="4" t="inlineStr">
        <is>
          <t>PERFURACAO E COMPLETACAO</t>
        </is>
      </c>
      <c r="F294" s="4" t="inlineStr">
        <is>
          <t>INFERIOR</t>
        </is>
      </c>
      <c r="G294" s="4" t="n">
        <v>1</v>
      </c>
      <c r="H294" s="5" t="n">
        <v>2067309906.838174</v>
      </c>
      <c r="I294" s="5" t="n">
        <v>2067329685.089991</v>
      </c>
      <c r="J294" s="5" t="n">
        <v>45271.11</v>
      </c>
      <c r="K294" s="4" t="inlineStr">
        <is>
          <t>S</t>
        </is>
      </c>
      <c r="L294" s="4" t="inlineStr">
        <is>
          <t>2024-07-16</t>
        </is>
      </c>
      <c r="M294" s="5" t="n">
        <v>45271.11</v>
      </c>
      <c r="N294" s="5">
        <f>J294-M294</f>
        <v/>
      </c>
      <c r="O294" s="6">
        <f>IF(F294="INFERIOR",N294/J294,"")</f>
        <v/>
      </c>
      <c r="P294" s="5">
        <f>IF(F294="INFERIOR",O294*MUS_parametros!$B$18,N294)</f>
        <v/>
      </c>
      <c r="Q294" s="4" t="inlineStr">
        <is>
          <t>Documento confere com o registro</t>
        </is>
      </c>
    </row>
    <row r="295">
      <c r="A295" s="4" t="inlineStr">
        <is>
          <t>IMB-0195976</t>
        </is>
      </c>
      <c r="B295" s="4" t="inlineStr">
        <is>
          <t>ALMOXARIFADO_INVERSOES_FIXAS</t>
        </is>
      </c>
      <c r="C295" s="4" t="inlineStr">
        <is>
          <t>1.2.03.07.002</t>
        </is>
      </c>
      <c r="D295" s="4" t="inlineStr">
        <is>
          <t>BIRIBA</t>
        </is>
      </c>
      <c r="E295" s="4" t="inlineStr">
        <is>
          <t>BOMBA DE FUNDO EM ESTOQUE</t>
        </is>
      </c>
      <c r="F295" s="4" t="inlineStr">
        <is>
          <t>INFERIOR</t>
        </is>
      </c>
      <c r="G295" s="4" t="n">
        <v>1</v>
      </c>
      <c r="H295" s="5" t="n">
        <v>2073042906.838174</v>
      </c>
      <c r="I295" s="5" t="n">
        <v>2073048024.369993</v>
      </c>
      <c r="J295" s="5" t="n">
        <v>40878.08</v>
      </c>
      <c r="K295" s="4" t="inlineStr">
        <is>
          <t>S</t>
        </is>
      </c>
      <c r="L295" s="4" t="inlineStr">
        <is>
          <t>2024-11-29</t>
        </is>
      </c>
      <c r="M295" s="5" t="n">
        <v>40878.08</v>
      </c>
      <c r="N295" s="5">
        <f>J295-M295</f>
        <v/>
      </c>
      <c r="O295" s="6">
        <f>IF(F295="INFERIOR",N295/J295,"")</f>
        <v/>
      </c>
      <c r="P295" s="5">
        <f>IF(F295="INFERIOR",O295*MUS_parametros!$B$18,N295)</f>
        <v/>
      </c>
      <c r="Q295" s="4" t="inlineStr">
        <is>
          <t>Documento confere com o registro</t>
        </is>
      </c>
    </row>
    <row r="296">
      <c r="A296" s="4" t="inlineStr">
        <is>
          <t>IMB-0196680</t>
        </is>
      </c>
      <c r="B296" s="4" t="inlineStr">
        <is>
          <t>DESENVOLVIMENTO_CAMPOS</t>
        </is>
      </c>
      <c r="C296" s="4" t="inlineStr">
        <is>
          <t>1.2.03.04.001</t>
        </is>
      </c>
      <c r="D296" s="4" t="inlineStr">
        <is>
          <t>RIO DOS OVOS</t>
        </is>
      </c>
      <c r="E296" s="4" t="inlineStr">
        <is>
          <t>PERFURACAO E COMPLETACAO</t>
        </is>
      </c>
      <c r="F296" s="4" t="inlineStr">
        <is>
          <t>INFERIOR</t>
        </is>
      </c>
      <c r="G296" s="4" t="n">
        <v>1</v>
      </c>
      <c r="H296" s="5" t="n">
        <v>2078775906.838174</v>
      </c>
      <c r="I296" s="5" t="n">
        <v>2078809831.079996</v>
      </c>
      <c r="J296" s="5" t="n">
        <v>402840.74</v>
      </c>
      <c r="K296" s="4" t="inlineStr">
        <is>
          <t>S</t>
        </is>
      </c>
      <c r="L296" s="4" t="inlineStr">
        <is>
          <t>2025-09-21</t>
        </is>
      </c>
      <c r="M296" s="5" t="n">
        <v>402840.74</v>
      </c>
      <c r="N296" s="5">
        <f>J296-M296</f>
        <v/>
      </c>
      <c r="O296" s="6">
        <f>IF(F296="INFERIOR",N296/J296,"")</f>
        <v/>
      </c>
      <c r="P296" s="5">
        <f>IF(F296="INFERIOR",O296*MUS_parametros!$B$18,N296)</f>
        <v/>
      </c>
      <c r="Q296" s="4" t="inlineStr">
        <is>
          <t>Documento confere com o registro</t>
        </is>
      </c>
    </row>
    <row r="297">
      <c r="A297" s="4" t="inlineStr">
        <is>
          <t>IMB-0197382</t>
        </is>
      </c>
      <c r="B297" s="4" t="inlineStr">
        <is>
          <t>MAQUINAS_EQUIPAMENTOS</t>
        </is>
      </c>
      <c r="C297" s="4" t="inlineStr">
        <is>
          <t>1.2.03.01.004</t>
        </is>
      </c>
      <c r="D297" s="4" t="inlineStr">
        <is>
          <t>UPGN GUAMARE</t>
        </is>
      </c>
      <c r="E297" s="4" t="inlineStr">
        <is>
          <t>MODULO DE PROCESSAMENTO UPGN III</t>
        </is>
      </c>
      <c r="F297" s="4" t="inlineStr">
        <is>
          <t>INFERIOR</t>
        </is>
      </c>
      <c r="G297" s="4" t="n">
        <v>1</v>
      </c>
      <c r="H297" s="5" t="n">
        <v>2084508906.838174</v>
      </c>
      <c r="I297" s="5" t="n">
        <v>2084577520.029993</v>
      </c>
      <c r="J297" s="5" t="n">
        <v>77503.60000000001</v>
      </c>
      <c r="K297" s="4" t="inlineStr">
        <is>
          <t>S</t>
        </is>
      </c>
      <c r="L297" s="4" t="inlineStr">
        <is>
          <t>2025-09-30</t>
        </is>
      </c>
      <c r="M297" s="5" t="n">
        <v>77503.60000000001</v>
      </c>
      <c r="N297" s="5">
        <f>J297-M297</f>
        <v/>
      </c>
      <c r="O297" s="6">
        <f>IF(F297="INFERIOR",N297/J297,"")</f>
        <v/>
      </c>
      <c r="P297" s="5">
        <f>IF(F297="INFERIOR",O297*MUS_parametros!$B$18,N297)</f>
        <v/>
      </c>
      <c r="Q297" s="4" t="inlineStr">
        <is>
          <t>Documento confere com o registro</t>
        </is>
      </c>
    </row>
    <row r="298">
      <c r="A298" s="4" t="inlineStr">
        <is>
          <t>IMB-0198217</t>
        </is>
      </c>
      <c r="B298" s="4" t="inlineStr">
        <is>
          <t>DESENVOLVIMENTO_CAMPOS</t>
        </is>
      </c>
      <c r="C298" s="4" t="inlineStr">
        <is>
          <t>1.2.03.04.002</t>
        </is>
      </c>
      <c r="D298" s="4" t="inlineStr">
        <is>
          <t>JACUIPE</t>
        </is>
      </c>
      <c r="E298" s="4" t="inlineStr">
        <is>
          <t>WORKOVER / RECOMPLETACAO CAPITALIZADO</t>
        </is>
      </c>
      <c r="F298" s="4" t="inlineStr">
        <is>
          <t>INFERIOR</t>
        </is>
      </c>
      <c r="G298" s="4" t="n">
        <v>1</v>
      </c>
      <c r="H298" s="5" t="n">
        <v>2090241906.838174</v>
      </c>
      <c r="I298" s="5" t="n">
        <v>2090247403.989995</v>
      </c>
      <c r="J298" s="5" t="n">
        <v>13982.08</v>
      </c>
      <c r="K298" s="4" t="inlineStr">
        <is>
          <t>S</t>
        </is>
      </c>
      <c r="L298" s="4" t="inlineStr">
        <is>
          <t>2025-04-05</t>
        </is>
      </c>
      <c r="M298" s="5" t="n">
        <v>13982.08</v>
      </c>
      <c r="N298" s="5">
        <f>J298-M298</f>
        <v/>
      </c>
      <c r="O298" s="6">
        <f>IF(F298="INFERIOR",N298/J298,"")</f>
        <v/>
      </c>
      <c r="P298" s="5">
        <f>IF(F298="INFERIOR",O298*MUS_parametros!$B$18,N298)</f>
        <v/>
      </c>
      <c r="Q298" s="4" t="inlineStr">
        <is>
          <t>Documento confere com o registro</t>
        </is>
      </c>
    </row>
    <row r="299">
      <c r="A299" s="4" t="inlineStr">
        <is>
          <t>IMB-0199014</t>
        </is>
      </c>
      <c r="B299" s="4" t="inlineStr">
        <is>
          <t>MAQUINAS_EQUIPAMENTOS</t>
        </is>
      </c>
      <c r="C299" s="4" t="inlineStr">
        <is>
          <t>1.2.03.01.005</t>
        </is>
      </c>
      <c r="D299" s="4" t="inlineStr">
        <is>
          <t>FAZENDA ONCA</t>
        </is>
      </c>
      <c r="E299" s="4" t="inlineStr">
        <is>
          <t>FERRAMENTA/EQUIPAMENTO DE CAMPO</t>
        </is>
      </c>
      <c r="F299" s="4" t="inlineStr">
        <is>
          <t>INFERIOR</t>
        </is>
      </c>
      <c r="G299" s="4" t="n">
        <v>1</v>
      </c>
      <c r="H299" s="5" t="n">
        <v>2095974906.838174</v>
      </c>
      <c r="I299" s="5" t="n">
        <v>2095976330.429992</v>
      </c>
      <c r="J299" s="5" t="n">
        <v>1563.55</v>
      </c>
      <c r="K299" s="4" t="inlineStr">
        <is>
          <t>S</t>
        </is>
      </c>
      <c r="L299" s="4" t="inlineStr">
        <is>
          <t>2013-08-26</t>
        </is>
      </c>
      <c r="M299" s="5" t="n">
        <v>1563.55</v>
      </c>
      <c r="N299" s="5">
        <f>J299-M299</f>
        <v/>
      </c>
      <c r="O299" s="6">
        <f>IF(F299="INFERIOR",N299/J299,"")</f>
        <v/>
      </c>
      <c r="P299" s="5">
        <f>IF(F299="INFERIOR",O299*MUS_parametros!$B$18,N299)</f>
        <v/>
      </c>
      <c r="Q299" s="4" t="inlineStr">
        <is>
          <t>Documento confere com o registro</t>
        </is>
      </c>
    </row>
    <row r="300">
      <c r="A300" s="4" t="inlineStr">
        <is>
          <t>IMB-0199230</t>
        </is>
      </c>
      <c r="B300" s="4" t="inlineStr">
        <is>
          <t>DESENVOLVIMENTO_CAMPOS</t>
        </is>
      </c>
      <c r="C300" s="4" t="inlineStr">
        <is>
          <t>1.2.03.04.002</t>
        </is>
      </c>
      <c r="D300" s="4" t="inlineStr">
        <is>
          <t>POT-CONC-07 (SINTETICO)</t>
        </is>
      </c>
      <c r="E300" s="4" t="inlineStr">
        <is>
          <t>WORKOVER / RECOMPLETACAO CAPITALIZADO</t>
        </is>
      </c>
      <c r="F300" s="4" t="inlineStr">
        <is>
          <t>INFERIOR</t>
        </is>
      </c>
      <c r="G300" s="4" t="n">
        <v>1</v>
      </c>
      <c r="H300" s="5" t="n">
        <v>2101707906.838174</v>
      </c>
      <c r="I300" s="5" t="n">
        <v>2101710509.959993</v>
      </c>
      <c r="J300" s="5" t="n">
        <v>7880.14</v>
      </c>
      <c r="K300" s="4" t="inlineStr">
        <is>
          <t>S</t>
        </is>
      </c>
      <c r="L300" s="4" t="inlineStr">
        <is>
          <t>2023-06-29</t>
        </is>
      </c>
      <c r="M300" s="5" t="n">
        <v>7880.14</v>
      </c>
      <c r="N300" s="5">
        <f>J300-M300</f>
        <v/>
      </c>
      <c r="O300" s="6">
        <f>IF(F300="INFERIOR",N300/J300,"")</f>
        <v/>
      </c>
      <c r="P300" s="5">
        <f>IF(F300="INFERIOR",O300*MUS_parametros!$B$18,N300)</f>
        <v/>
      </c>
      <c r="Q300" s="4" t="inlineStr">
        <is>
          <t>Documento confere com o registro</t>
        </is>
      </c>
    </row>
    <row r="301">
      <c r="A301" s="4" t="inlineStr">
        <is>
          <t>IMB-0199993</t>
        </is>
      </c>
      <c r="B301" s="4" t="inlineStr">
        <is>
          <t>ALMOXARIFADO_INVERSOES_FIXAS</t>
        </is>
      </c>
      <c r="C301" s="4" t="inlineStr">
        <is>
          <t>1.2.03.07.001</t>
        </is>
      </c>
      <c r="D301" s="4" t="inlineStr">
        <is>
          <t>POT-CONC-11 (SINTETICO)</t>
        </is>
      </c>
      <c r="E301" s="4" t="inlineStr">
        <is>
          <t>TUBO DE REVESTIMENTO/PRODUCAO (LOTE)</t>
        </is>
      </c>
      <c r="F301" s="4" t="inlineStr">
        <is>
          <t>INFERIOR</t>
        </is>
      </c>
      <c r="G301" s="4" t="n">
        <v>1</v>
      </c>
      <c r="H301" s="5" t="n">
        <v>2107440906.838174</v>
      </c>
      <c r="I301" s="5" t="n">
        <v>2107450768.469991</v>
      </c>
      <c r="J301" s="5" t="n">
        <v>10684.11</v>
      </c>
      <c r="K301" s="4" t="inlineStr">
        <is>
          <t>S</t>
        </is>
      </c>
      <c r="L301" s="4" t="inlineStr">
        <is>
          <t>2024-06-24</t>
        </is>
      </c>
      <c r="M301" s="5" t="n">
        <v>10684.11</v>
      </c>
      <c r="N301" s="5">
        <f>J301-M301</f>
        <v/>
      </c>
      <c r="O301" s="6">
        <f>IF(F301="INFERIOR",N301/J301,"")</f>
        <v/>
      </c>
      <c r="P301" s="5">
        <f>IF(F301="INFERIOR",O301*MUS_parametros!$B$18,N301)</f>
        <v/>
      </c>
      <c r="Q301" s="4" t="inlineStr">
        <is>
          <t>Documento confere com o registro</t>
        </is>
      </c>
    </row>
    <row r="302">
      <c r="A302" s="4" t="inlineStr">
        <is>
          <t>IMB-0200955</t>
        </is>
      </c>
      <c r="B302" s="4" t="inlineStr">
        <is>
          <t>DESENVOLVIMENTO_CAMPOS</t>
        </is>
      </c>
      <c r="C302" s="4" t="inlineStr">
        <is>
          <t>1.2.03.04.001</t>
        </is>
      </c>
      <c r="D302" s="4" t="inlineStr">
        <is>
          <t>POT-CONC-01 (SINTETICO)</t>
        </is>
      </c>
      <c r="E302" s="4" t="inlineStr">
        <is>
          <t>PERFURACAO E COMPLETACAO</t>
        </is>
      </c>
      <c r="F302" s="4" t="inlineStr">
        <is>
          <t>INFERIOR</t>
        </is>
      </c>
      <c r="G302" s="4" t="n">
        <v>1</v>
      </c>
      <c r="H302" s="5" t="n">
        <v>2113173906.838174</v>
      </c>
      <c r="I302" s="5" t="n">
        <v>2114040317.79999</v>
      </c>
      <c r="J302" s="5" t="n">
        <v>1686365.66</v>
      </c>
      <c r="K302" s="4" t="inlineStr">
        <is>
          <t>S</t>
        </is>
      </c>
      <c r="L302" s="4" t="inlineStr">
        <is>
          <t>2025-06-02</t>
        </is>
      </c>
      <c r="M302" s="5" t="n">
        <v>1686365.66</v>
      </c>
      <c r="N302" s="5">
        <f>J302-M302</f>
        <v/>
      </c>
      <c r="O302" s="6">
        <f>IF(F302="INFERIOR",N302/J302,"")</f>
        <v/>
      </c>
      <c r="P302" s="5">
        <f>IF(F302="INFERIOR",O302*MUS_parametros!$B$18,N302)</f>
        <v/>
      </c>
      <c r="Q302" s="4" t="inlineStr">
        <is>
          <t>Documento confere com o registro</t>
        </is>
      </c>
    </row>
    <row r="303">
      <c r="A303" s="4" t="inlineStr">
        <is>
          <t>IMB-0201561</t>
        </is>
      </c>
      <c r="B303" s="4" t="inlineStr">
        <is>
          <t>DIREITO_PRODUCAO_OLEO_GAS</t>
        </is>
      </c>
      <c r="C303" s="4" t="inlineStr">
        <is>
          <t>1.2.03.03.004</t>
        </is>
      </c>
      <c r="D303" s="4" t="inlineStr">
        <is>
          <t>POT-CONC-11 (SINTETICO)</t>
        </is>
      </c>
      <c r="E303" s="4" t="inlineStr">
        <is>
          <t>AJUSTE DE PRECO DE AQUISICAO</t>
        </is>
      </c>
      <c r="F303" s="4" t="inlineStr">
        <is>
          <t>INFERIOR</t>
        </is>
      </c>
      <c r="G303" s="4" t="n">
        <v>1</v>
      </c>
      <c r="H303" s="5" t="n">
        <v>2118906906.838174</v>
      </c>
      <c r="I303" s="5" t="n">
        <v>2119365592.129988</v>
      </c>
      <c r="J303" s="5" t="n">
        <v>1961638.56</v>
      </c>
      <c r="K303" s="4" t="inlineStr">
        <is>
          <t>S</t>
        </is>
      </c>
      <c r="L303" s="4" t="inlineStr">
        <is>
          <t>2021-07-24</t>
        </is>
      </c>
      <c r="M303" s="5" t="n">
        <v>1961638.56</v>
      </c>
      <c r="N303" s="5">
        <f>J303-M303</f>
        <v/>
      </c>
      <c r="O303" s="6">
        <f>IF(F303="INFERIOR",N303/J303,"")</f>
        <v/>
      </c>
      <c r="P303" s="5">
        <f>IF(F303="INFERIOR",O303*MUS_parametros!$B$18,N303)</f>
        <v/>
      </c>
      <c r="Q303" s="4" t="inlineStr">
        <is>
          <t>Documento confere com o registro</t>
        </is>
      </c>
    </row>
    <row r="304">
      <c r="A304" s="4" t="inlineStr">
        <is>
          <t>IMB-0202437</t>
        </is>
      </c>
      <c r="B304" s="4" t="inlineStr">
        <is>
          <t>DESENVOLVIMENTO_CAMPOS</t>
        </is>
      </c>
      <c r="C304" s="4" t="inlineStr">
        <is>
          <t>1.2.03.04.001</t>
        </is>
      </c>
      <c r="D304" s="4" t="inlineStr">
        <is>
          <t>TARTARUGA</t>
        </is>
      </c>
      <c r="E304" s="4" t="inlineStr">
        <is>
          <t>PERFURACAO E COMPLETACAO</t>
        </is>
      </c>
      <c r="F304" s="4" t="inlineStr">
        <is>
          <t>SUPERIOR (VC &gt;= I)</t>
        </is>
      </c>
      <c r="G304" s="4" t="n">
        <v>3</v>
      </c>
      <c r="H304" s="5" t="n">
        <v>2124639906.838174</v>
      </c>
      <c r="I304" s="5" t="n">
        <v>2137483112.699991</v>
      </c>
      <c r="J304" s="5" t="n">
        <v>13244031.16</v>
      </c>
      <c r="K304" s="4" t="inlineStr">
        <is>
          <t>S</t>
        </is>
      </c>
      <c r="L304" s="4" t="inlineStr">
        <is>
          <t>2025-09-14</t>
        </is>
      </c>
      <c r="M304" s="5" t="n">
        <v>13244031.16</v>
      </c>
      <c r="N304" s="5">
        <f>J304-M304</f>
        <v/>
      </c>
      <c r="O304" s="6">
        <f>IF(F304="INFERIOR",N304/J304,"")</f>
        <v/>
      </c>
      <c r="P304" s="5">
        <f>IF(F304="INFERIOR",O304*MUS_parametros!$B$18,N304)</f>
        <v/>
      </c>
      <c r="Q304" s="4" t="inlineStr">
        <is>
          <t>Documento confere com o registro</t>
        </is>
      </c>
    </row>
    <row r="305">
      <c r="A305" s="4" t="inlineStr">
        <is>
          <t>IMB-0202991</t>
        </is>
      </c>
      <c r="B305" s="4" t="inlineStr">
        <is>
          <t>DESENVOLVIMENTO_CAMPOS</t>
        </is>
      </c>
      <c r="C305" s="4" t="inlineStr">
        <is>
          <t>1.2.03.04.001</t>
        </is>
      </c>
      <c r="D305" s="4" t="inlineStr">
        <is>
          <t>POT-CONC-08 (SINTETICO)</t>
        </is>
      </c>
      <c r="E305" s="4" t="inlineStr">
        <is>
          <t>PERFURACAO E COMPLETACAO</t>
        </is>
      </c>
      <c r="F305" s="4" t="inlineStr">
        <is>
          <t>INFERIOR</t>
        </is>
      </c>
      <c r="G305" s="4" t="n">
        <v>1</v>
      </c>
      <c r="H305" s="5" t="n">
        <v>2141838906.838174</v>
      </c>
      <c r="I305" s="5" t="n">
        <v>2141939106.689991</v>
      </c>
      <c r="J305" s="5" t="n">
        <v>200847.64</v>
      </c>
      <c r="K305" s="4" t="inlineStr">
        <is>
          <t>S</t>
        </is>
      </c>
      <c r="L305" s="4" t="inlineStr">
        <is>
          <t>2024-04-15</t>
        </is>
      </c>
      <c r="M305" s="5" t="n">
        <v>200847.64</v>
      </c>
      <c r="N305" s="5">
        <f>J305-M305</f>
        <v/>
      </c>
      <c r="O305" s="6">
        <f>IF(F305="INFERIOR",N305/J305,"")</f>
        <v/>
      </c>
      <c r="P305" s="5">
        <f>IF(F305="INFERIOR",O305*MUS_parametros!$B$18,N305)</f>
        <v/>
      </c>
      <c r="Q305" s="4" t="inlineStr">
        <is>
          <t>Documento confere com o registro</t>
        </is>
      </c>
    </row>
    <row r="306">
      <c r="A306" s="4" t="inlineStr">
        <is>
          <t>IMB-0203451</t>
        </is>
      </c>
      <c r="B306" s="4" t="inlineStr">
        <is>
          <t>ALMOXARIFADO_INVERSOES_FIXAS</t>
        </is>
      </c>
      <c r="C306" s="4" t="inlineStr">
        <is>
          <t>1.2.03.07.002</t>
        </is>
      </c>
      <c r="D306" s="4" t="inlineStr">
        <is>
          <t>MATA DE SAO JOAO</t>
        </is>
      </c>
      <c r="E306" s="4" t="inlineStr">
        <is>
          <t>BOMBA DE FUNDO EM ESTOQUE</t>
        </is>
      </c>
      <c r="F306" s="4" t="inlineStr">
        <is>
          <t>INFERIOR</t>
        </is>
      </c>
      <c r="G306" s="4" t="n">
        <v>1</v>
      </c>
      <c r="H306" s="5" t="n">
        <v>2147571906.838174</v>
      </c>
      <c r="I306" s="5" t="n">
        <v>2147572458.01999</v>
      </c>
      <c r="J306" s="5" t="n">
        <v>767.61</v>
      </c>
      <c r="K306" s="4" t="inlineStr">
        <is>
          <t>S</t>
        </is>
      </c>
      <c r="L306" s="4" t="inlineStr">
        <is>
          <t>2024-09-03</t>
        </is>
      </c>
      <c r="M306" s="5" t="n">
        <v>767.61</v>
      </c>
      <c r="N306" s="5">
        <f>J306-M306</f>
        <v/>
      </c>
      <c r="O306" s="6">
        <f>IF(F306="INFERIOR",N306/J306,"")</f>
        <v/>
      </c>
      <c r="P306" s="5">
        <f>IF(F306="INFERIOR",O306*MUS_parametros!$B$18,N306)</f>
        <v/>
      </c>
      <c r="Q306" s="4" t="inlineStr">
        <is>
          <t>Documento confere com o registro</t>
        </is>
      </c>
    </row>
    <row r="307">
      <c r="A307" s="4" t="inlineStr">
        <is>
          <t>IMB-0204224</t>
        </is>
      </c>
      <c r="B307" s="4" t="inlineStr">
        <is>
          <t>DESENVOLVIMENTO_CAMPOS</t>
        </is>
      </c>
      <c r="C307" s="4" t="inlineStr">
        <is>
          <t>1.2.03.04.001</t>
        </is>
      </c>
      <c r="D307" s="4" t="inlineStr">
        <is>
          <t>MIRANGA</t>
        </is>
      </c>
      <c r="E307" s="4" t="inlineStr">
        <is>
          <t>PERFURACAO E COMPLETACAO</t>
        </is>
      </c>
      <c r="F307" s="4" t="inlineStr">
        <is>
          <t>INFERIOR</t>
        </is>
      </c>
      <c r="G307" s="4" t="n">
        <v>1</v>
      </c>
      <c r="H307" s="5" t="n">
        <v>2153304906.838174</v>
      </c>
      <c r="I307" s="5" t="n">
        <v>2153321885.629991</v>
      </c>
      <c r="J307" s="5" t="n">
        <v>653078.5</v>
      </c>
      <c r="K307" s="4" t="inlineStr">
        <is>
          <t>S</t>
        </is>
      </c>
      <c r="L307" s="4" t="inlineStr">
        <is>
          <t>2022-05-23</t>
        </is>
      </c>
      <c r="M307" s="5" t="n">
        <v>653078.5</v>
      </c>
      <c r="N307" s="5">
        <f>J307-M307</f>
        <v/>
      </c>
      <c r="O307" s="6">
        <f>IF(F307="INFERIOR",N307/J307,"")</f>
        <v/>
      </c>
      <c r="P307" s="5">
        <f>IF(F307="INFERIOR",O307*MUS_parametros!$B$18,N307)</f>
        <v/>
      </c>
      <c r="Q307" s="4" t="inlineStr">
        <is>
          <t>Documento confere com o registro</t>
        </is>
      </c>
    </row>
    <row r="308">
      <c r="A308" s="4" t="inlineStr">
        <is>
          <t>IMB-0205499</t>
        </is>
      </c>
      <c r="B308" s="4" t="inlineStr">
        <is>
          <t>DESENVOLVIMENTO_CAMPOS</t>
        </is>
      </c>
      <c r="C308" s="4" t="inlineStr">
        <is>
          <t>1.2.03.04.001</t>
        </is>
      </c>
      <c r="D308" s="4" t="inlineStr">
        <is>
          <t>REMANSO</t>
        </is>
      </c>
      <c r="E308" s="4" t="inlineStr">
        <is>
          <t>PERFURACAO E COMPLETACAO</t>
        </is>
      </c>
      <c r="F308" s="4" t="inlineStr">
        <is>
          <t>INFERIOR</t>
        </is>
      </c>
      <c r="G308" s="4" t="n">
        <v>1</v>
      </c>
      <c r="H308" s="5" t="n">
        <v>2159037906.838174</v>
      </c>
      <c r="I308" s="5" t="n">
        <v>2159046407.769999</v>
      </c>
      <c r="J308" s="5" t="n">
        <v>12228.88</v>
      </c>
      <c r="K308" s="4" t="inlineStr">
        <is>
          <t>S</t>
        </is>
      </c>
      <c r="L308" s="4" t="inlineStr">
        <is>
          <t>2023-01-28</t>
        </is>
      </c>
      <c r="M308" s="5" t="n">
        <v>12228.88</v>
      </c>
      <c r="N308" s="5">
        <f>J308-M308</f>
        <v/>
      </c>
      <c r="O308" s="6">
        <f>IF(F308="INFERIOR",N308/J308,"")</f>
        <v/>
      </c>
      <c r="P308" s="5">
        <f>IF(F308="INFERIOR",O308*MUS_parametros!$B$18,N308)</f>
        <v/>
      </c>
      <c r="Q308" s="4" t="inlineStr">
        <is>
          <t>Documento confere com o registro</t>
        </is>
      </c>
    </row>
    <row r="309">
      <c r="A309" s="4" t="inlineStr">
        <is>
          <t>IMB-0206380</t>
        </is>
      </c>
      <c r="B309" s="4" t="inlineStr">
        <is>
          <t>DESENVOLVIMENTO_CAMPOS</t>
        </is>
      </c>
      <c r="C309" s="4" t="inlineStr">
        <is>
          <t>1.2.03.04.003</t>
        </is>
      </c>
      <c r="D309" s="4" t="inlineStr">
        <is>
          <t>CASSARONGONGO</t>
        </is>
      </c>
      <c r="E309" s="4" t="inlineStr">
        <is>
          <t>COLUNA DE PRODUCAO E HASTES</t>
        </is>
      </c>
      <c r="F309" s="4" t="inlineStr">
        <is>
          <t>INFERIOR</t>
        </is>
      </c>
      <c r="G309" s="4" t="n">
        <v>1</v>
      </c>
      <c r="H309" s="5" t="n">
        <v>2164770906.838174</v>
      </c>
      <c r="I309" s="5" t="n">
        <v>2164772082.229996</v>
      </c>
      <c r="J309" s="5" t="n">
        <v>1206.07</v>
      </c>
      <c r="K309" s="4" t="inlineStr">
        <is>
          <t>S</t>
        </is>
      </c>
      <c r="L309" s="4" t="inlineStr">
        <is>
          <t>2024-04-25</t>
        </is>
      </c>
      <c r="M309" s="5" t="n">
        <v>1206.07</v>
      </c>
      <c r="N309" s="5">
        <f>J309-M309</f>
        <v/>
      </c>
      <c r="O309" s="6">
        <f>IF(F309="INFERIOR",N309/J309,"")</f>
        <v/>
      </c>
      <c r="P309" s="5">
        <f>IF(F309="INFERIOR",O309*MUS_parametros!$B$18,N309)</f>
        <v/>
      </c>
      <c r="Q309" s="4" t="inlineStr">
        <is>
          <t>Documento confere com o registro</t>
        </is>
      </c>
    </row>
    <row r="310">
      <c r="A310" s="4" t="inlineStr">
        <is>
          <t>IMB-0207094</t>
        </is>
      </c>
      <c r="B310" s="4" t="inlineStr">
        <is>
          <t>MAQUINAS_EQUIPAMENTOS</t>
        </is>
      </c>
      <c r="C310" s="4" t="inlineStr">
        <is>
          <t>1.2.03.01.001</t>
        </is>
      </c>
      <c r="D310" s="4" t="inlineStr">
        <is>
          <t>MATA DE SAO JOAO</t>
        </is>
      </c>
      <c r="E310" s="4" t="inlineStr">
        <is>
          <t>COMPONENTE DE SONDA PROPRIA (PERFURACAO/PRODUCAO)</t>
        </is>
      </c>
      <c r="F310" s="4" t="inlineStr">
        <is>
          <t>INFERIOR</t>
        </is>
      </c>
      <c r="G310" s="4" t="n">
        <v>1</v>
      </c>
      <c r="H310" s="5" t="n">
        <v>2170503906.838174</v>
      </c>
      <c r="I310" s="5" t="n">
        <v>2170507989.229997</v>
      </c>
      <c r="J310" s="5" t="n">
        <v>73864.47</v>
      </c>
      <c r="K310" s="4" t="inlineStr">
        <is>
          <t>S</t>
        </is>
      </c>
      <c r="L310" s="4" t="inlineStr">
        <is>
          <t>2023-01-10</t>
        </is>
      </c>
      <c r="M310" s="5" t="n">
        <v>73864.47</v>
      </c>
      <c r="N310" s="5">
        <f>J310-M310</f>
        <v/>
      </c>
      <c r="O310" s="6">
        <f>IF(F310="INFERIOR",N310/J310,"")</f>
        <v/>
      </c>
      <c r="P310" s="5">
        <f>IF(F310="INFERIOR",O310*MUS_parametros!$B$18,N310)</f>
        <v/>
      </c>
      <c r="Q310" s="4" t="inlineStr">
        <is>
          <t>Documento confere com o registro</t>
        </is>
      </c>
    </row>
    <row r="311">
      <c r="A311" s="4" t="inlineStr">
        <is>
          <t>IMB-0207929</t>
        </is>
      </c>
      <c r="B311" s="4" t="inlineStr">
        <is>
          <t>MAQUINAS_EQUIPAMENTOS</t>
        </is>
      </c>
      <c r="C311" s="4" t="inlineStr">
        <is>
          <t>1.2.03.01.005</t>
        </is>
      </c>
      <c r="D311" s="4" t="inlineStr">
        <is>
          <t>RIO DOS OVOS</t>
        </is>
      </c>
      <c r="E311" s="4" t="inlineStr">
        <is>
          <t>FERRAMENTA/EQUIPAMENTO DE CAMPO</t>
        </is>
      </c>
      <c r="F311" s="4" t="inlineStr">
        <is>
          <t>INFERIOR</t>
        </is>
      </c>
      <c r="G311" s="4" t="n">
        <v>1</v>
      </c>
      <c r="H311" s="5" t="n">
        <v>2176236906.838174</v>
      </c>
      <c r="I311" s="5" t="n">
        <v>2176242423.979993</v>
      </c>
      <c r="J311" s="5" t="n">
        <v>5966.26</v>
      </c>
      <c r="K311" s="4" t="inlineStr">
        <is>
          <t>S</t>
        </is>
      </c>
      <c r="L311" s="4" t="inlineStr">
        <is>
          <t>2022-07-30</t>
        </is>
      </c>
      <c r="M311" s="5" t="n">
        <v>5966.26</v>
      </c>
      <c r="N311" s="5">
        <f>J311-M311</f>
        <v/>
      </c>
      <c r="O311" s="6">
        <f>IF(F311="INFERIOR",N311/J311,"")</f>
        <v/>
      </c>
      <c r="P311" s="5">
        <f>IF(F311="INFERIOR",O311*MUS_parametros!$B$18,N311)</f>
        <v/>
      </c>
      <c r="Q311" s="4" t="inlineStr">
        <is>
          <t>Documento confere com o registro</t>
        </is>
      </c>
    </row>
    <row r="312">
      <c r="A312" s="4" t="inlineStr">
        <is>
          <t>IMB-0208436</t>
        </is>
      </c>
      <c r="B312" s="4" t="inlineStr">
        <is>
          <t>DIREITO_PRODUCAO_OLEO_GAS</t>
        </is>
      </c>
      <c r="C312" s="4" t="inlineStr">
        <is>
          <t>1.2.03.03.003</t>
        </is>
      </c>
      <c r="D312" s="4" t="inlineStr">
        <is>
          <t>JACUIPE</t>
        </is>
      </c>
      <c r="E312" s="4" t="inlineStr">
        <is>
          <t>CUSTO DE AQUISICAO DA CONCESSAO</t>
        </is>
      </c>
      <c r="F312" s="4" t="inlineStr">
        <is>
          <t>SUPERIOR (VC &gt;= I)</t>
        </is>
      </c>
      <c r="G312" s="4" t="n">
        <v>70</v>
      </c>
      <c r="H312" s="5" t="n">
        <v>2181969906.838174</v>
      </c>
      <c r="I312" s="5" t="n">
        <v>2581270132.479994</v>
      </c>
      <c r="J312" s="5" t="n">
        <v>399602054.22</v>
      </c>
      <c r="K312" s="4" t="inlineStr">
        <is>
          <t>S</t>
        </is>
      </c>
      <c r="L312" s="4" t="inlineStr">
        <is>
          <t>2021-12-07</t>
        </is>
      </c>
      <c r="M312" s="5" t="n">
        <v>399602054.22</v>
      </c>
      <c r="N312" s="5">
        <f>J312-M312</f>
        <v/>
      </c>
      <c r="O312" s="6">
        <f>IF(F312="INFERIOR",N312/J312,"")</f>
        <v/>
      </c>
      <c r="P312" s="5">
        <f>IF(F312="INFERIOR",O312*MUS_parametros!$B$18,N312)</f>
        <v/>
      </c>
      <c r="Q312" s="4" t="inlineStr">
        <is>
          <t>Documento confere com o registro</t>
        </is>
      </c>
    </row>
    <row r="313">
      <c r="A313" s="4" t="inlineStr">
        <is>
          <t>IMB-0208764</t>
        </is>
      </c>
      <c r="B313" s="4" t="inlineStr">
        <is>
          <t>DESENVOLVIMENTO_CAMPOS</t>
        </is>
      </c>
      <c r="C313" s="4" t="inlineStr">
        <is>
          <t>1.2.03.04.001</t>
        </is>
      </c>
      <c r="D313" s="4" t="inlineStr">
        <is>
          <t>RIO PIPIRI</t>
        </is>
      </c>
      <c r="E313" s="4" t="inlineStr">
        <is>
          <t>PERFURACAO E COMPLETACAO</t>
        </is>
      </c>
      <c r="F313" s="4" t="inlineStr">
        <is>
          <t>INFERIOR</t>
        </is>
      </c>
      <c r="G313" s="4" t="n">
        <v>1</v>
      </c>
      <c r="H313" s="5" t="n">
        <v>2583279906.838174</v>
      </c>
      <c r="I313" s="5" t="n">
        <v>2583758428.869988</v>
      </c>
      <c r="J313" s="5" t="n">
        <v>543627.99</v>
      </c>
      <c r="K313" s="4" t="inlineStr">
        <is>
          <t>S</t>
        </is>
      </c>
      <c r="L313" s="4" t="inlineStr">
        <is>
          <t>2025-09-25</t>
        </is>
      </c>
      <c r="M313" s="5" t="n">
        <v>543627.99</v>
      </c>
      <c r="N313" s="5">
        <f>J313-M313</f>
        <v/>
      </c>
      <c r="O313" s="6">
        <f>IF(F313="INFERIOR",N313/J313,"")</f>
        <v/>
      </c>
      <c r="P313" s="5">
        <f>IF(F313="INFERIOR",O313*MUS_parametros!$B$18,N313)</f>
        <v/>
      </c>
      <c r="Q313" s="4" t="inlineStr">
        <is>
          <t>Documento confere com o registro</t>
        </is>
      </c>
    </row>
    <row r="314">
      <c r="A314" s="4" t="inlineStr">
        <is>
          <t>IMB-0209060</t>
        </is>
      </c>
      <c r="B314" s="4" t="inlineStr">
        <is>
          <t>DESENVOLVIMENTO_CAMPOS</t>
        </is>
      </c>
      <c r="C314" s="4" t="inlineStr">
        <is>
          <t>1.2.03.04.001</t>
        </is>
      </c>
      <c r="D314" s="4" t="inlineStr">
        <is>
          <t>TARTARUGA</t>
        </is>
      </c>
      <c r="E314" s="4" t="inlineStr">
        <is>
          <t>PERFURACAO E COMPLETACAO</t>
        </is>
      </c>
      <c r="F314" s="4" t="inlineStr">
        <is>
          <t>SUPERIOR (VC &gt;= I)</t>
        </is>
      </c>
      <c r="G314" s="4" t="n">
        <v>1</v>
      </c>
      <c r="H314" s="5" t="n">
        <v>2589012906.838174</v>
      </c>
      <c r="I314" s="5" t="n">
        <v>2594235796.739985</v>
      </c>
      <c r="J314" s="5" t="n">
        <v>7566272.62</v>
      </c>
      <c r="K314" s="4" t="inlineStr">
        <is>
          <t>S</t>
        </is>
      </c>
      <c r="L314" s="4" t="inlineStr">
        <is>
          <t>2025-10-28</t>
        </is>
      </c>
      <c r="M314" s="5" t="n">
        <v>7566272.62</v>
      </c>
      <c r="N314" s="5">
        <f>J314-M314</f>
        <v/>
      </c>
      <c r="O314" s="6">
        <f>IF(F314="INFERIOR",N314/J314,"")</f>
        <v/>
      </c>
      <c r="P314" s="5">
        <f>IF(F314="INFERIOR",O314*MUS_parametros!$B$18,N314)</f>
        <v/>
      </c>
      <c r="Q314" s="4" t="inlineStr">
        <is>
          <t>Documento confere com o registro</t>
        </is>
      </c>
    </row>
    <row r="315">
      <c r="A315" s="4" t="inlineStr">
        <is>
          <t>IMB-0209223</t>
        </is>
      </c>
      <c r="B315" s="4" t="inlineStr">
        <is>
          <t>OUTROS</t>
        </is>
      </c>
      <c r="C315" s="4" t="inlineStr">
        <is>
          <t>1.2.03.09.002</t>
        </is>
      </c>
      <c r="D315" s="4" t="inlineStr">
        <is>
          <t>FAZENDA ONCA</t>
        </is>
      </c>
      <c r="E315" s="4" t="inlineStr">
        <is>
          <t>EDIFICACAO / BENFEITORIA</t>
        </is>
      </c>
      <c r="F315" s="4" t="inlineStr">
        <is>
          <t>INFERIOR</t>
        </is>
      </c>
      <c r="G315" s="4" t="n">
        <v>1</v>
      </c>
      <c r="H315" s="5" t="n">
        <v>2594745906.838174</v>
      </c>
      <c r="I315" s="5" t="n">
        <v>2594753184.709989</v>
      </c>
      <c r="J315" s="5" t="n">
        <v>46476.51</v>
      </c>
      <c r="K315" s="4" t="inlineStr">
        <is>
          <t>S</t>
        </is>
      </c>
      <c r="L315" s="4" t="inlineStr">
        <is>
          <t>2018-03-05</t>
        </is>
      </c>
      <c r="M315" s="5" t="n">
        <v>46476.51</v>
      </c>
      <c r="N315" s="5">
        <f>J315-M315</f>
        <v/>
      </c>
      <c r="O315" s="6">
        <f>IF(F315="INFERIOR",N315/J315,"")</f>
        <v/>
      </c>
      <c r="P315" s="5">
        <f>IF(F315="INFERIOR",O315*MUS_parametros!$B$18,N315)</f>
        <v/>
      </c>
      <c r="Q315" s="4" t="inlineStr">
        <is>
          <t>Documento confere com o registro</t>
        </is>
      </c>
    </row>
    <row r="316">
      <c r="A316" s="4" t="inlineStr">
        <is>
          <t>IMB-0209979</t>
        </is>
      </c>
      <c r="B316" s="4" t="inlineStr">
        <is>
          <t>MAQUINAS_EQUIPAMENTOS</t>
        </is>
      </c>
      <c r="C316" s="4" t="inlineStr">
        <is>
          <t>1.2.03.01.004</t>
        </is>
      </c>
      <c r="D316" s="4" t="inlineStr">
        <is>
          <t>UPGN GUAMARE</t>
        </is>
      </c>
      <c r="E316" s="4" t="inlineStr">
        <is>
          <t>UTILIDADES E INSTRUMENTACAO</t>
        </is>
      </c>
      <c r="F316" s="4" t="inlineStr">
        <is>
          <t>INFERIOR</t>
        </is>
      </c>
      <c r="G316" s="4" t="n">
        <v>1</v>
      </c>
      <c r="H316" s="5" t="n">
        <v>2600478906.838174</v>
      </c>
      <c r="I316" s="5" t="n">
        <v>2601110592.329988</v>
      </c>
      <c r="J316" s="5" t="n">
        <v>1015148.62</v>
      </c>
      <c r="K316" s="4" t="inlineStr">
        <is>
          <t>S</t>
        </is>
      </c>
      <c r="L316" s="4" t="inlineStr">
        <is>
          <t>2025-09-30</t>
        </is>
      </c>
      <c r="M316" s="5" t="n">
        <v>1015148.62</v>
      </c>
      <c r="N316" s="5">
        <f>J316-M316</f>
        <v/>
      </c>
      <c r="O316" s="6">
        <f>IF(F316="INFERIOR",N316/J316,"")</f>
        <v/>
      </c>
      <c r="P316" s="5">
        <f>IF(F316="INFERIOR",O316*MUS_parametros!$B$18,N316)</f>
        <v/>
      </c>
      <c r="Q316" s="4" t="inlineStr">
        <is>
          <t>Documento confere com o registro</t>
        </is>
      </c>
    </row>
    <row r="317">
      <c r="A317" s="4" t="inlineStr">
        <is>
          <t>IMB-0210759</t>
        </is>
      </c>
      <c r="B317" s="4" t="inlineStr">
        <is>
          <t>DESENVOLVIMENTO_CAMPOS</t>
        </is>
      </c>
      <c r="C317" s="4" t="inlineStr">
        <is>
          <t>1.2.03.04.001</t>
        </is>
      </c>
      <c r="D317" s="4" t="inlineStr">
        <is>
          <t>RIO MOSSORO</t>
        </is>
      </c>
      <c r="E317" s="4" t="inlineStr">
        <is>
          <t>PERFURACAO E COMPLETACAO</t>
        </is>
      </c>
      <c r="F317" s="4" t="inlineStr">
        <is>
          <t>INFERIOR</t>
        </is>
      </c>
      <c r="G317" s="4" t="n">
        <v>1</v>
      </c>
      <c r="H317" s="5" t="n">
        <v>2606211906.838174</v>
      </c>
      <c r="I317" s="5" t="n">
        <v>2606298012.789988</v>
      </c>
      <c r="J317" s="5" t="n">
        <v>106249.05</v>
      </c>
      <c r="K317" s="4" t="inlineStr">
        <is>
          <t>S</t>
        </is>
      </c>
      <c r="L317" s="4" t="inlineStr">
        <is>
          <t>2024-06-16</t>
        </is>
      </c>
      <c r="M317" s="5" t="n">
        <v>106249.05</v>
      </c>
      <c r="N317" s="5">
        <f>J317-M317</f>
        <v/>
      </c>
      <c r="O317" s="6">
        <f>IF(F317="INFERIOR",N317/J317,"")</f>
        <v/>
      </c>
      <c r="P317" s="5">
        <f>IF(F317="INFERIOR",O317*MUS_parametros!$B$18,N317)</f>
        <v/>
      </c>
      <c r="Q317" s="4" t="inlineStr">
        <is>
          <t>Documento confere com o registro</t>
        </is>
      </c>
    </row>
    <row r="318">
      <c r="A318" s="4" t="inlineStr">
        <is>
          <t>IMB-0211697</t>
        </is>
      </c>
      <c r="B318" s="4" t="inlineStr">
        <is>
          <t>DESENVOLVIMENTO_CAMPOS</t>
        </is>
      </c>
      <c r="C318" s="4" t="inlineStr">
        <is>
          <t>1.2.03.04.001</t>
        </is>
      </c>
      <c r="D318" s="4" t="inlineStr">
        <is>
          <t>BIRIBA</t>
        </is>
      </c>
      <c r="E318" s="4" t="inlineStr">
        <is>
          <t>PERFURACAO E COMPLETACAO</t>
        </is>
      </c>
      <c r="F318" s="4" t="inlineStr">
        <is>
          <t>INFERIOR</t>
        </is>
      </c>
      <c r="G318" s="4" t="n">
        <v>1</v>
      </c>
      <c r="H318" s="5" t="n">
        <v>2611944906.838174</v>
      </c>
      <c r="I318" s="5" t="n">
        <v>2611966592.729993</v>
      </c>
      <c r="J318" s="5" t="n">
        <v>106806.48</v>
      </c>
      <c r="K318" s="4" t="inlineStr">
        <is>
          <t>S</t>
        </is>
      </c>
      <c r="L318" s="4" t="inlineStr">
        <is>
          <t>2025-03-12</t>
        </is>
      </c>
      <c r="M318" s="5" t="n">
        <v>106806.48</v>
      </c>
      <c r="N318" s="5">
        <f>J318-M318</f>
        <v/>
      </c>
      <c r="O318" s="6">
        <f>IF(F318="INFERIOR",N318/J318,"")</f>
        <v/>
      </c>
      <c r="P318" s="5">
        <f>IF(F318="INFERIOR",O318*MUS_parametros!$B$18,N318)</f>
        <v/>
      </c>
      <c r="Q318" s="4" t="inlineStr">
        <is>
          <t>Documento confere com o registro</t>
        </is>
      </c>
    </row>
    <row r="319">
      <c r="A319" s="4" t="inlineStr">
        <is>
          <t>IMB-0212776</t>
        </is>
      </c>
      <c r="B319" s="4" t="inlineStr">
        <is>
          <t>DESENVOLVIMENTO_CAMPOS</t>
        </is>
      </c>
      <c r="C319" s="4" t="inlineStr">
        <is>
          <t>1.2.03.04.001</t>
        </is>
      </c>
      <c r="D319" s="4" t="inlineStr">
        <is>
          <t>LIVRAMENTO</t>
        </is>
      </c>
      <c r="E319" s="4" t="inlineStr">
        <is>
          <t>PERFURACAO E COMPLETACAO</t>
        </is>
      </c>
      <c r="F319" s="4" t="inlineStr">
        <is>
          <t>INFERIOR</t>
        </is>
      </c>
      <c r="G319" s="4" t="n">
        <v>1</v>
      </c>
      <c r="H319" s="5" t="n">
        <v>2617677906.838174</v>
      </c>
      <c r="I319" s="5" t="n">
        <v>2617871419.58999</v>
      </c>
      <c r="J319" s="5" t="n">
        <v>337183.54</v>
      </c>
      <c r="K319" s="4" t="inlineStr">
        <is>
          <t>S</t>
        </is>
      </c>
      <c r="L319" s="4" t="inlineStr">
        <is>
          <t>2024-09-30</t>
        </is>
      </c>
      <c r="M319" s="5" t="n">
        <v>337183.54</v>
      </c>
      <c r="N319" s="5">
        <f>J319-M319</f>
        <v/>
      </c>
      <c r="O319" s="6">
        <f>IF(F319="INFERIOR",N319/J319,"")</f>
        <v/>
      </c>
      <c r="P319" s="5">
        <f>IF(F319="INFERIOR",O319*MUS_parametros!$B$18,N319)</f>
        <v/>
      </c>
      <c r="Q319" s="4" t="inlineStr">
        <is>
          <t>Documento confere com o registro</t>
        </is>
      </c>
    </row>
    <row r="320">
      <c r="A320" s="4" t="inlineStr">
        <is>
          <t>IMB-0213303</t>
        </is>
      </c>
      <c r="B320" s="4" t="inlineStr">
        <is>
          <t>MAQUINAS_EQUIPAMENTOS</t>
        </is>
      </c>
      <c r="C320" s="4" t="inlineStr">
        <is>
          <t>1.2.03.01.004</t>
        </is>
      </c>
      <c r="D320" s="4" t="inlineStr">
        <is>
          <t>UPGN GUAMARE</t>
        </is>
      </c>
      <c r="E320" s="4" t="inlineStr">
        <is>
          <t>COMPRESSAO E RECEBIMENTO</t>
        </is>
      </c>
      <c r="F320" s="4" t="inlineStr">
        <is>
          <t>INFERIOR</t>
        </is>
      </c>
      <c r="G320" s="4" t="n">
        <v>1</v>
      </c>
      <c r="H320" s="5" t="n">
        <v>2623410906.838174</v>
      </c>
      <c r="I320" s="5" t="n">
        <v>2623484155.199984</v>
      </c>
      <c r="J320" s="5" t="n">
        <v>179622.99</v>
      </c>
      <c r="K320" s="4" t="inlineStr">
        <is>
          <t>S</t>
        </is>
      </c>
      <c r="L320" s="4" t="inlineStr">
        <is>
          <t>2025-09-30</t>
        </is>
      </c>
      <c r="M320" s="5" t="n">
        <v>179622.99</v>
      </c>
      <c r="N320" s="5">
        <f>J320-M320</f>
        <v/>
      </c>
      <c r="O320" s="6">
        <f>IF(F320="INFERIOR",N320/J320,"")</f>
        <v/>
      </c>
      <c r="P320" s="5">
        <f>IF(F320="INFERIOR",O320*MUS_parametros!$B$18,N320)</f>
        <v/>
      </c>
      <c r="Q320" s="4" t="inlineStr">
        <is>
          <t>Documento confere com o registro</t>
        </is>
      </c>
    </row>
    <row r="321">
      <c r="A321" s="4" t="inlineStr">
        <is>
          <t>IMB-0214133</t>
        </is>
      </c>
      <c r="B321" s="4" t="inlineStr">
        <is>
          <t>ALMOXARIFADO_INVERSOES_FIXAS</t>
        </is>
      </c>
      <c r="C321" s="4" t="inlineStr">
        <is>
          <t>1.2.03.07.001</t>
        </is>
      </c>
      <c r="D321" s="4" t="inlineStr">
        <is>
          <t>TARTARUGA</t>
        </is>
      </c>
      <c r="E321" s="4" t="inlineStr">
        <is>
          <t>TUBO DE REVESTIMENTO/PRODUCAO (LOTE)</t>
        </is>
      </c>
      <c r="F321" s="4" t="inlineStr">
        <is>
          <t>INFERIOR</t>
        </is>
      </c>
      <c r="G321" s="4" t="n">
        <v>1</v>
      </c>
      <c r="H321" s="5" t="n">
        <v>2629143906.838174</v>
      </c>
      <c r="I321" s="5" t="n">
        <v>2629145209.789986</v>
      </c>
      <c r="J321" s="5" t="n">
        <v>4432.97</v>
      </c>
      <c r="K321" s="4" t="inlineStr">
        <is>
          <t>S</t>
        </is>
      </c>
      <c r="L321" s="4" t="inlineStr">
        <is>
          <t>2025-01-02</t>
        </is>
      </c>
      <c r="M321" s="5" t="n">
        <v>4432.97</v>
      </c>
      <c r="N321" s="5">
        <f>J321-M321</f>
        <v/>
      </c>
      <c r="O321" s="6">
        <f>IF(F321="INFERIOR",N321/J321,"")</f>
        <v/>
      </c>
      <c r="P321" s="5">
        <f>IF(F321="INFERIOR",O321*MUS_parametros!$B$18,N321)</f>
        <v/>
      </c>
      <c r="Q321" s="4" t="inlineStr">
        <is>
          <t>Documento confere com o registro</t>
        </is>
      </c>
    </row>
    <row r="322">
      <c r="A322" s="4" t="inlineStr">
        <is>
          <t>IMB-0214861</t>
        </is>
      </c>
      <c r="B322" s="4" t="inlineStr">
        <is>
          <t>DIREITO_PRODUCAO_OLEO_GAS</t>
        </is>
      </c>
      <c r="C322" s="4" t="inlineStr">
        <is>
          <t>1.2.03.03.004</t>
        </is>
      </c>
      <c r="D322" s="4" t="inlineStr">
        <is>
          <t>ACAUA</t>
        </is>
      </c>
      <c r="E322" s="4" t="inlineStr">
        <is>
          <t>CUSTO DE AQUISICAO DA CONCESSAO</t>
        </is>
      </c>
      <c r="F322" s="4" t="inlineStr">
        <is>
          <t>SUPERIOR (VC &gt;= I)</t>
        </is>
      </c>
      <c r="G322" s="4" t="n">
        <v>3</v>
      </c>
      <c r="H322" s="5" t="n">
        <v>2634876906.838174</v>
      </c>
      <c r="I322" s="5" t="n">
        <v>2647813520.309989</v>
      </c>
      <c r="J322" s="5" t="n">
        <v>13008553.07</v>
      </c>
      <c r="K322" s="4" t="inlineStr">
        <is>
          <t>S</t>
        </is>
      </c>
      <c r="L322" s="4" t="inlineStr">
        <is>
          <t>2019-12-09</t>
        </is>
      </c>
      <c r="M322" s="5" t="n">
        <v>13008553.07</v>
      </c>
      <c r="N322" s="5">
        <f>J322-M322</f>
        <v/>
      </c>
      <c r="O322" s="6">
        <f>IF(F322="INFERIOR",N322/J322,"")</f>
        <v/>
      </c>
      <c r="P322" s="5">
        <f>IF(F322="INFERIOR",O322*MUS_parametros!$B$18,N322)</f>
        <v/>
      </c>
      <c r="Q322" s="4" t="inlineStr">
        <is>
          <t>Documento confere com o registro</t>
        </is>
      </c>
    </row>
    <row r="323">
      <c r="A323" s="4" t="inlineStr">
        <is>
          <t>IMB-0215369</t>
        </is>
      </c>
      <c r="B323" s="4" t="inlineStr">
        <is>
          <t>DESENVOLVIMENTO_CAMPOS</t>
        </is>
      </c>
      <c r="C323" s="4" t="inlineStr">
        <is>
          <t>1.2.03.04.001</t>
        </is>
      </c>
      <c r="D323" s="4" t="inlineStr">
        <is>
          <t>BREJINHO</t>
        </is>
      </c>
      <c r="E323" s="4" t="inlineStr">
        <is>
          <t>PERFURACAO E COMPLETACAO</t>
        </is>
      </c>
      <c r="F323" s="4" t="inlineStr">
        <is>
          <t>INFERIOR</t>
        </is>
      </c>
      <c r="G323" s="4" t="n">
        <v>1</v>
      </c>
      <c r="H323" s="5" t="n">
        <v>2652075906.838174</v>
      </c>
      <c r="I323" s="5" t="n">
        <v>2652577425.15999</v>
      </c>
      <c r="J323" s="5" t="n">
        <v>582562.3</v>
      </c>
      <c r="K323" s="4" t="inlineStr">
        <is>
          <t>S</t>
        </is>
      </c>
      <c r="L323" s="4" t="inlineStr">
        <is>
          <t>2025-11-20</t>
        </is>
      </c>
      <c r="M323" s="5" t="n">
        <v>582562.3</v>
      </c>
      <c r="N323" s="5">
        <f>J323-M323</f>
        <v/>
      </c>
      <c r="O323" s="6">
        <f>IF(F323="INFERIOR",N323/J323,"")</f>
        <v/>
      </c>
      <c r="P323" s="5">
        <f>IF(F323="INFERIOR",O323*MUS_parametros!$B$18,N323)</f>
        <v/>
      </c>
      <c r="Q323" s="4" t="inlineStr">
        <is>
          <t>Documento confere com o registro</t>
        </is>
      </c>
    </row>
    <row r="324">
      <c r="A324" s="4" t="inlineStr">
        <is>
          <t>IMB-0216002</t>
        </is>
      </c>
      <c r="B324" s="4" t="inlineStr">
        <is>
          <t>ALMOXARIFADO_INVERSOES_FIXAS</t>
        </is>
      </c>
      <c r="C324" s="4" t="inlineStr">
        <is>
          <t>1.2.03.07.001</t>
        </is>
      </c>
      <c r="D324" s="4" t="inlineStr">
        <is>
          <t>MIRANGA NORTE</t>
        </is>
      </c>
      <c r="E324" s="4" t="inlineStr">
        <is>
          <t>TUBO DE REVESTIMENTO/PRODUCAO (LOTE)</t>
        </is>
      </c>
      <c r="F324" s="4" t="inlineStr">
        <is>
          <t>INFERIOR</t>
        </is>
      </c>
      <c r="G324" s="4" t="n">
        <v>1</v>
      </c>
      <c r="H324" s="5" t="n">
        <v>2657808906.838174</v>
      </c>
      <c r="I324" s="5" t="n">
        <v>2657811306.849988</v>
      </c>
      <c r="J324" s="5" t="n">
        <v>9948.290000000001</v>
      </c>
      <c r="K324" s="4" t="inlineStr">
        <is>
          <t>S</t>
        </is>
      </c>
      <c r="L324" s="4" t="inlineStr">
        <is>
          <t>2025-02-06</t>
        </is>
      </c>
      <c r="M324" s="5" t="n">
        <v>9948.290000000001</v>
      </c>
      <c r="N324" s="5">
        <f>J324-M324</f>
        <v/>
      </c>
      <c r="O324" s="6">
        <f>IF(F324="INFERIOR",N324/J324,"")</f>
        <v/>
      </c>
      <c r="P324" s="5">
        <f>IF(F324="INFERIOR",O324*MUS_parametros!$B$18,N324)</f>
        <v/>
      </c>
      <c r="Q324" s="4" t="inlineStr">
        <is>
          <t>Documento confere com o registro</t>
        </is>
      </c>
    </row>
    <row r="325">
      <c r="A325" s="4" t="inlineStr">
        <is>
          <t>IMB-0217209</t>
        </is>
      </c>
      <c r="B325" s="4" t="inlineStr">
        <is>
          <t>DIREITO_PRODUCAO_OLEO_GAS</t>
        </is>
      </c>
      <c r="C325" s="4" t="inlineStr">
        <is>
          <t>1.2.03.03.002</t>
        </is>
      </c>
      <c r="D325" s="4" t="inlineStr">
        <is>
          <t>ACAJA-BURIZINHO</t>
        </is>
      </c>
      <c r="E325" s="4" t="inlineStr">
        <is>
          <t>CUSTO DE AQUISICAO DA CONCESSAO</t>
        </is>
      </c>
      <c r="F325" s="4" t="inlineStr">
        <is>
          <t>INFERIOR</t>
        </is>
      </c>
      <c r="G325" s="4" t="n">
        <v>1</v>
      </c>
      <c r="H325" s="5" t="n">
        <v>2663541906.838174</v>
      </c>
      <c r="I325" s="5" t="n">
        <v>2663625925.029995</v>
      </c>
      <c r="J325" s="5" t="n">
        <v>184359.35</v>
      </c>
      <c r="K325" s="4" t="inlineStr">
        <is>
          <t>S</t>
        </is>
      </c>
      <c r="L325" s="4" t="inlineStr">
        <is>
          <t>2003-06-01</t>
        </is>
      </c>
      <c r="M325" s="5" t="n">
        <v>184359.35</v>
      </c>
      <c r="N325" s="5">
        <f>J325-M325</f>
        <v/>
      </c>
      <c r="O325" s="6">
        <f>IF(F325="INFERIOR",N325/J325,"")</f>
        <v/>
      </c>
      <c r="P325" s="5">
        <f>IF(F325="INFERIOR",O325*MUS_parametros!$B$18,N325)</f>
        <v/>
      </c>
      <c r="Q325" s="4" t="inlineStr">
        <is>
          <t>Documento confere com o registro</t>
        </is>
      </c>
    </row>
    <row r="326">
      <c r="A326" s="4" t="inlineStr">
        <is>
          <t>IMB-0217971</t>
        </is>
      </c>
      <c r="B326" s="4" t="inlineStr">
        <is>
          <t>DESENVOLVIMENTO_CAMPOS</t>
        </is>
      </c>
      <c r="C326" s="4" t="inlineStr">
        <is>
          <t>1.2.03.04.001</t>
        </is>
      </c>
      <c r="D326" s="4" t="inlineStr">
        <is>
          <t>TIE</t>
        </is>
      </c>
      <c r="E326" s="4" t="inlineStr">
        <is>
          <t>PERFURACAO E COMPLETACAO</t>
        </is>
      </c>
      <c r="F326" s="4" t="inlineStr">
        <is>
          <t>INFERIOR</t>
        </is>
      </c>
      <c r="G326" s="4" t="n">
        <v>1</v>
      </c>
      <c r="H326" s="5" t="n">
        <v>2669274906.838174</v>
      </c>
      <c r="I326" s="5" t="n">
        <v>2669521981.189998</v>
      </c>
      <c r="J326" s="5" t="n">
        <v>1367484.05</v>
      </c>
      <c r="K326" s="4" t="inlineStr">
        <is>
          <t>S</t>
        </is>
      </c>
      <c r="L326" s="4" t="inlineStr">
        <is>
          <t>2025-06-21</t>
        </is>
      </c>
      <c r="M326" s="5" t="n">
        <v>1367484.05</v>
      </c>
      <c r="N326" s="5">
        <f>J326-M326</f>
        <v/>
      </c>
      <c r="O326" s="6">
        <f>IF(F326="INFERIOR",N326/J326,"")</f>
        <v/>
      </c>
      <c r="P326" s="5">
        <f>IF(F326="INFERIOR",O326*MUS_parametros!$B$18,N326)</f>
        <v/>
      </c>
      <c r="Q326" s="4" t="inlineStr">
        <is>
          <t>Documento confere com o registro</t>
        </is>
      </c>
    </row>
    <row r="327">
      <c r="A327" s="4" t="inlineStr">
        <is>
          <t>IMB-0218859</t>
        </is>
      </c>
      <c r="B327" s="4" t="inlineStr">
        <is>
          <t>ALMOXARIFADO_INVERSOES_FIXAS</t>
        </is>
      </c>
      <c r="C327" s="4" t="inlineStr">
        <is>
          <t>1.2.03.07.001</t>
        </is>
      </c>
      <c r="D327" s="4" t="inlineStr">
        <is>
          <t>RIACHO SAO PEDRO</t>
        </is>
      </c>
      <c r="E327" s="4" t="inlineStr">
        <is>
          <t>TUBO DE REVESTIMENTO/PRODUCAO (LOTE)</t>
        </is>
      </c>
      <c r="F327" s="4" t="inlineStr">
        <is>
          <t>INFERIOR</t>
        </is>
      </c>
      <c r="G327" s="4" t="n">
        <v>1</v>
      </c>
      <c r="H327" s="5" t="n">
        <v>2675007906.838174</v>
      </c>
      <c r="I327" s="5" t="n">
        <v>2675010266.060002</v>
      </c>
      <c r="J327" s="5" t="n">
        <v>5843.7</v>
      </c>
      <c r="K327" s="4" t="inlineStr">
        <is>
          <t>S</t>
        </is>
      </c>
      <c r="L327" s="4" t="inlineStr">
        <is>
          <t>2022-08-29</t>
        </is>
      </c>
      <c r="M327" s="5" t="n">
        <v>5843.7</v>
      </c>
      <c r="N327" s="5">
        <f>J327-M327</f>
        <v/>
      </c>
      <c r="O327" s="6">
        <f>IF(F327="INFERIOR",N327/J327,"")</f>
        <v/>
      </c>
      <c r="P327" s="5">
        <f>IF(F327="INFERIOR",O327*MUS_parametros!$B$18,N327)</f>
        <v/>
      </c>
      <c r="Q327" s="4" t="inlineStr">
        <is>
          <t>Documento confere com o registro</t>
        </is>
      </c>
    </row>
    <row r="328">
      <c r="A328" s="4" t="inlineStr">
        <is>
          <t>IMB-0219809</t>
        </is>
      </c>
      <c r="B328" s="4" t="inlineStr">
        <is>
          <t>DESENVOLVIMENTO_CAMPOS</t>
        </is>
      </c>
      <c r="C328" s="4" t="inlineStr">
        <is>
          <t>1.2.03.04.001</t>
        </is>
      </c>
      <c r="D328" s="4" t="inlineStr">
        <is>
          <t>FAZENDA ONCA</t>
        </is>
      </c>
      <c r="E328" s="4" t="inlineStr">
        <is>
          <t>PERFURACAO E COMPLETACAO</t>
        </is>
      </c>
      <c r="F328" s="4" t="inlineStr">
        <is>
          <t>INFERIOR</t>
        </is>
      </c>
      <c r="G328" s="4" t="n">
        <v>1</v>
      </c>
      <c r="H328" s="5" t="n">
        <v>2680740906.838174</v>
      </c>
      <c r="I328" s="5" t="n">
        <v>2680929003.499999</v>
      </c>
      <c r="J328" s="5" t="n">
        <v>245690.53</v>
      </c>
      <c r="K328" s="4" t="inlineStr">
        <is>
          <t>S</t>
        </is>
      </c>
      <c r="L328" s="4" t="inlineStr">
        <is>
          <t>2022-03-09</t>
        </is>
      </c>
      <c r="M328" s="5" t="n">
        <v>245690.53</v>
      </c>
      <c r="N328" s="5">
        <f>J328-M328</f>
        <v/>
      </c>
      <c r="O328" s="6">
        <f>IF(F328="INFERIOR",N328/J328,"")</f>
        <v/>
      </c>
      <c r="P328" s="5">
        <f>IF(F328="INFERIOR",O328*MUS_parametros!$B$18,N328)</f>
        <v/>
      </c>
      <c r="Q328" s="4" t="inlineStr">
        <is>
          <t>Documento confere com o registro</t>
        </is>
      </c>
    </row>
    <row r="329">
      <c r="A329" s="4" t="inlineStr">
        <is>
          <t>IMB-0220240</t>
        </is>
      </c>
      <c r="B329" s="4" t="inlineStr">
        <is>
          <t>DESENVOLVIMENTO_CAMPOS</t>
        </is>
      </c>
      <c r="C329" s="4" t="inlineStr">
        <is>
          <t>1.2.03.04.004</t>
        </is>
      </c>
      <c r="D329" s="4" t="inlineStr">
        <is>
          <t>TIE</t>
        </is>
      </c>
      <c r="E329" s="4" t="inlineStr">
        <is>
          <t>LINHA DE SURGENCIA E MANIFOLD</t>
        </is>
      </c>
      <c r="F329" s="4" t="inlineStr">
        <is>
          <t>INFERIOR</t>
        </is>
      </c>
      <c r="G329" s="4" t="n">
        <v>1</v>
      </c>
      <c r="H329" s="5" t="n">
        <v>2686473906.838174</v>
      </c>
      <c r="I329" s="5" t="n">
        <v>2686478843.589997</v>
      </c>
      <c r="J329" s="5" t="n">
        <v>23644.88</v>
      </c>
      <c r="K329" s="4" t="inlineStr">
        <is>
          <t>S</t>
        </is>
      </c>
      <c r="L329" s="4" t="inlineStr">
        <is>
          <t>2025-11-15</t>
        </is>
      </c>
      <c r="M329" s="5" t="n">
        <v>23644.88</v>
      </c>
      <c r="N329" s="5">
        <f>J329-M329</f>
        <v/>
      </c>
      <c r="O329" s="6">
        <f>IF(F329="INFERIOR",N329/J329,"")</f>
        <v/>
      </c>
      <c r="P329" s="5">
        <f>IF(F329="INFERIOR",O329*MUS_parametros!$B$18,N329)</f>
        <v/>
      </c>
      <c r="Q329" s="4" t="inlineStr">
        <is>
          <t>Documento confere com o registro</t>
        </is>
      </c>
    </row>
    <row r="330">
      <c r="A330" s="4" t="inlineStr">
        <is>
          <t>IMB-0221023</t>
        </is>
      </c>
      <c r="B330" s="4" t="inlineStr">
        <is>
          <t>DESENVOLVIMENTO_CAMPOS</t>
        </is>
      </c>
      <c r="C330" s="4" t="inlineStr">
        <is>
          <t>1.2.03.04.001</t>
        </is>
      </c>
      <c r="D330" s="4" t="inlineStr">
        <is>
          <t>JACUIPE</t>
        </is>
      </c>
      <c r="E330" s="4" t="inlineStr">
        <is>
          <t>PERFURACAO E COMPLETACAO</t>
        </is>
      </c>
      <c r="F330" s="4" t="inlineStr">
        <is>
          <t>INFERIOR</t>
        </is>
      </c>
      <c r="G330" s="4" t="n">
        <v>1</v>
      </c>
      <c r="H330" s="5" t="n">
        <v>2692206906.838174</v>
      </c>
      <c r="I330" s="5" t="n">
        <v>2692291417.189999</v>
      </c>
      <c r="J330" s="5" t="n">
        <v>85792.83</v>
      </c>
      <c r="K330" s="4" t="inlineStr">
        <is>
          <t>S</t>
        </is>
      </c>
      <c r="L330" s="4" t="inlineStr">
        <is>
          <t>2025-09-23</t>
        </is>
      </c>
      <c r="M330" s="5" t="n">
        <v>85792.83</v>
      </c>
      <c r="N330" s="5">
        <f>J330-M330</f>
        <v/>
      </c>
      <c r="O330" s="6">
        <f>IF(F330="INFERIOR",N330/J330,"")</f>
        <v/>
      </c>
      <c r="P330" s="5">
        <f>IF(F330="INFERIOR",O330*MUS_parametros!$B$18,N330)</f>
        <v/>
      </c>
      <c r="Q330" s="4" t="inlineStr">
        <is>
          <t>Documento confere com o registro</t>
        </is>
      </c>
    </row>
    <row r="331">
      <c r="A331" s="4" t="inlineStr">
        <is>
          <t>IMB-0221632</t>
        </is>
      </c>
      <c r="B331" s="4" t="inlineStr">
        <is>
          <t>MAQUINAS_EQUIPAMENTOS</t>
        </is>
      </c>
      <c r="C331" s="4" t="inlineStr">
        <is>
          <t>1.2.03.01.001</t>
        </is>
      </c>
      <c r="D331" s="4" t="inlineStr">
        <is>
          <t>POT-CONC-15 (SINTETICO)</t>
        </is>
      </c>
      <c r="E331" s="4" t="inlineStr">
        <is>
          <t>COMPONENTE DE SONDA PROPRIA (PERFURACAO/PRODUCAO)</t>
        </is>
      </c>
      <c r="F331" s="4" t="inlineStr">
        <is>
          <t>INFERIOR</t>
        </is>
      </c>
      <c r="G331" s="4" t="n">
        <v>1</v>
      </c>
      <c r="H331" s="5" t="n">
        <v>2697939906.838174</v>
      </c>
      <c r="I331" s="5" t="n">
        <v>2697984467.590003</v>
      </c>
      <c r="J331" s="5" t="n">
        <v>60125.21</v>
      </c>
      <c r="K331" s="4" t="inlineStr">
        <is>
          <t>S</t>
        </is>
      </c>
      <c r="L331" s="4" t="inlineStr">
        <is>
          <t>2013-04-01</t>
        </is>
      </c>
      <c r="M331" s="5" t="n">
        <v>60125.21</v>
      </c>
      <c r="N331" s="5">
        <f>J331-M331</f>
        <v/>
      </c>
      <c r="O331" s="6">
        <f>IF(F331="INFERIOR",N331/J331,"")</f>
        <v/>
      </c>
      <c r="P331" s="5">
        <f>IF(F331="INFERIOR",O331*MUS_parametros!$B$18,N331)</f>
        <v/>
      </c>
      <c r="Q331" s="4" t="inlineStr">
        <is>
          <t>Documento confere com o registro</t>
        </is>
      </c>
    </row>
    <row r="332">
      <c r="A332" s="4" t="inlineStr">
        <is>
          <t>IMB-0222681</t>
        </is>
      </c>
      <c r="B332" s="4" t="inlineStr">
        <is>
          <t>DESENVOLVIMENTO_CAMPOS</t>
        </is>
      </c>
      <c r="C332" s="4" t="inlineStr">
        <is>
          <t>1.2.03.04.002</t>
        </is>
      </c>
      <c r="D332" s="4" t="inlineStr">
        <is>
          <t>FAZENDA ONCA</t>
        </is>
      </c>
      <c r="E332" s="4" t="inlineStr">
        <is>
          <t>WORKOVER / RECOMPLETACAO CAPITALIZADO</t>
        </is>
      </c>
      <c r="F332" s="4" t="inlineStr">
        <is>
          <t>INFERIOR</t>
        </is>
      </c>
      <c r="G332" s="4" t="n">
        <v>1</v>
      </c>
      <c r="H332" s="5" t="n">
        <v>2703672906.838174</v>
      </c>
      <c r="I332" s="5" t="n">
        <v>2703679528.009999</v>
      </c>
      <c r="J332" s="5" t="n">
        <v>7848.18</v>
      </c>
      <c r="K332" s="4" t="inlineStr">
        <is>
          <t>S</t>
        </is>
      </c>
      <c r="L332" s="4" t="inlineStr">
        <is>
          <t>2023-12-23</t>
        </is>
      </c>
      <c r="M332" s="5" t="n">
        <v>7848.18</v>
      </c>
      <c r="N332" s="5">
        <f>J332-M332</f>
        <v/>
      </c>
      <c r="O332" s="6">
        <f>IF(F332="INFERIOR",N332/J332,"")</f>
        <v/>
      </c>
      <c r="P332" s="5">
        <f>IF(F332="INFERIOR",O332*MUS_parametros!$B$18,N332)</f>
        <v/>
      </c>
      <c r="Q332" s="4" t="inlineStr">
        <is>
          <t>Documento confere com o registro</t>
        </is>
      </c>
    </row>
    <row r="333">
      <c r="A333" s="4" t="inlineStr">
        <is>
          <t>IMB-0223608</t>
        </is>
      </c>
      <c r="B333" s="4" t="inlineStr">
        <is>
          <t>DESENVOLVIMENTO_CAMPOS</t>
        </is>
      </c>
      <c r="C333" s="4" t="inlineStr">
        <is>
          <t>1.2.03.04.001</t>
        </is>
      </c>
      <c r="D333" s="4" t="inlineStr">
        <is>
          <t>JACUIPE</t>
        </is>
      </c>
      <c r="E333" s="4" t="inlineStr">
        <is>
          <t>PERFURACAO E COMPLETACAO</t>
        </is>
      </c>
      <c r="F333" s="4" t="inlineStr">
        <is>
          <t>INFERIOR</t>
        </is>
      </c>
      <c r="G333" s="4" t="n">
        <v>1</v>
      </c>
      <c r="H333" s="5" t="n">
        <v>2709405906.838174</v>
      </c>
      <c r="I333" s="5" t="n">
        <v>2709419201.199997</v>
      </c>
      <c r="J333" s="5" t="n">
        <v>111642.92</v>
      </c>
      <c r="K333" s="4" t="inlineStr">
        <is>
          <t>S</t>
        </is>
      </c>
      <c r="L333" s="4" t="inlineStr">
        <is>
          <t>2025-08-02</t>
        </is>
      </c>
      <c r="M333" s="5" t="n">
        <v>111642.92</v>
      </c>
      <c r="N333" s="5">
        <f>J333-M333</f>
        <v/>
      </c>
      <c r="O333" s="6">
        <f>IF(F333="INFERIOR",N333/J333,"")</f>
        <v/>
      </c>
      <c r="P333" s="5">
        <f>IF(F333="INFERIOR",O333*MUS_parametros!$B$18,N333)</f>
        <v/>
      </c>
      <c r="Q333" s="4" t="inlineStr">
        <is>
          <t>Documento confere com o registro</t>
        </is>
      </c>
    </row>
    <row r="334">
      <c r="A334" s="4" t="inlineStr">
        <is>
          <t>IMB-0224753</t>
        </is>
      </c>
      <c r="B334" s="4" t="inlineStr">
        <is>
          <t>ALMOXARIFADO_INVERSOES_FIXAS</t>
        </is>
      </c>
      <c r="C334" s="4" t="inlineStr">
        <is>
          <t>1.2.03.07.002</t>
        </is>
      </c>
      <c r="D334" s="4" t="inlineStr">
        <is>
          <t>RIO MOSSORO</t>
        </is>
      </c>
      <c r="E334" s="4" t="inlineStr">
        <is>
          <t>BOMBA DE FUNDO EM ESTOQUE</t>
        </is>
      </c>
      <c r="F334" s="4" t="inlineStr">
        <is>
          <t>INFERIOR</t>
        </is>
      </c>
      <c r="G334" s="4" t="n">
        <v>1</v>
      </c>
      <c r="H334" s="5" t="n">
        <v>2715138906.838174</v>
      </c>
      <c r="I334" s="5" t="n">
        <v>2715150794.789999</v>
      </c>
      <c r="J334" s="5" t="n">
        <v>15526.43</v>
      </c>
      <c r="K334" s="4" t="inlineStr">
        <is>
          <t>S</t>
        </is>
      </c>
      <c r="L334" s="4" t="inlineStr">
        <is>
          <t>2024-08-12</t>
        </is>
      </c>
      <c r="M334" s="5" t="n">
        <v>15526.43</v>
      </c>
      <c r="N334" s="5">
        <f>J334-M334</f>
        <v/>
      </c>
      <c r="O334" s="6">
        <f>IF(F334="INFERIOR",N334/J334,"")</f>
        <v/>
      </c>
      <c r="P334" s="5">
        <f>IF(F334="INFERIOR",O334*MUS_parametros!$B$18,N334)</f>
        <v/>
      </c>
      <c r="Q334" s="4" t="inlineStr">
        <is>
          <t>Documento confere com o registro</t>
        </is>
      </c>
    </row>
    <row r="335">
      <c r="A335" s="4" t="inlineStr">
        <is>
          <t>IMB-0225083</t>
        </is>
      </c>
      <c r="B335" s="4" t="inlineStr">
        <is>
          <t>IMOBILIZADO_EM_ANDAMENTO</t>
        </is>
      </c>
      <c r="C335" s="4" t="inlineStr">
        <is>
          <t>1.2.03.02.002</t>
        </is>
      </c>
      <c r="D335" s="4" t="inlineStr">
        <is>
          <t>BIRIBA</t>
        </is>
      </c>
      <c r="E335" s="4" t="inlineStr">
        <is>
          <t>ORDEM DE INVESTIMENTO EM ANDAMENTO</t>
        </is>
      </c>
      <c r="F335" s="4" t="inlineStr">
        <is>
          <t>INFERIOR</t>
        </is>
      </c>
      <c r="G335" s="4" t="n">
        <v>1</v>
      </c>
      <c r="H335" s="5" t="n">
        <v>2720871906.838174</v>
      </c>
      <c r="I335" s="5" t="n">
        <v>2720873982.699996</v>
      </c>
      <c r="J335" s="5" t="n">
        <v>45627.34</v>
      </c>
      <c r="K335" s="4" t="inlineStr">
        <is>
          <t>S</t>
        </is>
      </c>
      <c r="L335" s="4" t="inlineStr">
        <is>
          <t>2025-06-09</t>
        </is>
      </c>
      <c r="M335" s="5" t="n">
        <v>45627.34</v>
      </c>
      <c r="N335" s="5">
        <f>J335-M335</f>
        <v/>
      </c>
      <c r="O335" s="6">
        <f>IF(F335="INFERIOR",N335/J335,"")</f>
        <v/>
      </c>
      <c r="P335" s="5">
        <f>IF(F335="INFERIOR",O335*MUS_parametros!$B$18,N335)</f>
        <v/>
      </c>
      <c r="Q335" s="4" t="inlineStr">
        <is>
          <t>Documento confere com o registro</t>
        </is>
      </c>
    </row>
    <row r="336">
      <c r="A336" s="4" t="inlineStr">
        <is>
          <t>IMB-0225976</t>
        </is>
      </c>
      <c r="B336" s="4" t="inlineStr">
        <is>
          <t>DESENVOLVIMENTO_CAMPOS</t>
        </is>
      </c>
      <c r="C336" s="4" t="inlineStr">
        <is>
          <t>1.2.03.04.001</t>
        </is>
      </c>
      <c r="D336" s="4" t="inlineStr">
        <is>
          <t>POT-CONC-01 (SINTETICO)</t>
        </is>
      </c>
      <c r="E336" s="4" t="inlineStr">
        <is>
          <t>PERFURACAO E COMPLETACAO</t>
        </is>
      </c>
      <c r="F336" s="4" t="inlineStr">
        <is>
          <t>INFERIOR</t>
        </is>
      </c>
      <c r="G336" s="4" t="n">
        <v>1</v>
      </c>
      <c r="H336" s="5" t="n">
        <v>2726604906.838174</v>
      </c>
      <c r="I336" s="5" t="n">
        <v>2726738037.709995</v>
      </c>
      <c r="J336" s="5" t="n">
        <v>188014.96</v>
      </c>
      <c r="K336" s="4" t="inlineStr">
        <is>
          <t>S</t>
        </is>
      </c>
      <c r="L336" s="4" t="inlineStr">
        <is>
          <t>2025-02-11</t>
        </is>
      </c>
      <c r="M336" s="5" t="n">
        <v>188014.96</v>
      </c>
      <c r="N336" s="5">
        <f>J336-M336</f>
        <v/>
      </c>
      <c r="O336" s="6">
        <f>IF(F336="INFERIOR",N336/J336,"")</f>
        <v/>
      </c>
      <c r="P336" s="5">
        <f>IF(F336="INFERIOR",O336*MUS_parametros!$B$18,N336)</f>
        <v/>
      </c>
      <c r="Q336" s="4" t="inlineStr">
        <is>
          <t>Documento confere com o registro</t>
        </is>
      </c>
    </row>
    <row r="337">
      <c r="A337" s="4" t="inlineStr">
        <is>
          <t>IMB-0226796</t>
        </is>
      </c>
      <c r="B337" s="4" t="inlineStr">
        <is>
          <t>DESENVOLVIMENTO_CAMPOS</t>
        </is>
      </c>
      <c r="C337" s="4" t="inlineStr">
        <is>
          <t>1.2.03.04.001</t>
        </is>
      </c>
      <c r="D337" s="4" t="inlineStr">
        <is>
          <t>SUSSUARANA</t>
        </is>
      </c>
      <c r="E337" s="4" t="inlineStr">
        <is>
          <t>PERFURACAO E COMPLETACAO</t>
        </is>
      </c>
      <c r="F337" s="4" t="inlineStr">
        <is>
          <t>INFERIOR</t>
        </is>
      </c>
      <c r="G337" s="4" t="n">
        <v>1</v>
      </c>
      <c r="H337" s="5" t="n">
        <v>2732337906.838174</v>
      </c>
      <c r="I337" s="5" t="n">
        <v>2732737138.269999</v>
      </c>
      <c r="J337" s="5" t="n">
        <v>724187.9399999999</v>
      </c>
      <c r="K337" s="4" t="inlineStr">
        <is>
          <t>S</t>
        </is>
      </c>
      <c r="L337" s="4" t="inlineStr">
        <is>
          <t>2023-11-02</t>
        </is>
      </c>
      <c r="M337" s="5" t="n">
        <v>724187.9399999999</v>
      </c>
      <c r="N337" s="5">
        <f>J337-M337</f>
        <v/>
      </c>
      <c r="O337" s="6">
        <f>IF(F337="INFERIOR",N337/J337,"")</f>
        <v/>
      </c>
      <c r="P337" s="5">
        <f>IF(F337="INFERIOR",O337*MUS_parametros!$B$18,N337)</f>
        <v/>
      </c>
      <c r="Q337" s="4" t="inlineStr">
        <is>
          <t>Documento confere com o registro</t>
        </is>
      </c>
    </row>
    <row r="338">
      <c r="A338" s="4" t="inlineStr">
        <is>
          <t>IMB-0227709</t>
        </is>
      </c>
      <c r="B338" s="4" t="inlineStr">
        <is>
          <t>DESENVOLVIMENTO_CAMPOS</t>
        </is>
      </c>
      <c r="C338" s="4" t="inlineStr">
        <is>
          <t>1.2.03.04.002</t>
        </is>
      </c>
      <c r="D338" s="4" t="inlineStr">
        <is>
          <t>POT-CONC-04 (SINTETICO)</t>
        </is>
      </c>
      <c r="E338" s="4" t="inlineStr">
        <is>
          <t>WORKOVER / RECOMPLETACAO CAPITALIZADO</t>
        </is>
      </c>
      <c r="F338" s="4" t="inlineStr">
        <is>
          <t>INFERIOR</t>
        </is>
      </c>
      <c r="G338" s="4" t="n">
        <v>1</v>
      </c>
      <c r="H338" s="5" t="n">
        <v>2738070906.838174</v>
      </c>
      <c r="I338" s="5" t="n">
        <v>2738076111.599996</v>
      </c>
      <c r="J338" s="5" t="n">
        <v>9413.790000000001</v>
      </c>
      <c r="K338" s="4" t="inlineStr">
        <is>
          <t>S</t>
        </is>
      </c>
      <c r="L338" s="4" t="inlineStr">
        <is>
          <t>2024-03-31</t>
        </is>
      </c>
      <c r="M338" s="5" t="n">
        <v>9413.790000000001</v>
      </c>
      <c r="N338" s="5">
        <f>J338-M338</f>
        <v/>
      </c>
      <c r="O338" s="6">
        <f>IF(F338="INFERIOR",N338/J338,"")</f>
        <v/>
      </c>
      <c r="P338" s="5">
        <f>IF(F338="INFERIOR",O338*MUS_parametros!$B$18,N338)</f>
        <v/>
      </c>
      <c r="Q338" s="4" t="inlineStr">
        <is>
          <t>Documento confere com o registro</t>
        </is>
      </c>
    </row>
    <row r="339">
      <c r="A339" s="4" t="inlineStr">
        <is>
          <t>IMB-0228442</t>
        </is>
      </c>
      <c r="B339" s="4" t="inlineStr">
        <is>
          <t>DIREITO_PRODUCAO_OLEO_GAS</t>
        </is>
      </c>
      <c r="C339" s="4" t="inlineStr">
        <is>
          <t>1.2.03.03.001</t>
        </is>
      </c>
      <c r="D339" s="4" t="inlineStr">
        <is>
          <t>REMANSO</t>
        </is>
      </c>
      <c r="E339" s="4" t="inlineStr">
        <is>
          <t>CUSTO DE AQUISICAO DA CONCESSAO</t>
        </is>
      </c>
      <c r="F339" s="4" t="inlineStr">
        <is>
          <t>SUPERIOR (VC &gt;= I)</t>
        </is>
      </c>
      <c r="G339" s="4" t="n">
        <v>4</v>
      </c>
      <c r="H339" s="5" t="n">
        <v>2743803906.838174</v>
      </c>
      <c r="I339" s="5" t="n">
        <v>2761487404.569987</v>
      </c>
      <c r="J339" s="5" t="n">
        <v>18764858.47</v>
      </c>
      <c r="K339" s="4" t="inlineStr">
        <is>
          <t>S</t>
        </is>
      </c>
      <c r="L339" s="4" t="inlineStr">
        <is>
          <t>2021-12-23</t>
        </is>
      </c>
      <c r="M339" s="5" t="n">
        <v>18764858.47</v>
      </c>
      <c r="N339" s="5">
        <f>J339-M339</f>
        <v/>
      </c>
      <c r="O339" s="6">
        <f>IF(F339="INFERIOR",N339/J339,"")</f>
        <v/>
      </c>
      <c r="P339" s="5">
        <f>IF(F339="INFERIOR",O339*MUS_parametros!$B$18,N339)</f>
        <v/>
      </c>
      <c r="Q339" s="4" t="inlineStr">
        <is>
          <t>Documento confere com o registro</t>
        </is>
      </c>
    </row>
    <row r="340">
      <c r="A340" s="4" t="inlineStr">
        <is>
          <t>IMB-0229275</t>
        </is>
      </c>
      <c r="B340" s="4" t="inlineStr">
        <is>
          <t>DESENVOLVIMENTO_CAMPOS</t>
        </is>
      </c>
      <c r="C340" s="4" t="inlineStr">
        <is>
          <t>1.2.03.04.001</t>
        </is>
      </c>
      <c r="D340" s="4" t="inlineStr">
        <is>
          <t>REMANSO</t>
        </is>
      </c>
      <c r="E340" s="4" t="inlineStr">
        <is>
          <t>PERFURACAO E COMPLETACAO</t>
        </is>
      </c>
      <c r="F340" s="4" t="inlineStr">
        <is>
          <t>INFERIOR</t>
        </is>
      </c>
      <c r="G340" s="4" t="n">
        <v>1</v>
      </c>
      <c r="H340" s="5" t="n">
        <v>2766735906.838174</v>
      </c>
      <c r="I340" s="5" t="n">
        <v>2767114847.879986</v>
      </c>
      <c r="J340" s="5" t="n">
        <v>432163.51</v>
      </c>
      <c r="K340" s="4" t="inlineStr">
        <is>
          <t>S</t>
        </is>
      </c>
      <c r="L340" s="4" t="inlineStr">
        <is>
          <t>2024-10-04</t>
        </is>
      </c>
      <c r="M340" s="5" t="n">
        <v>432163.51</v>
      </c>
      <c r="N340" s="5">
        <f>J340-M340</f>
        <v/>
      </c>
      <c r="O340" s="6">
        <f>IF(F340="INFERIOR",N340/J340,"")</f>
        <v/>
      </c>
      <c r="P340" s="5">
        <f>IF(F340="INFERIOR",O340*MUS_parametros!$B$18,N340)</f>
        <v/>
      </c>
      <c r="Q340" s="4" t="inlineStr">
        <is>
          <t>Documento confere com o registro</t>
        </is>
      </c>
    </row>
    <row r="341">
      <c r="A341" s="4" t="inlineStr">
        <is>
          <t>IMB-0229939</t>
        </is>
      </c>
      <c r="B341" s="4" t="inlineStr">
        <is>
          <t>DESENVOLVIMENTO_CAMPOS</t>
        </is>
      </c>
      <c r="C341" s="4" t="inlineStr">
        <is>
          <t>1.2.03.04.004</t>
        </is>
      </c>
      <c r="D341" s="4" t="inlineStr">
        <is>
          <t>JACUIPE</t>
        </is>
      </c>
      <c r="E341" s="4" t="inlineStr">
        <is>
          <t>LINHA DE SURGENCIA E MANIFOLD</t>
        </is>
      </c>
      <c r="F341" s="4" t="inlineStr">
        <is>
          <t>INFERIOR</t>
        </is>
      </c>
      <c r="G341" s="4" t="n">
        <v>1</v>
      </c>
      <c r="H341" s="5" t="n">
        <v>2772468906.838174</v>
      </c>
      <c r="I341" s="5" t="n">
        <v>2772477190.58999</v>
      </c>
      <c r="J341" s="5" t="n">
        <v>11942.57</v>
      </c>
      <c r="K341" s="4" t="inlineStr">
        <is>
          <t>S</t>
        </is>
      </c>
      <c r="L341" s="4" t="inlineStr">
        <is>
          <t>2024-08-14</t>
        </is>
      </c>
      <c r="M341" s="5" t="n">
        <v>11942.57</v>
      </c>
      <c r="N341" s="5">
        <f>J341-M341</f>
        <v/>
      </c>
      <c r="O341" s="6">
        <f>IF(F341="INFERIOR",N341/J341,"")</f>
        <v/>
      </c>
      <c r="P341" s="5">
        <f>IF(F341="INFERIOR",O341*MUS_parametros!$B$18,N341)</f>
        <v/>
      </c>
      <c r="Q341" s="4" t="inlineStr">
        <is>
          <t>Documento confere com o registro</t>
        </is>
      </c>
    </row>
    <row r="342">
      <c r="A342" s="4" t="inlineStr">
        <is>
          <t>IMB-0230789</t>
        </is>
      </c>
      <c r="B342" s="4" t="inlineStr">
        <is>
          <t>DESENVOLVIMENTO_CAMPOS</t>
        </is>
      </c>
      <c r="C342" s="4" t="inlineStr">
        <is>
          <t>1.2.03.04.001</t>
        </is>
      </c>
      <c r="D342" s="4" t="inlineStr">
        <is>
          <t>RIO MOSSORO</t>
        </is>
      </c>
      <c r="E342" s="4" t="inlineStr">
        <is>
          <t>PERFURACAO E COMPLETACAO</t>
        </is>
      </c>
      <c r="F342" s="4" t="inlineStr">
        <is>
          <t>INFERIOR</t>
        </is>
      </c>
      <c r="G342" s="4" t="n">
        <v>1</v>
      </c>
      <c r="H342" s="5" t="n">
        <v>2778201906.838174</v>
      </c>
      <c r="I342" s="5" t="n">
        <v>2778212922.109988</v>
      </c>
      <c r="J342" s="5" t="n">
        <v>67050.09</v>
      </c>
      <c r="K342" s="4" t="inlineStr">
        <is>
          <t>S</t>
        </is>
      </c>
      <c r="L342" s="4" t="inlineStr">
        <is>
          <t>2023-09-16</t>
        </is>
      </c>
      <c r="M342" s="5" t="n">
        <v>67050.09</v>
      </c>
      <c r="N342" s="5">
        <f>J342-M342</f>
        <v/>
      </c>
      <c r="O342" s="6">
        <f>IF(F342="INFERIOR",N342/J342,"")</f>
        <v/>
      </c>
      <c r="P342" s="5">
        <f>IF(F342="INFERIOR",O342*MUS_parametros!$B$18,N342)</f>
        <v/>
      </c>
      <c r="Q342" s="4" t="inlineStr">
        <is>
          <t>Documento confere com o registro</t>
        </is>
      </c>
    </row>
    <row r="343">
      <c r="A343" s="4" t="inlineStr">
        <is>
          <t>IMB-0231209</t>
        </is>
      </c>
      <c r="B343" s="4" t="inlineStr">
        <is>
          <t>DIREITO_PRODUCAO_OLEO_GAS</t>
        </is>
      </c>
      <c r="C343" s="4" t="inlineStr">
        <is>
          <t>1.2.03.03.001</t>
        </is>
      </c>
      <c r="D343" s="4" t="inlineStr">
        <is>
          <t>MATA DE SAO JOAO</t>
        </is>
      </c>
      <c r="E343" s="4" t="inlineStr">
        <is>
          <t>CUSTO DE AQUISICAO DA CONCESSAO</t>
        </is>
      </c>
      <c r="F343" s="4" t="inlineStr">
        <is>
          <t>SUPERIOR (VC &gt;= I)</t>
        </is>
      </c>
      <c r="G343" s="4" t="n">
        <v>1</v>
      </c>
      <c r="H343" s="5" t="n">
        <v>2783934906.838174</v>
      </c>
      <c r="I343" s="5" t="n">
        <v>2789624089.369987</v>
      </c>
      <c r="J343" s="5" t="n">
        <v>8395554.699999999</v>
      </c>
      <c r="K343" s="4" t="inlineStr">
        <is>
          <t>S</t>
        </is>
      </c>
      <c r="L343" s="4" t="inlineStr">
        <is>
          <t>2021-12-23</t>
        </is>
      </c>
      <c r="M343" s="5" t="n">
        <v>8395554.699999999</v>
      </c>
      <c r="N343" s="5">
        <f>J343-M343</f>
        <v/>
      </c>
      <c r="O343" s="6">
        <f>IF(F343="INFERIOR",N343/J343,"")</f>
        <v/>
      </c>
      <c r="P343" s="5">
        <f>IF(F343="INFERIOR",O343*MUS_parametros!$B$18,N343)</f>
        <v/>
      </c>
      <c r="Q343" s="4" t="inlineStr">
        <is>
          <t>Documento confere com o registro</t>
        </is>
      </c>
    </row>
    <row r="344">
      <c r="A344" s="4" t="inlineStr">
        <is>
          <t>IMB-0231222</t>
        </is>
      </c>
      <c r="B344" s="4" t="inlineStr">
        <is>
          <t>MAQUINAS_EQUIPAMENTOS</t>
        </is>
      </c>
      <c r="C344" s="4" t="inlineStr">
        <is>
          <t>1.2.03.01.002</t>
        </is>
      </c>
      <c r="D344" s="4" t="inlineStr">
        <is>
          <t>FAZENDA ONCA</t>
        </is>
      </c>
      <c r="E344" s="4" t="inlineStr">
        <is>
          <t>UNIDADE DE BOMBEIO MECANICO</t>
        </is>
      </c>
      <c r="F344" s="4" t="inlineStr">
        <is>
          <t>INFERIOR</t>
        </is>
      </c>
      <c r="G344" s="4" t="n">
        <v>1</v>
      </c>
      <c r="H344" s="5" t="n">
        <v>2789667906.838174</v>
      </c>
      <c r="I344" s="5" t="n">
        <v>2789674985.569988</v>
      </c>
      <c r="J344" s="5" t="n">
        <v>16975.9</v>
      </c>
      <c r="K344" s="4" t="inlineStr">
        <is>
          <t>S</t>
        </is>
      </c>
      <c r="L344" s="4" t="inlineStr">
        <is>
          <t>2017-09-07</t>
        </is>
      </c>
      <c r="M344" s="5" t="n">
        <v>16975.9</v>
      </c>
      <c r="N344" s="5">
        <f>J344-M344</f>
        <v/>
      </c>
      <c r="O344" s="6">
        <f>IF(F344="INFERIOR",N344/J344,"")</f>
        <v/>
      </c>
      <c r="P344" s="5">
        <f>IF(F344="INFERIOR",O344*MUS_parametros!$B$18,N344)</f>
        <v/>
      </c>
      <c r="Q344" s="4" t="inlineStr">
        <is>
          <t>Documento confere com o registro</t>
        </is>
      </c>
    </row>
    <row r="345">
      <c r="A345" s="4" t="inlineStr">
        <is>
          <t>IMB-0231581</t>
        </is>
      </c>
      <c r="B345" s="4" t="inlineStr">
        <is>
          <t>DIREITO_PRODUCAO_OLEO_GAS</t>
        </is>
      </c>
      <c r="C345" s="4" t="inlineStr">
        <is>
          <t>1.2.03.03.004</t>
        </is>
      </c>
      <c r="D345" s="4" t="inlineStr">
        <is>
          <t>POT-CONC-08 (SINTETICO)</t>
        </is>
      </c>
      <c r="E345" s="4" t="inlineStr">
        <is>
          <t>CUSTO DE AQUISICAO DA CONCESSAO</t>
        </is>
      </c>
      <c r="F345" s="4" t="inlineStr">
        <is>
          <t>SUPERIOR (VC &gt;= I)</t>
        </is>
      </c>
      <c r="G345" s="4" t="n">
        <v>4</v>
      </c>
      <c r="H345" s="5" t="n">
        <v>2795400906.838174</v>
      </c>
      <c r="I345" s="5" t="n">
        <v>2817444142.89999</v>
      </c>
      <c r="J345" s="5" t="n">
        <v>25423106.23</v>
      </c>
      <c r="K345" s="4" t="inlineStr">
        <is>
          <t>S</t>
        </is>
      </c>
      <c r="L345" s="4" t="inlineStr">
        <is>
          <t>2019-12-09</t>
        </is>
      </c>
      <c r="M345" s="5" t="n">
        <v>25423106.23</v>
      </c>
      <c r="N345" s="5">
        <f>J345-M345</f>
        <v/>
      </c>
      <c r="O345" s="6">
        <f>IF(F345="INFERIOR",N345/J345,"")</f>
        <v/>
      </c>
      <c r="P345" s="5">
        <f>IF(F345="INFERIOR",O345*MUS_parametros!$B$18,N345)</f>
        <v/>
      </c>
      <c r="Q345" s="4" t="inlineStr">
        <is>
          <t>Documento confere com o registro</t>
        </is>
      </c>
    </row>
    <row r="346">
      <c r="A346" s="4" t="inlineStr">
        <is>
          <t>IMB-0231782</t>
        </is>
      </c>
      <c r="B346" s="4" t="inlineStr">
        <is>
          <t>DESENVOLVIMENTO_CAMPOS</t>
        </is>
      </c>
      <c r="C346" s="4" t="inlineStr">
        <is>
          <t>1.2.03.04.002</t>
        </is>
      </c>
      <c r="D346" s="4" t="inlineStr">
        <is>
          <t>TARTARUGA</t>
        </is>
      </c>
      <c r="E346" s="4" t="inlineStr">
        <is>
          <t>WORKOVER / RECOMPLETACAO CAPITALIZADO</t>
        </is>
      </c>
      <c r="F346" s="4" t="inlineStr">
        <is>
          <t>INFERIOR</t>
        </is>
      </c>
      <c r="G346" s="4" t="n">
        <v>1</v>
      </c>
      <c r="H346" s="5" t="n">
        <v>2818332906.838174</v>
      </c>
      <c r="I346" s="5" t="n">
        <v>2818544960.919989</v>
      </c>
      <c r="J346" s="5" t="n">
        <v>242505.2</v>
      </c>
      <c r="K346" s="4" t="inlineStr">
        <is>
          <t>S</t>
        </is>
      </c>
      <c r="L346" s="4" t="inlineStr">
        <is>
          <t>2025-11-24</t>
        </is>
      </c>
      <c r="M346" s="5" t="n">
        <v>242505.2</v>
      </c>
      <c r="N346" s="5">
        <f>J346-M346</f>
        <v/>
      </c>
      <c r="O346" s="6">
        <f>IF(F346="INFERIOR",N346/J346,"")</f>
        <v/>
      </c>
      <c r="P346" s="5">
        <f>IF(F346="INFERIOR",O346*MUS_parametros!$B$18,N346)</f>
        <v/>
      </c>
      <c r="Q346" s="4" t="inlineStr">
        <is>
          <t>Documento confere com o registro</t>
        </is>
      </c>
    </row>
    <row r="347">
      <c r="A347" s="4" t="inlineStr">
        <is>
          <t>IMB-0232577</t>
        </is>
      </c>
      <c r="B347" s="4" t="inlineStr">
        <is>
          <t>DESENVOLVIMENTO_CAMPOS</t>
        </is>
      </c>
      <c r="C347" s="4" t="inlineStr">
        <is>
          <t>1.2.03.04.001</t>
        </is>
      </c>
      <c r="D347" s="4" t="inlineStr">
        <is>
          <t>MATA DE SAO JOAO</t>
        </is>
      </c>
      <c r="E347" s="4" t="inlineStr">
        <is>
          <t>PERFURACAO E COMPLETACAO</t>
        </is>
      </c>
      <c r="F347" s="4" t="inlineStr">
        <is>
          <t>INFERIOR</t>
        </is>
      </c>
      <c r="G347" s="4" t="n">
        <v>1</v>
      </c>
      <c r="H347" s="5" t="n">
        <v>2824065906.838174</v>
      </c>
      <c r="I347" s="5" t="n">
        <v>2824162344.159994</v>
      </c>
      <c r="J347" s="5" t="n">
        <v>374661.14</v>
      </c>
      <c r="K347" s="4" t="inlineStr">
        <is>
          <t>S</t>
        </is>
      </c>
      <c r="L347" s="4" t="inlineStr">
        <is>
          <t>2024-09-13</t>
        </is>
      </c>
      <c r="M347" s="5" t="n">
        <v>374661.14</v>
      </c>
      <c r="N347" s="5">
        <f>J347-M347</f>
        <v/>
      </c>
      <c r="O347" s="6">
        <f>IF(F347="INFERIOR",N347/J347,"")</f>
        <v/>
      </c>
      <c r="P347" s="5">
        <f>IF(F347="INFERIOR",O347*MUS_parametros!$B$18,N347)</f>
        <v/>
      </c>
      <c r="Q347" s="4" t="inlineStr">
        <is>
          <t>Documento confere com o registro</t>
        </is>
      </c>
    </row>
    <row r="348">
      <c r="A348" s="4" t="inlineStr">
        <is>
          <t>IMB-0233366</t>
        </is>
      </c>
      <c r="B348" s="4" t="inlineStr">
        <is>
          <t>DESENVOLVIMENTO_CAMPOS</t>
        </is>
      </c>
      <c r="C348" s="4" t="inlineStr">
        <is>
          <t>1.2.03.04.001</t>
        </is>
      </c>
      <c r="D348" s="4" t="inlineStr">
        <is>
          <t>LIVRAMENTO</t>
        </is>
      </c>
      <c r="E348" s="4" t="inlineStr">
        <is>
          <t>PERFURACAO E COMPLETACAO</t>
        </is>
      </c>
      <c r="F348" s="4" t="inlineStr">
        <is>
          <t>INFERIOR</t>
        </is>
      </c>
      <c r="G348" s="4" t="n">
        <v>1</v>
      </c>
      <c r="H348" s="5" t="n">
        <v>2829798906.838174</v>
      </c>
      <c r="I348" s="5" t="n">
        <v>2829803047.209998</v>
      </c>
      <c r="J348" s="5" t="n">
        <v>225584.27</v>
      </c>
      <c r="K348" s="4" t="inlineStr">
        <is>
          <t>S</t>
        </is>
      </c>
      <c r="L348" s="4" t="inlineStr">
        <is>
          <t>2025-01-23</t>
        </is>
      </c>
      <c r="M348" s="5" t="n">
        <v>225584.27</v>
      </c>
      <c r="N348" s="5">
        <f>J348-M348</f>
        <v/>
      </c>
      <c r="O348" s="6">
        <f>IF(F348="INFERIOR",N348/J348,"")</f>
        <v/>
      </c>
      <c r="P348" s="5">
        <f>IF(F348="INFERIOR",O348*MUS_parametros!$B$18,N348)</f>
        <v/>
      </c>
      <c r="Q348" s="4" t="inlineStr">
        <is>
          <t>Documento confere com o registro</t>
        </is>
      </c>
    </row>
    <row r="349">
      <c r="A349" s="4" t="inlineStr">
        <is>
          <t>IMB-0234167</t>
        </is>
      </c>
      <c r="B349" s="4" t="inlineStr">
        <is>
          <t>DESENVOLVIMENTO_CAMPOS</t>
        </is>
      </c>
      <c r="C349" s="4" t="inlineStr">
        <is>
          <t>1.2.03.04.001</t>
        </is>
      </c>
      <c r="D349" s="4" t="inlineStr">
        <is>
          <t>SAO PEDRO</t>
        </is>
      </c>
      <c r="E349" s="4" t="inlineStr">
        <is>
          <t>PERFURACAO E COMPLETACAO</t>
        </is>
      </c>
      <c r="F349" s="4" t="inlineStr">
        <is>
          <t>INFERIOR</t>
        </is>
      </c>
      <c r="G349" s="4" t="n">
        <v>1</v>
      </c>
      <c r="H349" s="5" t="n">
        <v>2835531906.838174</v>
      </c>
      <c r="I349" s="5" t="n">
        <v>2835535648.549997</v>
      </c>
      <c r="J349" s="5" t="n">
        <v>279336.05</v>
      </c>
      <c r="K349" s="4" t="inlineStr">
        <is>
          <t>S</t>
        </is>
      </c>
      <c r="L349" s="4" t="inlineStr">
        <is>
          <t>2025-06-01</t>
        </is>
      </c>
      <c r="M349" s="5" t="n">
        <v>279336.05</v>
      </c>
      <c r="N349" s="5">
        <f>J349-M349</f>
        <v/>
      </c>
      <c r="O349" s="6">
        <f>IF(F349="INFERIOR",N349/J349,"")</f>
        <v/>
      </c>
      <c r="P349" s="5">
        <f>IF(F349="INFERIOR",O349*MUS_parametros!$B$18,N349)</f>
        <v/>
      </c>
      <c r="Q349" s="4" t="inlineStr">
        <is>
          <t>Documento confere com o registro</t>
        </is>
      </c>
    </row>
    <row r="350">
      <c r="A350" s="4" t="inlineStr">
        <is>
          <t>IMB-0234660</t>
        </is>
      </c>
      <c r="B350" s="4" t="inlineStr">
        <is>
          <t>DESENVOLVIMENTO_CAMPOS</t>
        </is>
      </c>
      <c r="C350" s="4" t="inlineStr">
        <is>
          <t>1.2.03.04.001</t>
        </is>
      </c>
      <c r="D350" s="4" t="inlineStr">
        <is>
          <t>TARTARUGA</t>
        </is>
      </c>
      <c r="E350" s="4" t="inlineStr">
        <is>
          <t>PERFURACAO E COMPLETACAO</t>
        </is>
      </c>
      <c r="F350" s="4" t="inlineStr">
        <is>
          <t>INFERIOR</t>
        </is>
      </c>
      <c r="G350" s="4" t="n">
        <v>1</v>
      </c>
      <c r="H350" s="5" t="n">
        <v>2841264906.838174</v>
      </c>
      <c r="I350" s="5" t="n">
        <v>2842184132.82</v>
      </c>
      <c r="J350" s="5" t="n">
        <v>3062470.45</v>
      </c>
      <c r="K350" s="4" t="inlineStr">
        <is>
          <t>S</t>
        </is>
      </c>
      <c r="L350" s="4" t="inlineStr">
        <is>
          <t>2025-11-19</t>
        </is>
      </c>
      <c r="M350" s="5" t="n">
        <v>3062470.45</v>
      </c>
      <c r="N350" s="5">
        <f>J350-M350</f>
        <v/>
      </c>
      <c r="O350" s="6">
        <f>IF(F350="INFERIOR",N350/J350,"")</f>
        <v/>
      </c>
      <c r="P350" s="5">
        <f>IF(F350="INFERIOR",O350*MUS_parametros!$B$18,N350)</f>
        <v/>
      </c>
      <c r="Q350" s="4" t="inlineStr">
        <is>
          <t>Documento confere com o registro</t>
        </is>
      </c>
    </row>
    <row r="351">
      <c r="A351" s="4" t="inlineStr">
        <is>
          <t>IMB-0235356</t>
        </is>
      </c>
      <c r="B351" s="4" t="inlineStr">
        <is>
          <t>DESENVOLVIMENTO_CAMPOS</t>
        </is>
      </c>
      <c r="C351" s="4" t="inlineStr">
        <is>
          <t>1.2.03.04.001</t>
        </is>
      </c>
      <c r="D351" s="4" t="inlineStr">
        <is>
          <t>REMANSO</t>
        </is>
      </c>
      <c r="E351" s="4" t="inlineStr">
        <is>
          <t>PERFURACAO E COMPLETACAO</t>
        </is>
      </c>
      <c r="F351" s="4" t="inlineStr">
        <is>
          <t>INFERIOR</t>
        </is>
      </c>
      <c r="G351" s="4" t="n">
        <v>1</v>
      </c>
      <c r="H351" s="5" t="n">
        <v>2846997906.838174</v>
      </c>
      <c r="I351" s="5" t="n">
        <v>2846999637.750002</v>
      </c>
      <c r="J351" s="5" t="n">
        <v>40568.74</v>
      </c>
      <c r="K351" s="4" t="inlineStr">
        <is>
          <t>S</t>
        </is>
      </c>
      <c r="L351" s="4" t="inlineStr">
        <is>
          <t>2025-12-28</t>
        </is>
      </c>
      <c r="M351" s="5" t="n">
        <v>40568.74</v>
      </c>
      <c r="N351" s="5">
        <f>J351-M351</f>
        <v/>
      </c>
      <c r="O351" s="6">
        <f>IF(F351="INFERIOR",N351/J351,"")</f>
        <v/>
      </c>
      <c r="P351" s="5">
        <f>IF(F351="INFERIOR",O351*MUS_parametros!$B$18,N351)</f>
        <v/>
      </c>
      <c r="Q351" s="4" t="inlineStr">
        <is>
          <t>Documento confere com o registro</t>
        </is>
      </c>
    </row>
    <row r="352">
      <c r="A352" s="4" t="inlineStr">
        <is>
          <t>IMB-0236253</t>
        </is>
      </c>
      <c r="B352" s="4" t="inlineStr">
        <is>
          <t>OUTROS</t>
        </is>
      </c>
      <c r="C352" s="4" t="inlineStr">
        <is>
          <t>1.2.03.09.002</t>
        </is>
      </c>
      <c r="D352" s="4" t="inlineStr">
        <is>
          <t>POT-CONC-11 (SINTETICO)</t>
        </is>
      </c>
      <c r="E352" s="4" t="inlineStr">
        <is>
          <t>EDIFICACAO / BENFEITORIA</t>
        </is>
      </c>
      <c r="F352" s="4" t="inlineStr">
        <is>
          <t>INFERIOR</t>
        </is>
      </c>
      <c r="G352" s="4" t="n">
        <v>1</v>
      </c>
      <c r="H352" s="5" t="n">
        <v>2852730906.838174</v>
      </c>
      <c r="I352" s="5" t="n">
        <v>2852732195.95</v>
      </c>
      <c r="J352" s="5" t="n">
        <v>20937.77</v>
      </c>
      <c r="K352" s="4" t="inlineStr">
        <is>
          <t>S</t>
        </is>
      </c>
      <c r="L352" s="4" t="inlineStr">
        <is>
          <t>2023-06-20</t>
        </is>
      </c>
      <c r="M352" s="5" t="n">
        <v>20937.77</v>
      </c>
      <c r="N352" s="5">
        <f>J352-M352</f>
        <v/>
      </c>
      <c r="O352" s="6">
        <f>IF(F352="INFERIOR",N352/J352,"")</f>
        <v/>
      </c>
      <c r="P352" s="5">
        <f>IF(F352="INFERIOR",O352*MUS_parametros!$B$18,N352)</f>
        <v/>
      </c>
      <c r="Q352" s="4" t="inlineStr">
        <is>
          <t>Documento confere com o registro</t>
        </is>
      </c>
    </row>
    <row r="353">
      <c r="A353" s="4" t="inlineStr">
        <is>
          <t>IMB-0236974</t>
        </is>
      </c>
      <c r="B353" s="4" t="inlineStr">
        <is>
          <t>MAQUINAS_EQUIPAMENTOS</t>
        </is>
      </c>
      <c r="C353" s="4" t="inlineStr">
        <is>
          <t>1.2.03.01.001</t>
        </is>
      </c>
      <c r="D353" s="4" t="inlineStr">
        <is>
          <t>POT-CONC-12 (SINTETICO)</t>
        </is>
      </c>
      <c r="E353" s="4" t="inlineStr">
        <is>
          <t>COMPONENTE DE SONDA PROPRIA (PERFURACAO/PRODUCAO)</t>
        </is>
      </c>
      <c r="F353" s="4" t="inlineStr">
        <is>
          <t>INFERIOR</t>
        </is>
      </c>
      <c r="G353" s="4" t="n">
        <v>1</v>
      </c>
      <c r="H353" s="5" t="n">
        <v>2858463906.838174</v>
      </c>
      <c r="I353" s="5" t="n">
        <v>2858464311.420006</v>
      </c>
      <c r="J353" s="5" t="n">
        <v>3972.94</v>
      </c>
      <c r="K353" s="4" t="inlineStr">
        <is>
          <t>S</t>
        </is>
      </c>
      <c r="L353" s="4" t="inlineStr">
        <is>
          <t>2020-02-11</t>
        </is>
      </c>
      <c r="M353" s="5" t="n">
        <v>3972.94</v>
      </c>
      <c r="N353" s="5">
        <f>J353-M353</f>
        <v/>
      </c>
      <c r="O353" s="6">
        <f>IF(F353="INFERIOR",N353/J353,"")</f>
        <v/>
      </c>
      <c r="P353" s="5">
        <f>IF(F353="INFERIOR",O353*MUS_parametros!$B$18,N353)</f>
        <v/>
      </c>
      <c r="Q353" s="4" t="inlineStr">
        <is>
          <t>Documento confere com o registro</t>
        </is>
      </c>
    </row>
    <row r="354">
      <c r="A354" s="4" t="inlineStr">
        <is>
          <t>IMB-0237646</t>
        </is>
      </c>
      <c r="B354" s="4" t="inlineStr">
        <is>
          <t>DESENVOLVIMENTO_CAMPOS</t>
        </is>
      </c>
      <c r="C354" s="4" t="inlineStr">
        <is>
          <t>1.2.03.04.001</t>
        </is>
      </c>
      <c r="D354" s="4" t="inlineStr">
        <is>
          <t>TARTARUGA</t>
        </is>
      </c>
      <c r="E354" s="4" t="inlineStr">
        <is>
          <t>PERFURACAO E COMPLETACAO</t>
        </is>
      </c>
      <c r="F354" s="4" t="inlineStr">
        <is>
          <t>SUPERIOR (VC &gt;= I)</t>
        </is>
      </c>
      <c r="G354" s="4" t="n">
        <v>2</v>
      </c>
      <c r="H354" s="5" t="n">
        <v>2864196906.838174</v>
      </c>
      <c r="I354" s="5" t="n">
        <v>2870025149.250006</v>
      </c>
      <c r="J354" s="5" t="n">
        <v>6244404.64</v>
      </c>
      <c r="K354" s="4" t="inlineStr">
        <is>
          <t>S</t>
        </is>
      </c>
      <c r="L354" s="4" t="inlineStr">
        <is>
          <t>2025-10-12</t>
        </is>
      </c>
      <c r="M354" s="5" t="n">
        <v>6244404.64</v>
      </c>
      <c r="N354" s="5">
        <f>J354-M354</f>
        <v/>
      </c>
      <c r="O354" s="6">
        <f>IF(F354="INFERIOR",N354/J354,"")</f>
        <v/>
      </c>
      <c r="P354" s="5">
        <f>IF(F354="INFERIOR",O354*MUS_parametros!$B$18,N354)</f>
        <v/>
      </c>
      <c r="Q354" s="4" t="inlineStr">
        <is>
          <t>Documento confere com o registro</t>
        </is>
      </c>
    </row>
    <row r="355">
      <c r="A355" s="4" t="inlineStr">
        <is>
          <t>IMB-0238525</t>
        </is>
      </c>
      <c r="B355" s="4" t="inlineStr">
        <is>
          <t>DESENVOLVIMENTO_CAMPOS</t>
        </is>
      </c>
      <c r="C355" s="4" t="inlineStr">
        <is>
          <t>1.2.03.04.001</t>
        </is>
      </c>
      <c r="D355" s="4" t="inlineStr">
        <is>
          <t>SUSSUARANA</t>
        </is>
      </c>
      <c r="E355" s="4" t="inlineStr">
        <is>
          <t>PERFURACAO E COMPLETACAO</t>
        </is>
      </c>
      <c r="F355" s="4" t="inlineStr">
        <is>
          <t>INFERIOR</t>
        </is>
      </c>
      <c r="G355" s="4" t="n">
        <v>1</v>
      </c>
      <c r="H355" s="5" t="n">
        <v>2875662906.838174</v>
      </c>
      <c r="I355" s="5" t="n">
        <v>2875893968.040003</v>
      </c>
      <c r="J355" s="5" t="n">
        <v>241608.26</v>
      </c>
      <c r="K355" s="4" t="inlineStr">
        <is>
          <t>S</t>
        </is>
      </c>
      <c r="L355" s="4" t="inlineStr">
        <is>
          <t>2025-05-01</t>
        </is>
      </c>
      <c r="M355" s="5" t="n">
        <v>241608.26</v>
      </c>
      <c r="N355" s="5">
        <f>J355-M355</f>
        <v/>
      </c>
      <c r="O355" s="6">
        <f>IF(F355="INFERIOR",N355/J355,"")</f>
        <v/>
      </c>
      <c r="P355" s="5">
        <f>IF(F355="INFERIOR",O355*MUS_parametros!$B$18,N355)</f>
        <v/>
      </c>
      <c r="Q355" s="4" t="inlineStr">
        <is>
          <t>Documento confere com o registro</t>
        </is>
      </c>
    </row>
    <row r="356">
      <c r="A356" s="4" t="inlineStr">
        <is>
          <t>IMB-0239080</t>
        </is>
      </c>
      <c r="B356" s="4" t="inlineStr">
        <is>
          <t>DESENVOLVIMENTO_CAMPOS</t>
        </is>
      </c>
      <c r="C356" s="4" t="inlineStr">
        <is>
          <t>1.2.03.04.002</t>
        </is>
      </c>
      <c r="D356" s="4" t="inlineStr">
        <is>
          <t>LAGOA DO PAULO SUL</t>
        </is>
      </c>
      <c r="E356" s="4" t="inlineStr">
        <is>
          <t>FRATURAMENTO / ESTIMULACAO CAPITALIZADA</t>
        </is>
      </c>
      <c r="F356" s="4" t="inlineStr">
        <is>
          <t>INFERIOR</t>
        </is>
      </c>
      <c r="G356" s="4" t="n">
        <v>1</v>
      </c>
      <c r="H356" s="5" t="n">
        <v>2881395906.838174</v>
      </c>
      <c r="I356" s="5" t="n">
        <v>2881401024.960003</v>
      </c>
      <c r="J356" s="5" t="n">
        <v>10405.48</v>
      </c>
      <c r="K356" s="4" t="inlineStr">
        <is>
          <t>S</t>
        </is>
      </c>
      <c r="L356" s="4" t="inlineStr">
        <is>
          <t>2025-12-09</t>
        </is>
      </c>
      <c r="M356" s="5" t="n">
        <v>10405.48</v>
      </c>
      <c r="N356" s="5">
        <f>J356-M356</f>
        <v/>
      </c>
      <c r="O356" s="6">
        <f>IF(F356="INFERIOR",N356/J356,"")</f>
        <v/>
      </c>
      <c r="P356" s="5">
        <f>IF(F356="INFERIOR",O356*MUS_parametros!$B$18,N356)</f>
        <v/>
      </c>
      <c r="Q356" s="4" t="inlineStr">
        <is>
          <t>Documento confere com o registro</t>
        </is>
      </c>
    </row>
    <row r="357">
      <c r="A357" s="4" t="inlineStr">
        <is>
          <t>IMB-0239855</t>
        </is>
      </c>
      <c r="B357" s="4" t="inlineStr">
        <is>
          <t>MAQUINAS_EQUIPAMENTOS</t>
        </is>
      </c>
      <c r="C357" s="4" t="inlineStr">
        <is>
          <t>1.2.03.01.003</t>
        </is>
      </c>
      <c r="D357" s="4" t="inlineStr">
        <is>
          <t>MATA DE SAO JOAO</t>
        </is>
      </c>
      <c r="E357" s="4" t="inlineStr">
        <is>
          <t>COMPRESSOR/SEPARADOR/TANQUE/FACILITY</t>
        </is>
      </c>
      <c r="F357" s="4" t="inlineStr">
        <is>
          <t>INFERIOR</t>
        </is>
      </c>
      <c r="G357" s="4" t="n">
        <v>1</v>
      </c>
      <c r="H357" s="5" t="n">
        <v>2887128906.838174</v>
      </c>
      <c r="I357" s="5" t="n">
        <v>2887148661.490004</v>
      </c>
      <c r="J357" s="5" t="n">
        <v>112967.83</v>
      </c>
      <c r="K357" s="4" t="inlineStr">
        <is>
          <t>S</t>
        </is>
      </c>
      <c r="L357" s="4" t="inlineStr">
        <is>
          <t>2012-12-14</t>
        </is>
      </c>
      <c r="M357" s="5" t="n">
        <v>112967.83</v>
      </c>
      <c r="N357" s="5">
        <f>J357-M357</f>
        <v/>
      </c>
      <c r="O357" s="6">
        <f>IF(F357="INFERIOR",N357/J357,"")</f>
        <v/>
      </c>
      <c r="P357" s="5">
        <f>IF(F357="INFERIOR",O357*MUS_parametros!$B$18,N357)</f>
        <v/>
      </c>
      <c r="Q357" s="4" t="inlineStr">
        <is>
          <t>Documento confere com o registro</t>
        </is>
      </c>
    </row>
    <row r="358">
      <c r="A358" s="4" t="inlineStr">
        <is>
          <t>IMB-0240722</t>
        </is>
      </c>
      <c r="B358" s="4" t="inlineStr">
        <is>
          <t>DESENVOLVIMENTO_CAMPOS</t>
        </is>
      </c>
      <c r="C358" s="4" t="inlineStr">
        <is>
          <t>1.2.03.04.001</t>
        </is>
      </c>
      <c r="D358" s="4" t="inlineStr">
        <is>
          <t>CANABRAVA</t>
        </is>
      </c>
      <c r="E358" s="4" t="inlineStr">
        <is>
          <t>PERFURACAO E COMPLETACAO</t>
        </is>
      </c>
      <c r="F358" s="4" t="inlineStr">
        <is>
          <t>INFERIOR</t>
        </is>
      </c>
      <c r="G358" s="4" t="n">
        <v>1</v>
      </c>
      <c r="H358" s="5" t="n">
        <v>2892861906.838174</v>
      </c>
      <c r="I358" s="5" t="n">
        <v>2893058269.230017</v>
      </c>
      <c r="J358" s="5" t="n">
        <v>217006.11</v>
      </c>
      <c r="K358" s="4" t="inlineStr">
        <is>
          <t>S</t>
        </is>
      </c>
      <c r="L358" s="4" t="inlineStr">
        <is>
          <t>2023-10-04</t>
        </is>
      </c>
      <c r="M358" s="5" t="n">
        <v>217006.11</v>
      </c>
      <c r="N358" s="5">
        <f>J358-M358</f>
        <v/>
      </c>
      <c r="O358" s="6">
        <f>IF(F358="INFERIOR",N358/J358,"")</f>
        <v/>
      </c>
      <c r="P358" s="5">
        <f>IF(F358="INFERIOR",O358*MUS_parametros!$B$18,N358)</f>
        <v/>
      </c>
      <c r="Q358" s="4" t="inlineStr">
        <is>
          <t>Documento confere com o registro</t>
        </is>
      </c>
    </row>
    <row r="359">
      <c r="A359" s="4" t="inlineStr">
        <is>
          <t>IMB-0241624</t>
        </is>
      </c>
      <c r="B359" s="4" t="inlineStr">
        <is>
          <t>DESENVOLVIMENTO_CAMPOS</t>
        </is>
      </c>
      <c r="C359" s="4" t="inlineStr">
        <is>
          <t>1.2.03.04.001</t>
        </is>
      </c>
      <c r="D359" s="4" t="inlineStr">
        <is>
          <t>POT-CONC-19 (SINTETICO)</t>
        </is>
      </c>
      <c r="E359" s="4" t="inlineStr">
        <is>
          <t>PERFURACAO E COMPLETACAO</t>
        </is>
      </c>
      <c r="F359" s="4" t="inlineStr">
        <is>
          <t>INFERIOR</t>
        </is>
      </c>
      <c r="G359" s="4" t="n">
        <v>1</v>
      </c>
      <c r="H359" s="5" t="n">
        <v>2898594906.838174</v>
      </c>
      <c r="I359" s="5" t="n">
        <v>2899231583.110009</v>
      </c>
      <c r="J359" s="5" t="n">
        <v>752525.85</v>
      </c>
      <c r="K359" s="4" t="inlineStr">
        <is>
          <t>S</t>
        </is>
      </c>
      <c r="L359" s="4" t="inlineStr">
        <is>
          <t>2025-12-28</t>
        </is>
      </c>
      <c r="M359" s="5" t="n">
        <v>752525.85</v>
      </c>
      <c r="N359" s="5">
        <f>J359-M359</f>
        <v/>
      </c>
      <c r="O359" s="6">
        <f>IF(F359="INFERIOR",N359/J359,"")</f>
        <v/>
      </c>
      <c r="P359" s="5">
        <f>IF(F359="INFERIOR",O359*MUS_parametros!$B$18,N359)</f>
        <v/>
      </c>
      <c r="Q359" s="4" t="inlineStr">
        <is>
          <t>Documento confere com o registro</t>
        </is>
      </c>
    </row>
    <row r="360">
      <c r="A360" s="4" t="inlineStr">
        <is>
          <t>IMB-0242374</t>
        </is>
      </c>
      <c r="B360" s="4" t="inlineStr">
        <is>
          <t>DESENVOLVIMENTO_CAMPOS</t>
        </is>
      </c>
      <c r="C360" s="4" t="inlineStr">
        <is>
          <t>1.2.03.04.002</t>
        </is>
      </c>
      <c r="D360" s="4" t="inlineStr">
        <is>
          <t>FAZENDA ONCA</t>
        </is>
      </c>
      <c r="E360" s="4" t="inlineStr">
        <is>
          <t>FRATURAMENTO / ESTIMULACAO CAPITALIZADA</t>
        </is>
      </c>
      <c r="F360" s="4" t="inlineStr">
        <is>
          <t>INFERIOR</t>
        </is>
      </c>
      <c r="G360" s="4" t="n">
        <v>1</v>
      </c>
      <c r="H360" s="5" t="n">
        <v>2904327906.838174</v>
      </c>
      <c r="I360" s="5" t="n">
        <v>2904328832.720012</v>
      </c>
      <c r="J360" s="5" t="n">
        <v>2268.73</v>
      </c>
      <c r="K360" s="4" t="inlineStr">
        <is>
          <t>S</t>
        </is>
      </c>
      <c r="L360" s="4" t="inlineStr">
        <is>
          <t>2024-08-21</t>
        </is>
      </c>
      <c r="M360" s="5" t="n">
        <v>2268.73</v>
      </c>
      <c r="N360" s="5">
        <f>J360-M360</f>
        <v/>
      </c>
      <c r="O360" s="6">
        <f>IF(F360="INFERIOR",N360/J360,"")</f>
        <v/>
      </c>
      <c r="P360" s="5">
        <f>IF(F360="INFERIOR",O360*MUS_parametros!$B$18,N360)</f>
        <v/>
      </c>
      <c r="Q360" s="4" t="inlineStr">
        <is>
          <t>Documento confere com o registro</t>
        </is>
      </c>
    </row>
    <row r="361">
      <c r="A361" s="4" t="inlineStr">
        <is>
          <t>IMB-0242946</t>
        </is>
      </c>
      <c r="B361" s="4" t="inlineStr">
        <is>
          <t>DESENVOLVIMENTO_CAMPOS</t>
        </is>
      </c>
      <c r="C361" s="4" t="inlineStr">
        <is>
          <t>1.2.03.04.001</t>
        </is>
      </c>
      <c r="D361" s="4" t="inlineStr">
        <is>
          <t>POT-CONC-14 (SINTETICO)</t>
        </is>
      </c>
      <c r="E361" s="4" t="inlineStr">
        <is>
          <t>PERFURACAO E COMPLETACAO</t>
        </is>
      </c>
      <c r="F361" s="4" t="inlineStr">
        <is>
          <t>INFERIOR</t>
        </is>
      </c>
      <c r="G361" s="4" t="n">
        <v>1</v>
      </c>
      <c r="H361" s="5" t="n">
        <v>2910060906.838174</v>
      </c>
      <c r="I361" s="5" t="n">
        <v>2910108168.490012</v>
      </c>
      <c r="J361" s="5" t="n">
        <v>802174.05</v>
      </c>
      <c r="K361" s="4" t="inlineStr">
        <is>
          <t>S</t>
        </is>
      </c>
      <c r="L361" s="4" t="inlineStr">
        <is>
          <t>2025-11-28</t>
        </is>
      </c>
      <c r="M361" s="5" t="n">
        <v>802174.05</v>
      </c>
      <c r="N361" s="5">
        <f>J361-M361</f>
        <v/>
      </c>
      <c r="O361" s="6">
        <f>IF(F361="INFERIOR",N361/J361,"")</f>
        <v/>
      </c>
      <c r="P361" s="5">
        <f>IF(F361="INFERIOR",O361*MUS_parametros!$B$18,N361)</f>
        <v/>
      </c>
      <c r="Q361" s="4" t="inlineStr">
        <is>
          <t>Documento confere com o registro</t>
        </is>
      </c>
    </row>
    <row r="362">
      <c r="A362" s="4" t="inlineStr">
        <is>
          <t>IMB-0243839</t>
        </is>
      </c>
      <c r="B362" s="4" t="inlineStr">
        <is>
          <t>DIREITO_PRODUCAO_OLEO_GAS</t>
        </is>
      </c>
      <c r="C362" s="4" t="inlineStr">
        <is>
          <t>1.2.03.03.004</t>
        </is>
      </c>
      <c r="D362" s="4" t="inlineStr">
        <is>
          <t>TRES MARIAS</t>
        </is>
      </c>
      <c r="E362" s="4" t="inlineStr">
        <is>
          <t>CUSTO DE AQUISICAO DA CONCESSAO</t>
        </is>
      </c>
      <c r="F362" s="4" t="inlineStr">
        <is>
          <t>SUPERIOR (VC &gt;= I)</t>
        </is>
      </c>
      <c r="G362" s="4" t="n">
        <v>2</v>
      </c>
      <c r="H362" s="5" t="n">
        <v>2915793906.838174</v>
      </c>
      <c r="I362" s="5" t="n">
        <v>2922495038.180016</v>
      </c>
      <c r="J362" s="5" t="n">
        <v>7017444.06</v>
      </c>
      <c r="K362" s="4" t="inlineStr">
        <is>
          <t>S</t>
        </is>
      </c>
      <c r="L362" s="4" t="inlineStr">
        <is>
          <t>2019-12-09</t>
        </is>
      </c>
      <c r="M362" s="5" t="n">
        <v>7017444.06</v>
      </c>
      <c r="N362" s="5">
        <f>J362-M362</f>
        <v/>
      </c>
      <c r="O362" s="6">
        <f>IF(F362="INFERIOR",N362/J362,"")</f>
        <v/>
      </c>
      <c r="P362" s="5">
        <f>IF(F362="INFERIOR",O362*MUS_parametros!$B$18,N362)</f>
        <v/>
      </c>
      <c r="Q362" s="4" t="inlineStr">
        <is>
          <t>Documento confere com o registro</t>
        </is>
      </c>
    </row>
    <row r="363">
      <c r="A363" s="4" t="inlineStr">
        <is>
          <t>IMB-0244283</t>
        </is>
      </c>
      <c r="B363" s="4" t="inlineStr">
        <is>
          <t>DESENVOLVIMENTO_CAMPOS</t>
        </is>
      </c>
      <c r="C363" s="4" t="inlineStr">
        <is>
          <t>1.2.03.04.001</t>
        </is>
      </c>
      <c r="D363" s="4" t="inlineStr">
        <is>
          <t>BIRIBA</t>
        </is>
      </c>
      <c r="E363" s="4" t="inlineStr">
        <is>
          <t>PERFURACAO E COMPLETACAO</t>
        </is>
      </c>
      <c r="F363" s="4" t="inlineStr">
        <is>
          <t>INFERIOR</t>
        </is>
      </c>
      <c r="G363" s="4" t="n">
        <v>1</v>
      </c>
      <c r="H363" s="5" t="n">
        <v>2927259906.838174</v>
      </c>
      <c r="I363" s="5" t="n">
        <v>2927434185.320016</v>
      </c>
      <c r="J363" s="5" t="n">
        <v>201052.35</v>
      </c>
      <c r="K363" s="4" t="inlineStr">
        <is>
          <t>S</t>
        </is>
      </c>
      <c r="L363" s="4" t="inlineStr">
        <is>
          <t>2025-07-24</t>
        </is>
      </c>
      <c r="M363" s="5" t="n">
        <v>201052.35</v>
      </c>
      <c r="N363" s="5">
        <f>J363-M363</f>
        <v/>
      </c>
      <c r="O363" s="6">
        <f>IF(F363="INFERIOR",N363/J363,"")</f>
        <v/>
      </c>
      <c r="P363" s="5">
        <f>IF(F363="INFERIOR",O363*MUS_parametros!$B$18,N363)</f>
        <v/>
      </c>
      <c r="Q363" s="4" t="inlineStr">
        <is>
          <t>Documento confere com o registro</t>
        </is>
      </c>
    </row>
    <row r="364">
      <c r="A364" s="4" t="inlineStr">
        <is>
          <t>IMB-0245023</t>
        </is>
      </c>
      <c r="B364" s="4" t="inlineStr">
        <is>
          <t>ALMOXARIFADO_INVERSOES_FIXAS</t>
        </is>
      </c>
      <c r="C364" s="4" t="inlineStr">
        <is>
          <t>1.2.03.07.001</t>
        </is>
      </c>
      <c r="D364" s="4" t="inlineStr">
        <is>
          <t>GOMO</t>
        </is>
      </c>
      <c r="E364" s="4" t="inlineStr">
        <is>
          <t>TUBO DE REVESTIMENTO/PRODUCAO (LOTE)</t>
        </is>
      </c>
      <c r="F364" s="4" t="inlineStr">
        <is>
          <t>INFERIOR</t>
        </is>
      </c>
      <c r="G364" s="4" t="n">
        <v>1</v>
      </c>
      <c r="H364" s="5" t="n">
        <v>2932992906.838174</v>
      </c>
      <c r="I364" s="5" t="n">
        <v>2932993024.200017</v>
      </c>
      <c r="J364" s="5" t="n">
        <v>1733.29</v>
      </c>
      <c r="K364" s="4" t="inlineStr">
        <is>
          <t>S</t>
        </is>
      </c>
      <c r="L364" s="4" t="inlineStr">
        <is>
          <t>2025-09-22</t>
        </is>
      </c>
      <c r="M364" s="5" t="n">
        <v>1733.29</v>
      </c>
      <c r="N364" s="5">
        <f>J364-M364</f>
        <v/>
      </c>
      <c r="O364" s="6">
        <f>IF(F364="INFERIOR",N364/J364,"")</f>
        <v/>
      </c>
      <c r="P364" s="5">
        <f>IF(F364="INFERIOR",O364*MUS_parametros!$B$18,N364)</f>
        <v/>
      </c>
      <c r="Q364" s="4" t="inlineStr">
        <is>
          <t>Documento confere com o registro</t>
        </is>
      </c>
    </row>
    <row r="365">
      <c r="A365" s="4" t="inlineStr">
        <is>
          <t>IMB-0245968</t>
        </is>
      </c>
      <c r="B365" s="4" t="inlineStr">
        <is>
          <t>DESENVOLVIMENTO_CAMPOS</t>
        </is>
      </c>
      <c r="C365" s="4" t="inlineStr">
        <is>
          <t>1.2.03.04.001</t>
        </is>
      </c>
      <c r="D365" s="4" t="inlineStr">
        <is>
          <t>POT-CONC-19 (SINTETICO)</t>
        </is>
      </c>
      <c r="E365" s="4" t="inlineStr">
        <is>
          <t>PERFURACAO E COMPLETACAO</t>
        </is>
      </c>
      <c r="F365" s="4" t="inlineStr">
        <is>
          <t>INFERIOR</t>
        </is>
      </c>
      <c r="G365" s="4" t="n">
        <v>1</v>
      </c>
      <c r="H365" s="5" t="n">
        <v>2938725906.838174</v>
      </c>
      <c r="I365" s="5" t="n">
        <v>2938862884.480017</v>
      </c>
      <c r="J365" s="5" t="n">
        <v>146633.99</v>
      </c>
      <c r="K365" s="4" t="inlineStr">
        <is>
          <t>S</t>
        </is>
      </c>
      <c r="L365" s="4" t="inlineStr">
        <is>
          <t>2024-12-06</t>
        </is>
      </c>
      <c r="M365" s="5" t="n">
        <v>146633.99</v>
      </c>
      <c r="N365" s="5">
        <f>J365-M365</f>
        <v/>
      </c>
      <c r="O365" s="6">
        <f>IF(F365="INFERIOR",N365/J365,"")</f>
        <v/>
      </c>
      <c r="P365" s="5">
        <f>IF(F365="INFERIOR",O365*MUS_parametros!$B$18,N365)</f>
        <v/>
      </c>
      <c r="Q365" s="4" t="inlineStr">
        <is>
          <t>Documento confere com o registro</t>
        </is>
      </c>
    </row>
    <row r="366">
      <c r="A366" s="4" t="inlineStr">
        <is>
          <t>IMB-0246926</t>
        </is>
      </c>
      <c r="B366" s="4" t="inlineStr">
        <is>
          <t>DESENVOLVIMENTO_CAMPOS</t>
        </is>
      </c>
      <c r="C366" s="4" t="inlineStr">
        <is>
          <t>1.2.03.04.001</t>
        </is>
      </c>
      <c r="D366" s="4" t="inlineStr">
        <is>
          <t>RIO SUBAUMA</t>
        </is>
      </c>
      <c r="E366" s="4" t="inlineStr">
        <is>
          <t>PERFURACAO E COMPLETACAO</t>
        </is>
      </c>
      <c r="F366" s="4" t="inlineStr">
        <is>
          <t>INFERIOR</t>
        </is>
      </c>
      <c r="G366" s="4" t="n">
        <v>1</v>
      </c>
      <c r="H366" s="5" t="n">
        <v>2944458906.838174</v>
      </c>
      <c r="I366" s="5" t="n">
        <v>2944995947.780018</v>
      </c>
      <c r="J366" s="5" t="n">
        <v>684955.66</v>
      </c>
      <c r="K366" s="4" t="inlineStr">
        <is>
          <t>S</t>
        </is>
      </c>
      <c r="L366" s="4" t="inlineStr">
        <is>
          <t>2023-07-31</t>
        </is>
      </c>
      <c r="M366" s="5" t="n">
        <v>684955.66</v>
      </c>
      <c r="N366" s="5">
        <f>J366-M366</f>
        <v/>
      </c>
      <c r="O366" s="6">
        <f>IF(F366="INFERIOR",N366/J366,"")</f>
        <v/>
      </c>
      <c r="P366" s="5">
        <f>IF(F366="INFERIOR",O366*MUS_parametros!$B$18,N366)</f>
        <v/>
      </c>
      <c r="Q366" s="4" t="inlineStr">
        <is>
          <t>Documento confere com o registro</t>
        </is>
      </c>
    </row>
    <row r="367">
      <c r="A367" s="4" t="inlineStr">
        <is>
          <t>IMB-0248063</t>
        </is>
      </c>
      <c r="B367" s="4" t="inlineStr">
        <is>
          <t>DESENVOLVIMENTO_CAMPOS</t>
        </is>
      </c>
      <c r="C367" s="4" t="inlineStr">
        <is>
          <t>1.2.03.04.001</t>
        </is>
      </c>
      <c r="D367" s="4" t="inlineStr">
        <is>
          <t>RIACHO SAO PEDRO</t>
        </is>
      </c>
      <c r="E367" s="4" t="inlineStr">
        <is>
          <t>PERFURACAO E COMPLETACAO</t>
        </is>
      </c>
      <c r="F367" s="4" t="inlineStr">
        <is>
          <t>INFERIOR</t>
        </is>
      </c>
      <c r="G367" s="4" t="n">
        <v>1</v>
      </c>
      <c r="H367" s="5" t="n">
        <v>2950191906.838174</v>
      </c>
      <c r="I367" s="5" t="n">
        <v>2950276686.830019</v>
      </c>
      <c r="J367" s="5" t="n">
        <v>218819.8</v>
      </c>
      <c r="K367" s="4" t="inlineStr">
        <is>
          <t>S</t>
        </is>
      </c>
      <c r="L367" s="4" t="inlineStr">
        <is>
          <t>2025-01-24</t>
        </is>
      </c>
      <c r="M367" s="5" t="n">
        <v>218819.8</v>
      </c>
      <c r="N367" s="5">
        <f>J367-M367</f>
        <v/>
      </c>
      <c r="O367" s="6">
        <f>IF(F367="INFERIOR",N367/J367,"")</f>
        <v/>
      </c>
      <c r="P367" s="5">
        <f>IF(F367="INFERIOR",O367*MUS_parametros!$B$18,N367)</f>
        <v/>
      </c>
      <c r="Q367" s="4" t="inlineStr">
        <is>
          <t>Documento confere com o registro</t>
        </is>
      </c>
    </row>
    <row r="368">
      <c r="A368" s="4" t="inlineStr">
        <is>
          <t>IMB-0248768</t>
        </is>
      </c>
      <c r="B368" s="4" t="inlineStr">
        <is>
          <t>DESENVOLVIMENTO_CAMPOS</t>
        </is>
      </c>
      <c r="C368" s="4" t="inlineStr">
        <is>
          <t>1.2.03.04.001</t>
        </is>
      </c>
      <c r="D368" s="4" t="inlineStr">
        <is>
          <t>JACUIPE</t>
        </is>
      </c>
      <c r="E368" s="4" t="inlineStr">
        <is>
          <t>PERFURACAO E COMPLETACAO</t>
        </is>
      </c>
      <c r="F368" s="4" t="inlineStr">
        <is>
          <t>INFERIOR</t>
        </is>
      </c>
      <c r="G368" s="4" t="n">
        <v>1</v>
      </c>
      <c r="H368" s="5" t="n">
        <v>2955924906.838174</v>
      </c>
      <c r="I368" s="5" t="n">
        <v>2956019138.400017</v>
      </c>
      <c r="J368" s="5" t="n">
        <v>109095.44</v>
      </c>
      <c r="K368" s="4" t="inlineStr">
        <is>
          <t>S</t>
        </is>
      </c>
      <c r="L368" s="4" t="inlineStr">
        <is>
          <t>2024-09-03</t>
        </is>
      </c>
      <c r="M368" s="5" t="n">
        <v>109095.44</v>
      </c>
      <c r="N368" s="5">
        <f>J368-M368</f>
        <v/>
      </c>
      <c r="O368" s="6">
        <f>IF(F368="INFERIOR",N368/J368,"")</f>
        <v/>
      </c>
      <c r="P368" s="5">
        <f>IF(F368="INFERIOR",O368*MUS_parametros!$B$18,N368)</f>
        <v/>
      </c>
      <c r="Q368" s="4" t="inlineStr">
        <is>
          <t>Documento confere com o registro</t>
        </is>
      </c>
    </row>
    <row r="369">
      <c r="A369" s="4" t="inlineStr">
        <is>
          <t>IMB-0249707</t>
        </is>
      </c>
      <c r="B369" s="4" t="inlineStr">
        <is>
          <t>ALMOXARIFADO_INVERSOES_FIXAS</t>
        </is>
      </c>
      <c r="C369" s="4" t="inlineStr">
        <is>
          <t>1.2.03.07.003</t>
        </is>
      </c>
      <c r="D369" s="4" t="inlineStr">
        <is>
          <t>MATA DE SAO JOAO</t>
        </is>
      </c>
      <c r="E369" s="4" t="inlineStr">
        <is>
          <t>VALVULA/EQUIPAMENTO DE SUPERFICIE</t>
        </is>
      </c>
      <c r="F369" s="4" t="inlineStr">
        <is>
          <t>INFERIOR</t>
        </is>
      </c>
      <c r="G369" s="4" t="n">
        <v>1</v>
      </c>
      <c r="H369" s="5" t="n">
        <v>2961657906.838174</v>
      </c>
      <c r="I369" s="5" t="n">
        <v>2961658229.200024</v>
      </c>
      <c r="J369" s="5" t="n">
        <v>1095.66</v>
      </c>
      <c r="K369" s="4" t="inlineStr">
        <is>
          <t>S</t>
        </is>
      </c>
      <c r="L369" s="4" t="inlineStr">
        <is>
          <t>2023-06-03</t>
        </is>
      </c>
      <c r="M369" s="5" t="n">
        <v>1095.66</v>
      </c>
      <c r="N369" s="5">
        <f>J369-M369</f>
        <v/>
      </c>
      <c r="O369" s="6">
        <f>IF(F369="INFERIOR",N369/J369,"")</f>
        <v/>
      </c>
      <c r="P369" s="5">
        <f>IF(F369="INFERIOR",O369*MUS_parametros!$B$18,N369)</f>
        <v/>
      </c>
      <c r="Q369" s="4" t="inlineStr">
        <is>
          <t>Documento confere com o registro</t>
        </is>
      </c>
    </row>
    <row r="370">
      <c r="A370" s="4" t="inlineStr">
        <is>
          <t>IMB-0249736</t>
        </is>
      </c>
      <c r="B370" s="4" t="inlineStr">
        <is>
          <t>DIREITO_PRODUCAO_OLEO_GAS</t>
        </is>
      </c>
      <c r="C370" s="4" t="inlineStr">
        <is>
          <t>1.2.03.03.004</t>
        </is>
      </c>
      <c r="D370" s="4" t="inlineStr">
        <is>
          <t>POT-CONC-02 (SINTETICO)</t>
        </is>
      </c>
      <c r="E370" s="4" t="inlineStr">
        <is>
          <t>CUSTO DE AQUISICAO DA CONCESSAO</t>
        </is>
      </c>
      <c r="F370" s="4" t="inlineStr">
        <is>
          <t>SUPERIOR (VC &gt;= I)</t>
        </is>
      </c>
      <c r="G370" s="4" t="n">
        <v>5</v>
      </c>
      <c r="H370" s="5" t="n">
        <v>2967390906.838174</v>
      </c>
      <c r="I370" s="5" t="n">
        <v>2991395611.160024</v>
      </c>
      <c r="J370" s="5" t="n">
        <v>29552928.55</v>
      </c>
      <c r="K370" s="4" t="inlineStr">
        <is>
          <t>S</t>
        </is>
      </c>
      <c r="L370" s="4" t="inlineStr">
        <is>
          <t>2019-12-09</t>
        </is>
      </c>
      <c r="M370" s="5" t="n">
        <v>29552928.55</v>
      </c>
      <c r="N370" s="5">
        <f>J370-M370</f>
        <v/>
      </c>
      <c r="O370" s="6">
        <f>IF(F370="INFERIOR",N370/J370,"")</f>
        <v/>
      </c>
      <c r="P370" s="5">
        <f>IF(F370="INFERIOR",O370*MUS_parametros!$B$18,N370)</f>
        <v/>
      </c>
      <c r="Q370" s="4" t="inlineStr">
        <is>
          <t>Documento confere com o registro</t>
        </is>
      </c>
    </row>
    <row r="371">
      <c r="A371" s="4" t="inlineStr">
        <is>
          <t>IMB-0250407</t>
        </is>
      </c>
      <c r="B371" s="4" t="inlineStr">
        <is>
          <t>ALMOXARIFADO_INVERSOES_FIXAS</t>
        </is>
      </c>
      <c r="C371" s="4" t="inlineStr">
        <is>
          <t>1.2.03.07.003</t>
        </is>
      </c>
      <c r="D371" s="4" t="inlineStr">
        <is>
          <t>POT-CONC-01 (SINTETICO)</t>
        </is>
      </c>
      <c r="E371" s="4" t="inlineStr">
        <is>
          <t>VALVULA/EQUIPAMENTO DE SUPERFICIE</t>
        </is>
      </c>
      <c r="F371" s="4" t="inlineStr">
        <is>
          <t>INFERIOR</t>
        </is>
      </c>
      <c r="G371" s="4" t="n">
        <v>1</v>
      </c>
      <c r="H371" s="5" t="n">
        <v>2996055906.838174</v>
      </c>
      <c r="I371" s="5" t="n">
        <v>2996058762.530025</v>
      </c>
      <c r="J371" s="5" t="n">
        <v>2908.85</v>
      </c>
      <c r="K371" s="4" t="inlineStr">
        <is>
          <t>S</t>
        </is>
      </c>
      <c r="L371" s="4" t="inlineStr">
        <is>
          <t>2025-04-16</t>
        </is>
      </c>
      <c r="M371" s="5" t="n">
        <v>2908.85</v>
      </c>
      <c r="N371" s="5">
        <f>J371-M371</f>
        <v/>
      </c>
      <c r="O371" s="6">
        <f>IF(F371="INFERIOR",N371/J371,"")</f>
        <v/>
      </c>
      <c r="P371" s="5">
        <f>IF(F371="INFERIOR",O371*MUS_parametros!$B$18,N371)</f>
        <v/>
      </c>
      <c r="Q371" s="4" t="inlineStr">
        <is>
          <t>Documento confere com o registro</t>
        </is>
      </c>
    </row>
    <row r="372">
      <c r="A372" s="4" t="inlineStr">
        <is>
          <t>IMB-0251223</t>
        </is>
      </c>
      <c r="B372" s="4" t="inlineStr">
        <is>
          <t>MAQUINAS_EQUIPAMENTOS</t>
        </is>
      </c>
      <c r="C372" s="4" t="inlineStr">
        <is>
          <t>1.2.03.01.003</t>
        </is>
      </c>
      <c r="D372" s="4" t="inlineStr">
        <is>
          <t>PAJEU</t>
        </is>
      </c>
      <c r="E372" s="4" t="inlineStr">
        <is>
          <t>COMPRESSOR/SEPARADOR/TANQUE/FACILITY</t>
        </is>
      </c>
      <c r="F372" s="4" t="inlineStr">
        <is>
          <t>INFERIOR</t>
        </is>
      </c>
      <c r="G372" s="4" t="n">
        <v>1</v>
      </c>
      <c r="H372" s="5" t="n">
        <v>3001788906.838174</v>
      </c>
      <c r="I372" s="5" t="n">
        <v>3001796308.550023</v>
      </c>
      <c r="J372" s="5" t="n">
        <v>13996.34</v>
      </c>
      <c r="K372" s="4" t="inlineStr">
        <is>
          <t>S</t>
        </is>
      </c>
      <c r="L372" s="4" t="inlineStr">
        <is>
          <t>2016-12-24</t>
        </is>
      </c>
      <c r="M372" s="5" t="n">
        <v>13996.34</v>
      </c>
      <c r="N372" s="5">
        <f>J372-M372</f>
        <v/>
      </c>
      <c r="O372" s="6">
        <f>IF(F372="INFERIOR",N372/J372,"")</f>
        <v/>
      </c>
      <c r="P372" s="5">
        <f>IF(F372="INFERIOR",O372*MUS_parametros!$B$18,N372)</f>
        <v/>
      </c>
      <c r="Q372" s="4" t="inlineStr">
        <is>
          <t>Documento confere com o registro</t>
        </is>
      </c>
    </row>
    <row r="373">
      <c r="A373" s="4" t="inlineStr">
        <is>
          <t>IMB-0251560</t>
        </is>
      </c>
      <c r="B373" s="4" t="inlineStr">
        <is>
          <t>DESENVOLVIMENTO_CAMPOS</t>
        </is>
      </c>
      <c r="C373" s="4" t="inlineStr">
        <is>
          <t>1.2.03.04.001</t>
        </is>
      </c>
      <c r="D373" s="4" t="inlineStr">
        <is>
          <t>POT-CONC-07 (SINTETICO)</t>
        </is>
      </c>
      <c r="E373" s="4" t="inlineStr">
        <is>
          <t>PERFURACAO E COMPLETACAO</t>
        </is>
      </c>
      <c r="F373" s="4" t="inlineStr">
        <is>
          <t>INFERIOR</t>
        </is>
      </c>
      <c r="G373" s="4" t="n">
        <v>1</v>
      </c>
      <c r="H373" s="5" t="n">
        <v>3007521906.838174</v>
      </c>
      <c r="I373" s="5" t="n">
        <v>3007551265.540021</v>
      </c>
      <c r="J373" s="5" t="n">
        <v>73594.14999999999</v>
      </c>
      <c r="K373" s="4" t="inlineStr">
        <is>
          <t>S</t>
        </is>
      </c>
      <c r="L373" s="4" t="inlineStr">
        <is>
          <t>2025-06-26</t>
        </is>
      </c>
      <c r="M373" s="5" t="n">
        <v>73594.14999999999</v>
      </c>
      <c r="N373" s="5">
        <f>J373-M373</f>
        <v/>
      </c>
      <c r="O373" s="6">
        <f>IF(F373="INFERIOR",N373/J373,"")</f>
        <v/>
      </c>
      <c r="P373" s="5">
        <f>IF(F373="INFERIOR",O373*MUS_parametros!$B$18,N373)</f>
        <v/>
      </c>
      <c r="Q373" s="4" t="inlineStr">
        <is>
          <t>Documento confere com o registro</t>
        </is>
      </c>
    </row>
    <row r="374">
      <c r="A374" s="4" t="inlineStr">
        <is>
          <t>IMB-0252491</t>
        </is>
      </c>
      <c r="B374" s="4" t="inlineStr">
        <is>
          <t>DESENVOLVIMENTO_CAMPOS</t>
        </is>
      </c>
      <c r="C374" s="4" t="inlineStr">
        <is>
          <t>1.2.03.04.001</t>
        </is>
      </c>
      <c r="D374" s="4" t="inlineStr">
        <is>
          <t>SUSSUARANA</t>
        </is>
      </c>
      <c r="E374" s="4" t="inlineStr">
        <is>
          <t>PERFURACAO E COMPLETACAO</t>
        </is>
      </c>
      <c r="F374" s="4" t="inlineStr">
        <is>
          <t>INFERIOR</t>
        </is>
      </c>
      <c r="G374" s="4" t="n">
        <v>1</v>
      </c>
      <c r="H374" s="5" t="n">
        <v>3013254906.838174</v>
      </c>
      <c r="I374" s="5" t="n">
        <v>3013265288.640014</v>
      </c>
      <c r="J374" s="5" t="n">
        <v>71698.07000000001</v>
      </c>
      <c r="K374" s="4" t="inlineStr">
        <is>
          <t>S</t>
        </is>
      </c>
      <c r="L374" s="4" t="inlineStr">
        <is>
          <t>2025-12-25</t>
        </is>
      </c>
      <c r="M374" s="5" t="n">
        <v>71698.07000000001</v>
      </c>
      <c r="N374" s="5">
        <f>J374-M374</f>
        <v/>
      </c>
      <c r="O374" s="6">
        <f>IF(F374="INFERIOR",N374/J374,"")</f>
        <v/>
      </c>
      <c r="P374" s="5">
        <f>IF(F374="INFERIOR",O374*MUS_parametros!$B$18,N374)</f>
        <v/>
      </c>
      <c r="Q374" s="4" t="inlineStr">
        <is>
          <t>Documento confere com o registro</t>
        </is>
      </c>
    </row>
    <row r="375">
      <c r="A375" s="4" t="inlineStr">
        <is>
          <t>IMB-0253446</t>
        </is>
      </c>
      <c r="B375" s="4" t="inlineStr">
        <is>
          <t>DESENVOLVIMENTO_CAMPOS</t>
        </is>
      </c>
      <c r="C375" s="4" t="inlineStr">
        <is>
          <t>1.2.03.04.002</t>
        </is>
      </c>
      <c r="D375" s="4" t="inlineStr">
        <is>
          <t>POT-CONC-19 (SINTETICO)</t>
        </is>
      </c>
      <c r="E375" s="4" t="inlineStr">
        <is>
          <t>WORKOVER / RECOMPLETACAO CAPITALIZADO</t>
        </is>
      </c>
      <c r="F375" s="4" t="inlineStr">
        <is>
          <t>INFERIOR</t>
        </is>
      </c>
      <c r="G375" s="4" t="n">
        <v>1</v>
      </c>
      <c r="H375" s="5" t="n">
        <v>3018987906.838174</v>
      </c>
      <c r="I375" s="5" t="n">
        <v>3018988419.600021</v>
      </c>
      <c r="J375" s="5" t="n">
        <v>5018.86</v>
      </c>
      <c r="K375" s="4" t="inlineStr">
        <is>
          <t>S</t>
        </is>
      </c>
      <c r="L375" s="4" t="inlineStr">
        <is>
          <t>2025-03-10</t>
        </is>
      </c>
      <c r="M375" s="5" t="n">
        <v>5018.86</v>
      </c>
      <c r="N375" s="5">
        <f>J375-M375</f>
        <v/>
      </c>
      <c r="O375" s="6">
        <f>IF(F375="INFERIOR",N375/J375,"")</f>
        <v/>
      </c>
      <c r="P375" s="5">
        <f>IF(F375="INFERIOR",O375*MUS_parametros!$B$18,N375)</f>
        <v/>
      </c>
      <c r="Q375" s="4" t="inlineStr">
        <is>
          <t>Documento confere com o registro</t>
        </is>
      </c>
    </row>
    <row r="376">
      <c r="A376" s="4" t="inlineStr">
        <is>
          <t>IMB-0254264</t>
        </is>
      </c>
      <c r="B376" s="4" t="inlineStr">
        <is>
          <t>DESENVOLVIMENTO_CAMPOS</t>
        </is>
      </c>
      <c r="C376" s="4" t="inlineStr">
        <is>
          <t>1.2.03.04.002</t>
        </is>
      </c>
      <c r="D376" s="4" t="inlineStr">
        <is>
          <t>MATA DE SAO JOAO</t>
        </is>
      </c>
      <c r="E376" s="4" t="inlineStr">
        <is>
          <t>FRATURAMENTO / ESTIMULACAO CAPITALIZADA</t>
        </is>
      </c>
      <c r="F376" s="4" t="inlineStr">
        <is>
          <t>INFERIOR</t>
        </is>
      </c>
      <c r="G376" s="4" t="n">
        <v>1</v>
      </c>
      <c r="H376" s="5" t="n">
        <v>3024720906.838174</v>
      </c>
      <c r="I376" s="5" t="n">
        <v>3024737122.040016</v>
      </c>
      <c r="J376" s="5" t="n">
        <v>16435.93</v>
      </c>
      <c r="K376" s="4" t="inlineStr">
        <is>
          <t>S</t>
        </is>
      </c>
      <c r="L376" s="4" t="inlineStr">
        <is>
          <t>2025-09-30</t>
        </is>
      </c>
      <c r="M376" s="5" t="n">
        <v>16435.93</v>
      </c>
      <c r="N376" s="5">
        <f>J376-M376</f>
        <v/>
      </c>
      <c r="O376" s="6">
        <f>IF(F376="INFERIOR",N376/J376,"")</f>
        <v/>
      </c>
      <c r="P376" s="5">
        <f>IF(F376="INFERIOR",O376*MUS_parametros!$B$18,N376)</f>
        <v/>
      </c>
      <c r="Q376" s="4" t="inlineStr">
        <is>
          <t>Documento confere com o registro</t>
        </is>
      </c>
    </row>
    <row r="377">
      <c r="A377" s="4" t="inlineStr">
        <is>
          <t>IMB-0255202</t>
        </is>
      </c>
      <c r="B377" s="4" t="inlineStr">
        <is>
          <t>DESENVOLVIMENTO_CAMPOS</t>
        </is>
      </c>
      <c r="C377" s="4" t="inlineStr">
        <is>
          <t>1.2.03.04.001</t>
        </is>
      </c>
      <c r="D377" s="4" t="inlineStr">
        <is>
          <t>POT-CONC-04 (SINTETICO)</t>
        </is>
      </c>
      <c r="E377" s="4" t="inlineStr">
        <is>
          <t>PERFURACAO E COMPLETACAO</t>
        </is>
      </c>
      <c r="F377" s="4" t="inlineStr">
        <is>
          <t>INFERIOR</t>
        </is>
      </c>
      <c r="G377" s="4" t="n">
        <v>1</v>
      </c>
      <c r="H377" s="5" t="n">
        <v>3030453906.838174</v>
      </c>
      <c r="I377" s="5" t="n">
        <v>3030488385.860019</v>
      </c>
      <c r="J377" s="5" t="n">
        <v>116252.53</v>
      </c>
      <c r="K377" s="4" t="inlineStr">
        <is>
          <t>S</t>
        </is>
      </c>
      <c r="L377" s="4" t="inlineStr">
        <is>
          <t>2025-11-30</t>
        </is>
      </c>
      <c r="M377" s="5" t="n">
        <v>116252.53</v>
      </c>
      <c r="N377" s="5">
        <f>J377-M377</f>
        <v/>
      </c>
      <c r="O377" s="6">
        <f>IF(F377="INFERIOR",N377/J377,"")</f>
        <v/>
      </c>
      <c r="P377" s="5">
        <f>IF(F377="INFERIOR",O377*MUS_parametros!$B$18,N377)</f>
        <v/>
      </c>
      <c r="Q377" s="4" t="inlineStr">
        <is>
          <t>Documento confere com o registro</t>
        </is>
      </c>
    </row>
    <row r="378">
      <c r="A378" s="4" t="inlineStr">
        <is>
          <t>IMB-0255845</t>
        </is>
      </c>
      <c r="B378" s="4" t="inlineStr">
        <is>
          <t>DESENVOLVIMENTO_CAMPOS</t>
        </is>
      </c>
      <c r="C378" s="4" t="inlineStr">
        <is>
          <t>1.2.03.04.002</t>
        </is>
      </c>
      <c r="D378" s="4" t="inlineStr">
        <is>
          <t>FAZENDA CURRAL</t>
        </is>
      </c>
      <c r="E378" s="4" t="inlineStr">
        <is>
          <t>FRATURAMENTO / ESTIMULACAO CAPITALIZADA</t>
        </is>
      </c>
      <c r="F378" s="4" t="inlineStr">
        <is>
          <t>INFERIOR</t>
        </is>
      </c>
      <c r="G378" s="4" t="n">
        <v>1</v>
      </c>
      <c r="H378" s="5" t="n">
        <v>3036186906.838174</v>
      </c>
      <c r="I378" s="5" t="n">
        <v>3036187288.21002</v>
      </c>
      <c r="J378" s="5" t="n">
        <v>3287</v>
      </c>
      <c r="K378" s="4" t="inlineStr">
        <is>
          <t>S</t>
        </is>
      </c>
      <c r="L378" s="4" t="inlineStr">
        <is>
          <t>2025-07-23</t>
        </is>
      </c>
      <c r="M378" s="5" t="n">
        <v>3287</v>
      </c>
      <c r="N378" s="5">
        <f>J378-M378</f>
        <v/>
      </c>
      <c r="O378" s="6">
        <f>IF(F378="INFERIOR",N378/J378,"")</f>
        <v/>
      </c>
      <c r="P378" s="5">
        <f>IF(F378="INFERIOR",O378*MUS_parametros!$B$18,N378)</f>
        <v/>
      </c>
      <c r="Q378" s="4" t="inlineStr">
        <is>
          <t>Documento confere com o registro</t>
        </is>
      </c>
    </row>
    <row r="379">
      <c r="A379" s="4" t="inlineStr">
        <is>
          <t>IMB-0256854</t>
        </is>
      </c>
      <c r="B379" s="4" t="inlineStr">
        <is>
          <t>MAQUINAS_EQUIPAMENTOS</t>
        </is>
      </c>
      <c r="C379" s="4" t="inlineStr">
        <is>
          <t>1.2.03.01.004</t>
        </is>
      </c>
      <c r="D379" s="4" t="inlineStr">
        <is>
          <t>UPGN GUAMARE</t>
        </is>
      </c>
      <c r="E379" s="4" t="inlineStr">
        <is>
          <t>GASODUTO DE INTERLIGACAO (TRECHO)</t>
        </is>
      </c>
      <c r="F379" s="4" t="inlineStr">
        <is>
          <t>INFERIOR</t>
        </is>
      </c>
      <c r="G379" s="4" t="n">
        <v>1</v>
      </c>
      <c r="H379" s="5" t="n">
        <v>3041919906.838174</v>
      </c>
      <c r="I379" s="5" t="n">
        <v>3042113443.690018</v>
      </c>
      <c r="J379" s="5" t="n">
        <v>406341.1</v>
      </c>
      <c r="K379" s="4" t="inlineStr">
        <is>
          <t>S</t>
        </is>
      </c>
      <c r="L379" s="4" t="inlineStr">
        <is>
          <t>2025-09-30</t>
        </is>
      </c>
      <c r="M379" s="5" t="n">
        <v>406341.1</v>
      </c>
      <c r="N379" s="5">
        <f>J379-M379</f>
        <v/>
      </c>
      <c r="O379" s="6">
        <f>IF(F379="INFERIOR",N379/J379,"")</f>
        <v/>
      </c>
      <c r="P379" s="5">
        <f>IF(F379="INFERIOR",O379*MUS_parametros!$B$18,N379)</f>
        <v/>
      </c>
      <c r="Q379" s="4" t="inlineStr">
        <is>
          <t>Documento confere com o registro</t>
        </is>
      </c>
    </row>
    <row r="380">
      <c r="A380" s="4" t="inlineStr">
        <is>
          <t>IMB-0257464</t>
        </is>
      </c>
      <c r="B380" s="4" t="inlineStr">
        <is>
          <t>ALMOXARIFADO_INVERSOES_FIXAS</t>
        </is>
      </c>
      <c r="C380" s="4" t="inlineStr">
        <is>
          <t>1.2.03.07.001</t>
        </is>
      </c>
      <c r="D380" s="4" t="inlineStr">
        <is>
          <t>TIE</t>
        </is>
      </c>
      <c r="E380" s="4" t="inlineStr">
        <is>
          <t>TUBO DE REVESTIMENTO/PRODUCAO (LOTE)</t>
        </is>
      </c>
      <c r="F380" s="4" t="inlineStr">
        <is>
          <t>INFERIOR</t>
        </is>
      </c>
      <c r="G380" s="4" t="n">
        <v>1</v>
      </c>
      <c r="H380" s="5" t="n">
        <v>3047652906.838174</v>
      </c>
      <c r="I380" s="5" t="n">
        <v>3047673703.590019</v>
      </c>
      <c r="J380" s="5" t="n">
        <v>21925.29</v>
      </c>
      <c r="K380" s="4" t="inlineStr">
        <is>
          <t>S</t>
        </is>
      </c>
      <c r="L380" s="4" t="inlineStr">
        <is>
          <t>2025-02-03</t>
        </is>
      </c>
      <c r="M380" s="5" t="n">
        <v>21925.29</v>
      </c>
      <c r="N380" s="5">
        <f>J380-M380</f>
        <v/>
      </c>
      <c r="O380" s="6">
        <f>IF(F380="INFERIOR",N380/J380,"")</f>
        <v/>
      </c>
      <c r="P380" s="5">
        <f>IF(F380="INFERIOR",O380*MUS_parametros!$B$18,N380)</f>
        <v/>
      </c>
      <c r="Q380" s="4" t="inlineStr">
        <is>
          <t>Documento confere com o registro</t>
        </is>
      </c>
    </row>
    <row r="381">
      <c r="A381" s="4" t="inlineStr">
        <is>
          <t>IMB-0257482</t>
        </is>
      </c>
      <c r="B381" s="4" t="inlineStr">
        <is>
          <t>DIREITO_PRODUCAO_OLEO_GAS</t>
        </is>
      </c>
      <c r="C381" s="4" t="inlineStr">
        <is>
          <t>1.2.03.03.004</t>
        </is>
      </c>
      <c r="D381" s="4" t="inlineStr">
        <is>
          <t>POT-CONC-10 (SINTETICO)</t>
        </is>
      </c>
      <c r="E381" s="4" t="inlineStr">
        <is>
          <t>CUSTO DE AQUISICAO DA CONCESSAO</t>
        </is>
      </c>
      <c r="F381" s="4" t="inlineStr">
        <is>
          <t>SUPERIOR (VC &gt;= I)</t>
        </is>
      </c>
      <c r="G381" s="4" t="n">
        <v>5</v>
      </c>
      <c r="H381" s="5" t="n">
        <v>3053385906.838174</v>
      </c>
      <c r="I381" s="5" t="n">
        <v>3081266936.790019</v>
      </c>
      <c r="J381" s="5" t="n">
        <v>33527138.99</v>
      </c>
      <c r="K381" s="4" t="inlineStr">
        <is>
          <t>S</t>
        </is>
      </c>
      <c r="L381" s="4" t="inlineStr">
        <is>
          <t>2019-12-09</t>
        </is>
      </c>
      <c r="M381" s="5" t="n">
        <v>33527138.99</v>
      </c>
      <c r="N381" s="5">
        <f>J381-M381</f>
        <v/>
      </c>
      <c r="O381" s="6">
        <f>IF(F381="INFERIOR",N381/J381,"")</f>
        <v/>
      </c>
      <c r="P381" s="5">
        <f>IF(F381="INFERIOR",O381*MUS_parametros!$B$18,N381)</f>
        <v/>
      </c>
      <c r="Q381" s="4" t="inlineStr">
        <is>
          <t>Documento confere com o registro</t>
        </is>
      </c>
    </row>
    <row r="382">
      <c r="A382" s="4" t="inlineStr">
        <is>
          <t>IMB-0257607</t>
        </is>
      </c>
      <c r="B382" s="4" t="inlineStr">
        <is>
          <t>ALMOXARIFADO_INVERSOES_FIXAS</t>
        </is>
      </c>
      <c r="C382" s="4" t="inlineStr">
        <is>
          <t>1.2.03.07.001</t>
        </is>
      </c>
      <c r="D382" s="4" t="inlineStr">
        <is>
          <t>POT-CONC-11 (SINTETICO)</t>
        </is>
      </c>
      <c r="E382" s="4" t="inlineStr">
        <is>
          <t>TUBO DE REVESTIMENTO/PRODUCAO (LOTE)</t>
        </is>
      </c>
      <c r="F382" s="4" t="inlineStr">
        <is>
          <t>INFERIOR</t>
        </is>
      </c>
      <c r="G382" s="4" t="n">
        <v>1</v>
      </c>
      <c r="H382" s="5" t="n">
        <v>3082050906.838174</v>
      </c>
      <c r="I382" s="5" t="n">
        <v>3082052848.940021</v>
      </c>
      <c r="J382" s="5" t="n">
        <v>2543.97</v>
      </c>
      <c r="K382" s="4" t="inlineStr">
        <is>
          <t>S</t>
        </is>
      </c>
      <c r="L382" s="4" t="inlineStr">
        <is>
          <t>2025-07-17</t>
        </is>
      </c>
      <c r="M382" s="5" t="n">
        <v>2543.97</v>
      </c>
      <c r="N382" s="5">
        <f>J382-M382</f>
        <v/>
      </c>
      <c r="O382" s="6">
        <f>IF(F382="INFERIOR",N382/J382,"")</f>
        <v/>
      </c>
      <c r="P382" s="5">
        <f>IF(F382="INFERIOR",O382*MUS_parametros!$B$18,N382)</f>
        <v/>
      </c>
      <c r="Q382" s="4" t="inlineStr">
        <is>
          <t>Documento confere com o registro</t>
        </is>
      </c>
    </row>
    <row r="383">
      <c r="A383" s="4" t="inlineStr">
        <is>
          <t>IMB-0258215</t>
        </is>
      </c>
      <c r="B383" s="4" t="inlineStr">
        <is>
          <t>DESENVOLVIMENTO_CAMPOS</t>
        </is>
      </c>
      <c r="C383" s="4" t="inlineStr">
        <is>
          <t>1.2.03.04.001</t>
        </is>
      </c>
      <c r="D383" s="4" t="inlineStr">
        <is>
          <t>CANABRAVA</t>
        </is>
      </c>
      <c r="E383" s="4" t="inlineStr">
        <is>
          <t>PERFURACAO E COMPLETACAO</t>
        </is>
      </c>
      <c r="F383" s="4" t="inlineStr">
        <is>
          <t>INFERIOR</t>
        </is>
      </c>
      <c r="G383" s="4" t="n">
        <v>1</v>
      </c>
      <c r="H383" s="5" t="n">
        <v>3087783906.838174</v>
      </c>
      <c r="I383" s="5" t="n">
        <v>3088710465.79002</v>
      </c>
      <c r="J383" s="5" t="n">
        <v>1240176.68</v>
      </c>
      <c r="K383" s="4" t="inlineStr">
        <is>
          <t>S</t>
        </is>
      </c>
      <c r="L383" s="4" t="inlineStr">
        <is>
          <t>2025-12-27</t>
        </is>
      </c>
      <c r="M383" s="5" t="n">
        <v>1240176.68</v>
      </c>
      <c r="N383" s="5">
        <f>J383-M383</f>
        <v/>
      </c>
      <c r="O383" s="6">
        <f>IF(F383="INFERIOR",N383/J383,"")</f>
        <v/>
      </c>
      <c r="P383" s="5">
        <f>IF(F383="INFERIOR",O383*MUS_parametros!$B$18,N383)</f>
        <v/>
      </c>
      <c r="Q383" s="4" t="inlineStr">
        <is>
          <t>Documento confere com o registro</t>
        </is>
      </c>
    </row>
    <row r="384">
      <c r="A384" s="4" t="inlineStr">
        <is>
          <t>IMB-0258738</t>
        </is>
      </c>
      <c r="B384" s="4" t="inlineStr">
        <is>
          <t>MAQUINAS_EQUIPAMENTOS</t>
        </is>
      </c>
      <c r="C384" s="4" t="inlineStr">
        <is>
          <t>1.2.03.01.004</t>
        </is>
      </c>
      <c r="D384" s="4" t="inlineStr">
        <is>
          <t>UPGN GUAMARE</t>
        </is>
      </c>
      <c r="E384" s="4" t="inlineStr">
        <is>
          <t>MODULO DE PROCESSAMENTO UPGN III</t>
        </is>
      </c>
      <c r="F384" s="4" t="inlineStr">
        <is>
          <t>INFERIOR</t>
        </is>
      </c>
      <c r="G384" s="4" t="n">
        <v>1</v>
      </c>
      <c r="H384" s="5" t="n">
        <v>3093516906.838174</v>
      </c>
      <c r="I384" s="5" t="n">
        <v>3093710111.180019</v>
      </c>
      <c r="J384" s="5" t="n">
        <v>279579.1</v>
      </c>
      <c r="K384" s="4" t="inlineStr">
        <is>
          <t>S</t>
        </is>
      </c>
      <c r="L384" s="4" t="inlineStr">
        <is>
          <t>2025-09-30</t>
        </is>
      </c>
      <c r="M384" s="5" t="n">
        <v>279579.1</v>
      </c>
      <c r="N384" s="5">
        <f>J384-M384</f>
        <v/>
      </c>
      <c r="O384" s="6">
        <f>IF(F384="INFERIOR",N384/J384,"")</f>
        <v/>
      </c>
      <c r="P384" s="5">
        <f>IF(F384="INFERIOR",O384*MUS_parametros!$B$18,N384)</f>
        <v/>
      </c>
      <c r="Q384" s="4" t="inlineStr">
        <is>
          <t>Documento confere com o registro</t>
        </is>
      </c>
    </row>
    <row r="385">
      <c r="A385" s="4" t="inlineStr">
        <is>
          <t>IMB-0259584</t>
        </is>
      </c>
      <c r="B385" s="4" t="inlineStr">
        <is>
          <t>DESENVOLVIMENTO_CAMPOS</t>
        </is>
      </c>
      <c r="C385" s="4" t="inlineStr">
        <is>
          <t>1.2.03.04.001</t>
        </is>
      </c>
      <c r="D385" s="4" t="inlineStr">
        <is>
          <t>JACUIPE</t>
        </is>
      </c>
      <c r="E385" s="4" t="inlineStr">
        <is>
          <t>PERFURACAO E COMPLETACAO</t>
        </is>
      </c>
      <c r="F385" s="4" t="inlineStr">
        <is>
          <t>INFERIOR</t>
        </is>
      </c>
      <c r="G385" s="4" t="n">
        <v>1</v>
      </c>
      <c r="H385" s="5" t="n">
        <v>3099249906.838174</v>
      </c>
      <c r="I385" s="5" t="n">
        <v>3099262557.130022</v>
      </c>
      <c r="J385" s="5" t="n">
        <v>142561.65</v>
      </c>
      <c r="K385" s="4" t="inlineStr">
        <is>
          <t>S</t>
        </is>
      </c>
      <c r="L385" s="4" t="inlineStr">
        <is>
          <t>2024-08-06</t>
        </is>
      </c>
      <c r="M385" s="5" t="n">
        <v>142561.65</v>
      </c>
      <c r="N385" s="5">
        <f>J385-M385</f>
        <v/>
      </c>
      <c r="O385" s="6">
        <f>IF(F385="INFERIOR",N385/J385,"")</f>
        <v/>
      </c>
      <c r="P385" s="5">
        <f>IF(F385="INFERIOR",O385*MUS_parametros!$B$18,N385)</f>
        <v/>
      </c>
      <c r="Q385" s="4" t="inlineStr">
        <is>
          <t>Documento confere com o registro</t>
        </is>
      </c>
    </row>
    <row r="386">
      <c r="A386" s="4" t="inlineStr">
        <is>
          <t>IMB-0260198</t>
        </is>
      </c>
      <c r="B386" s="4" t="inlineStr">
        <is>
          <t>DESENVOLVIMENTO_CAMPOS</t>
        </is>
      </c>
      <c r="C386" s="4" t="inlineStr">
        <is>
          <t>1.2.03.04.002</t>
        </is>
      </c>
      <c r="D386" s="4" t="inlineStr">
        <is>
          <t>JACUIPE</t>
        </is>
      </c>
      <c r="E386" s="4" t="inlineStr">
        <is>
          <t>FRATURAMENTO / ESTIMULACAO CAPITALIZADA</t>
        </is>
      </c>
      <c r="F386" s="4" t="inlineStr">
        <is>
          <t>INFERIOR</t>
        </is>
      </c>
      <c r="G386" s="4" t="n">
        <v>1</v>
      </c>
      <c r="H386" s="5" t="n">
        <v>3104982906.838174</v>
      </c>
      <c r="I386" s="5" t="n">
        <v>3104987753.14002</v>
      </c>
      <c r="J386" s="5" t="n">
        <v>10767.45</v>
      </c>
      <c r="K386" s="4" t="inlineStr">
        <is>
          <t>S</t>
        </is>
      </c>
      <c r="L386" s="4" t="inlineStr">
        <is>
          <t>2025-08-28</t>
        </is>
      </c>
      <c r="M386" s="5" t="n">
        <v>10767.45</v>
      </c>
      <c r="N386" s="5">
        <f>J386-M386</f>
        <v/>
      </c>
      <c r="O386" s="6">
        <f>IF(F386="INFERIOR",N386/J386,"")</f>
        <v/>
      </c>
      <c r="P386" s="5">
        <f>IF(F386="INFERIOR",O386*MUS_parametros!$B$18,N386)</f>
        <v/>
      </c>
      <c r="Q386" s="4" t="inlineStr">
        <is>
          <t>Documento confere com o registro</t>
        </is>
      </c>
    </row>
    <row r="387">
      <c r="A387" s="4" t="inlineStr">
        <is>
          <t>IMB-0261247</t>
        </is>
      </c>
      <c r="B387" s="4" t="inlineStr">
        <is>
          <t>DESENVOLVIMENTO_CAMPOS</t>
        </is>
      </c>
      <c r="C387" s="4" t="inlineStr">
        <is>
          <t>1.2.03.04.001</t>
        </is>
      </c>
      <c r="D387" s="4" t="inlineStr">
        <is>
          <t>BAIXA DO ALGODAO</t>
        </is>
      </c>
      <c r="E387" s="4" t="inlineStr">
        <is>
          <t>PERFURACAO E COMPLETACAO</t>
        </is>
      </c>
      <c r="F387" s="4" t="inlineStr">
        <is>
          <t>INFERIOR</t>
        </is>
      </c>
      <c r="G387" s="4" t="n">
        <v>1</v>
      </c>
      <c r="H387" s="5" t="n">
        <v>3110715906.838174</v>
      </c>
      <c r="I387" s="5" t="n">
        <v>3110890796.700026</v>
      </c>
      <c r="J387" s="5" t="n">
        <v>247090.44</v>
      </c>
      <c r="K387" s="4" t="inlineStr">
        <is>
          <t>S</t>
        </is>
      </c>
      <c r="L387" s="4" t="inlineStr">
        <is>
          <t>2024-11-21</t>
        </is>
      </c>
      <c r="M387" s="5" t="n">
        <v>247090.44</v>
      </c>
      <c r="N387" s="5">
        <f>J387-M387</f>
        <v/>
      </c>
      <c r="O387" s="6">
        <f>IF(F387="INFERIOR",N387/J387,"")</f>
        <v/>
      </c>
      <c r="P387" s="5">
        <f>IF(F387="INFERIOR",O387*MUS_parametros!$B$18,N387)</f>
        <v/>
      </c>
      <c r="Q387" s="4" t="inlineStr">
        <is>
          <t>Documento confere com o registro</t>
        </is>
      </c>
    </row>
    <row r="388">
      <c r="A388" s="4" t="inlineStr">
        <is>
          <t>IMB-0262098</t>
        </is>
      </c>
      <c r="B388" s="4" t="inlineStr">
        <is>
          <t>DESENVOLVIMENTO_CAMPOS</t>
        </is>
      </c>
      <c r="C388" s="4" t="inlineStr">
        <is>
          <t>1.2.03.04.001</t>
        </is>
      </c>
      <c r="D388" s="4" t="inlineStr">
        <is>
          <t>TIE</t>
        </is>
      </c>
      <c r="E388" s="4" t="inlineStr">
        <is>
          <t>PERFURACAO E COMPLETACAO</t>
        </is>
      </c>
      <c r="F388" s="4" t="inlineStr">
        <is>
          <t>INFERIOR</t>
        </is>
      </c>
      <c r="G388" s="4" t="n">
        <v>1</v>
      </c>
      <c r="H388" s="5" t="n">
        <v>3116448906.838174</v>
      </c>
      <c r="I388" s="5" t="n">
        <v>3117723797.680027</v>
      </c>
      <c r="J388" s="5" t="n">
        <v>1479340.84</v>
      </c>
      <c r="K388" s="4" t="inlineStr">
        <is>
          <t>S</t>
        </is>
      </c>
      <c r="L388" s="4" t="inlineStr">
        <is>
          <t>2025-05-05</t>
        </is>
      </c>
      <c r="M388" s="5" t="n">
        <v>0</v>
      </c>
      <c r="N388" s="5">
        <f>J388-M388</f>
        <v/>
      </c>
      <c r="O388" s="6">
        <f>IF(F388="INFERIOR",N388/J388,"")</f>
        <v/>
      </c>
      <c r="P388" s="5">
        <f>IF(F388="INFERIOR",O388*MUS_parametros!$B$18,N388)</f>
        <v/>
      </c>
      <c r="Q388" s="4" t="inlineStr">
        <is>
          <t>Documento ja vinculado ao registro IMB-0433471 (duplicidade)</t>
        </is>
      </c>
    </row>
    <row r="389">
      <c r="A389" s="4" t="inlineStr">
        <is>
          <t>IMB-0262786</t>
        </is>
      </c>
      <c r="B389" s="4" t="inlineStr">
        <is>
          <t>MAQUINAS_EQUIPAMENTOS</t>
        </is>
      </c>
      <c r="C389" s="4" t="inlineStr">
        <is>
          <t>1.2.03.01.001</t>
        </is>
      </c>
      <c r="D389" s="4" t="inlineStr">
        <is>
          <t>POT-CONC-18 (SINTETICO)</t>
        </is>
      </c>
      <c r="E389" s="4" t="inlineStr">
        <is>
          <t>COMPONENTE DE SONDA PROPRIA (PERFURACAO/PRODUCAO)</t>
        </is>
      </c>
      <c r="F389" s="4" t="inlineStr">
        <is>
          <t>INFERIOR</t>
        </is>
      </c>
      <c r="G389" s="4" t="n">
        <v>1</v>
      </c>
      <c r="H389" s="5" t="n">
        <v>3122181906.838174</v>
      </c>
      <c r="I389" s="5" t="n">
        <v>3122289431.330026</v>
      </c>
      <c r="J389" s="5" t="n">
        <v>171236.31</v>
      </c>
      <c r="K389" s="4" t="inlineStr">
        <is>
          <t>S</t>
        </is>
      </c>
      <c r="L389" s="4" t="inlineStr">
        <is>
          <t>2020-10-28</t>
        </is>
      </c>
      <c r="M389" s="5" t="n">
        <v>171236.31</v>
      </c>
      <c r="N389" s="5">
        <f>J389-M389</f>
        <v/>
      </c>
      <c r="O389" s="6">
        <f>IF(F389="INFERIOR",N389/J389,"")</f>
        <v/>
      </c>
      <c r="P389" s="5">
        <f>IF(F389="INFERIOR",O389*MUS_parametros!$B$18,N389)</f>
        <v/>
      </c>
      <c r="Q389" s="4" t="inlineStr">
        <is>
          <t>Documento confere com o registro</t>
        </is>
      </c>
    </row>
    <row r="390">
      <c r="A390" s="4" t="inlineStr">
        <is>
          <t>IMB-0263747</t>
        </is>
      </c>
      <c r="B390" s="4" t="inlineStr">
        <is>
          <t>DESENVOLVIMENTO_CAMPOS</t>
        </is>
      </c>
      <c r="C390" s="4" t="inlineStr">
        <is>
          <t>1.2.03.04.002</t>
        </is>
      </c>
      <c r="D390" s="4" t="inlineStr">
        <is>
          <t>POT-CONC-10 (SINTETICO)</t>
        </is>
      </c>
      <c r="E390" s="4" t="inlineStr">
        <is>
          <t>WORKOVER / RECOMPLETACAO CAPITALIZADO</t>
        </is>
      </c>
      <c r="F390" s="4" t="inlineStr">
        <is>
          <t>INFERIOR</t>
        </is>
      </c>
      <c r="G390" s="4" t="n">
        <v>1</v>
      </c>
      <c r="H390" s="5" t="n">
        <v>3127914906.838174</v>
      </c>
      <c r="I390" s="5" t="n">
        <v>3127916161.250024</v>
      </c>
      <c r="J390" s="5" t="n">
        <v>4513.5</v>
      </c>
      <c r="K390" s="4" t="inlineStr">
        <is>
          <t>S</t>
        </is>
      </c>
      <c r="L390" s="4" t="inlineStr">
        <is>
          <t>2025-01-20</t>
        </is>
      </c>
      <c r="M390" s="5" t="n">
        <v>4513.5</v>
      </c>
      <c r="N390" s="5">
        <f>J390-M390</f>
        <v/>
      </c>
      <c r="O390" s="6">
        <f>IF(F390="INFERIOR",N390/J390,"")</f>
        <v/>
      </c>
      <c r="P390" s="5">
        <f>IF(F390="INFERIOR",O390*MUS_parametros!$B$18,N390)</f>
        <v/>
      </c>
      <c r="Q390" s="4" t="inlineStr">
        <is>
          <t>Documento confere com o registro</t>
        </is>
      </c>
    </row>
    <row r="391">
      <c r="A391" s="4" t="inlineStr">
        <is>
          <t>IMB-0264718</t>
        </is>
      </c>
      <c r="B391" s="4" t="inlineStr">
        <is>
          <t>MAQUINAS_EQUIPAMENTOS</t>
        </is>
      </c>
      <c r="C391" s="4" t="inlineStr">
        <is>
          <t>1.2.03.01.001</t>
        </is>
      </c>
      <c r="D391" s="4" t="inlineStr">
        <is>
          <t>FAZENDA ONCA</t>
        </is>
      </c>
      <c r="E391" s="4" t="inlineStr">
        <is>
          <t>COMPONENTE DE SONDA PROPRIA (PERFURACAO/PRODUCAO)</t>
        </is>
      </c>
      <c r="F391" s="4" t="inlineStr">
        <is>
          <t>INFERIOR</t>
        </is>
      </c>
      <c r="G391" s="4" t="n">
        <v>1</v>
      </c>
      <c r="H391" s="5" t="n">
        <v>3133647906.838174</v>
      </c>
      <c r="I391" s="5" t="n">
        <v>3133663717.740021</v>
      </c>
      <c r="J391" s="5" t="n">
        <v>46224.82</v>
      </c>
      <c r="K391" s="4" t="inlineStr">
        <is>
          <t>S</t>
        </is>
      </c>
      <c r="L391" s="4" t="inlineStr">
        <is>
          <t>2014-04-03</t>
        </is>
      </c>
      <c r="M391" s="5" t="n">
        <v>46224.82</v>
      </c>
      <c r="N391" s="5">
        <f>J391-M391</f>
        <v/>
      </c>
      <c r="O391" s="6">
        <f>IF(F391="INFERIOR",N391/J391,"")</f>
        <v/>
      </c>
      <c r="P391" s="5">
        <f>IF(F391="INFERIOR",O391*MUS_parametros!$B$18,N391)</f>
        <v/>
      </c>
      <c r="Q391" s="4" t="inlineStr">
        <is>
          <t>Documento confere com o registro</t>
        </is>
      </c>
    </row>
    <row r="392">
      <c r="A392" s="4" t="inlineStr">
        <is>
          <t>IMB-0265564</t>
        </is>
      </c>
      <c r="B392" s="4" t="inlineStr">
        <is>
          <t>DESENVOLVIMENTO_CAMPOS</t>
        </is>
      </c>
      <c r="C392" s="4" t="inlineStr">
        <is>
          <t>1.2.03.04.001</t>
        </is>
      </c>
      <c r="D392" s="4" t="inlineStr">
        <is>
          <t>TIE</t>
        </is>
      </c>
      <c r="E392" s="4" t="inlineStr">
        <is>
          <t>PERFURACAO E COMPLETACAO</t>
        </is>
      </c>
      <c r="F392" s="4" t="inlineStr">
        <is>
          <t>INFERIOR</t>
        </is>
      </c>
      <c r="G392" s="4" t="n">
        <v>1</v>
      </c>
      <c r="H392" s="5" t="n">
        <v>3139380906.838174</v>
      </c>
      <c r="I392" s="5" t="n">
        <v>3140191423.530014</v>
      </c>
      <c r="J392" s="5" t="n">
        <v>834741.47</v>
      </c>
      <c r="K392" s="4" t="inlineStr">
        <is>
          <t>S</t>
        </is>
      </c>
      <c r="L392" s="4" t="inlineStr">
        <is>
          <t>2025-02-15</t>
        </is>
      </c>
      <c r="M392" s="5" t="n">
        <v>834741.47</v>
      </c>
      <c r="N392" s="5">
        <f>J392-M392</f>
        <v/>
      </c>
      <c r="O392" s="6">
        <f>IF(F392="INFERIOR",N392/J392,"")</f>
        <v/>
      </c>
      <c r="P392" s="5">
        <f>IF(F392="INFERIOR",O392*MUS_parametros!$B$18,N392)</f>
        <v/>
      </c>
      <c r="Q392" s="4" t="inlineStr">
        <is>
          <t>Documento confere com o registro</t>
        </is>
      </c>
    </row>
    <row r="393">
      <c r="A393" s="4" t="inlineStr">
        <is>
          <t>IMB-0266025</t>
        </is>
      </c>
      <c r="B393" s="4" t="inlineStr">
        <is>
          <t>DESENVOLVIMENTO_CAMPOS</t>
        </is>
      </c>
      <c r="C393" s="4" t="inlineStr">
        <is>
          <t>1.2.03.04.001</t>
        </is>
      </c>
      <c r="D393" s="4" t="inlineStr">
        <is>
          <t>POT-CONC-10 (SINTETICO)</t>
        </is>
      </c>
      <c r="E393" s="4" t="inlineStr">
        <is>
          <t>PERFURACAO E COMPLETACAO</t>
        </is>
      </c>
      <c r="F393" s="4" t="inlineStr">
        <is>
          <t>INFERIOR</t>
        </is>
      </c>
      <c r="G393" s="4" t="n">
        <v>1</v>
      </c>
      <c r="H393" s="5" t="n">
        <v>3145113906.838174</v>
      </c>
      <c r="I393" s="5" t="n">
        <v>3145401993.00002</v>
      </c>
      <c r="J393" s="5" t="n">
        <v>483637.27</v>
      </c>
      <c r="K393" s="4" t="inlineStr">
        <is>
          <t>S</t>
        </is>
      </c>
      <c r="L393" s="4" t="inlineStr">
        <is>
          <t>2025-01-20</t>
        </is>
      </c>
      <c r="M393" s="5" t="n">
        <v>483637.27</v>
      </c>
      <c r="N393" s="5">
        <f>J393-M393</f>
        <v/>
      </c>
      <c r="O393" s="6">
        <f>IF(F393="INFERIOR",N393/J393,"")</f>
        <v/>
      </c>
      <c r="P393" s="5">
        <f>IF(F393="INFERIOR",O393*MUS_parametros!$B$18,N393)</f>
        <v/>
      </c>
      <c r="Q393" s="4" t="inlineStr">
        <is>
          <t>Documento confere com o registro</t>
        </is>
      </c>
    </row>
    <row r="394">
      <c r="A394" s="4" t="inlineStr">
        <is>
          <t>IMB-0266854</t>
        </is>
      </c>
      <c r="B394" s="4" t="inlineStr">
        <is>
          <t>DESENVOLVIMENTO_CAMPOS</t>
        </is>
      </c>
      <c r="C394" s="4" t="inlineStr">
        <is>
          <t>1.2.03.04.002</t>
        </is>
      </c>
      <c r="D394" s="4" t="inlineStr">
        <is>
          <t>POT-CONC-11 (SINTETICO)</t>
        </is>
      </c>
      <c r="E394" s="4" t="inlineStr">
        <is>
          <t>FRATURAMENTO / ESTIMULACAO CAPITALIZADA</t>
        </is>
      </c>
      <c r="F394" s="4" t="inlineStr">
        <is>
          <t>INFERIOR</t>
        </is>
      </c>
      <c r="G394" s="4" t="n">
        <v>1</v>
      </c>
      <c r="H394" s="5" t="n">
        <v>3150846906.838174</v>
      </c>
      <c r="I394" s="5" t="n">
        <v>3150917876.860019</v>
      </c>
      <c r="J394" s="5" t="n">
        <v>108771.19</v>
      </c>
      <c r="K394" s="4" t="inlineStr">
        <is>
          <t>S</t>
        </is>
      </c>
      <c r="L394" s="4" t="inlineStr">
        <is>
          <t>2025-08-23</t>
        </is>
      </c>
      <c r="M394" s="5" t="n">
        <v>108771.19</v>
      </c>
      <c r="N394" s="5">
        <f>J394-M394</f>
        <v/>
      </c>
      <c r="O394" s="6">
        <f>IF(F394="INFERIOR",N394/J394,"")</f>
        <v/>
      </c>
      <c r="P394" s="5">
        <f>IF(F394="INFERIOR",O394*MUS_parametros!$B$18,N394)</f>
        <v/>
      </c>
      <c r="Q394" s="4" t="inlineStr">
        <is>
          <t>Documento confere com o registro</t>
        </is>
      </c>
    </row>
    <row r="395">
      <c r="A395" s="4" t="inlineStr">
        <is>
          <t>IMB-0267629</t>
        </is>
      </c>
      <c r="B395" s="4" t="inlineStr">
        <is>
          <t>DESENVOLVIMENTO_CAMPOS</t>
        </is>
      </c>
      <c r="C395" s="4" t="inlineStr">
        <is>
          <t>1.2.03.04.001</t>
        </is>
      </c>
      <c r="D395" s="4" t="inlineStr">
        <is>
          <t>TARTARUGA</t>
        </is>
      </c>
      <c r="E395" s="4" t="inlineStr">
        <is>
          <t>PERFURACAO E COMPLETACAO</t>
        </is>
      </c>
      <c r="F395" s="4" t="inlineStr">
        <is>
          <t>INFERIOR</t>
        </is>
      </c>
      <c r="G395" s="4" t="n">
        <v>1</v>
      </c>
      <c r="H395" s="5" t="n">
        <v>3156579906.838174</v>
      </c>
      <c r="I395" s="5" t="n">
        <v>3157863707.780025</v>
      </c>
      <c r="J395" s="5" t="n">
        <v>1531134.92</v>
      </c>
      <c r="K395" s="4" t="inlineStr">
        <is>
          <t>S</t>
        </is>
      </c>
      <c r="L395" s="4" t="inlineStr">
        <is>
          <t>2025-12-06</t>
        </is>
      </c>
      <c r="M395" s="5" t="n">
        <v>1531134.92</v>
      </c>
      <c r="N395" s="5">
        <f>J395-M395</f>
        <v/>
      </c>
      <c r="O395" s="6">
        <f>IF(F395="INFERIOR",N395/J395,"")</f>
        <v/>
      </c>
      <c r="P395" s="5">
        <f>IF(F395="INFERIOR",O395*MUS_parametros!$B$18,N395)</f>
        <v/>
      </c>
      <c r="Q395" s="4" t="inlineStr">
        <is>
          <t>Documento confere com o registro</t>
        </is>
      </c>
    </row>
    <row r="396">
      <c r="A396" s="4" t="inlineStr">
        <is>
          <t>IMB-0268326</t>
        </is>
      </c>
      <c r="B396" s="4" t="inlineStr">
        <is>
          <t>DESENVOLVIMENTO_CAMPOS</t>
        </is>
      </c>
      <c r="C396" s="4" t="inlineStr">
        <is>
          <t>1.2.03.04.001</t>
        </is>
      </c>
      <c r="D396" s="4" t="inlineStr">
        <is>
          <t>POT-CONC-12 (SINTETICO)</t>
        </is>
      </c>
      <c r="E396" s="4" t="inlineStr">
        <is>
          <t>PERFURACAO E COMPLETACAO</t>
        </is>
      </c>
      <c r="F396" s="4" t="inlineStr">
        <is>
          <t>INFERIOR</t>
        </is>
      </c>
      <c r="G396" s="4" t="n">
        <v>1</v>
      </c>
      <c r="H396" s="5" t="n">
        <v>3162312906.838174</v>
      </c>
      <c r="I396" s="5" t="n">
        <v>3162500576.080029</v>
      </c>
      <c r="J396" s="5" t="n">
        <v>241360.43</v>
      </c>
      <c r="K396" s="4" t="inlineStr">
        <is>
          <t>S</t>
        </is>
      </c>
      <c r="L396" s="4" t="inlineStr">
        <is>
          <t>2025-02-15</t>
        </is>
      </c>
      <c r="M396" s="5" t="n">
        <v>241360.43</v>
      </c>
      <c r="N396" s="5">
        <f>J396-M396</f>
        <v/>
      </c>
      <c r="O396" s="6">
        <f>IF(F396="INFERIOR",N396/J396,"")</f>
        <v/>
      </c>
      <c r="P396" s="5">
        <f>IF(F396="INFERIOR",O396*MUS_parametros!$B$18,N396)</f>
        <v/>
      </c>
      <c r="Q396" s="4" t="inlineStr">
        <is>
          <t>Documento confere com o registro</t>
        </is>
      </c>
    </row>
    <row r="397">
      <c r="A397" s="4" t="inlineStr">
        <is>
          <t>IMB-0269075</t>
        </is>
      </c>
      <c r="B397" s="4" t="inlineStr">
        <is>
          <t>DESENVOLVIMENTO_CAMPOS</t>
        </is>
      </c>
      <c r="C397" s="4" t="inlineStr">
        <is>
          <t>1.2.03.04.001</t>
        </is>
      </c>
      <c r="D397" s="4" t="inlineStr">
        <is>
          <t>POT-CONC-12 (SINTETICO)</t>
        </is>
      </c>
      <c r="E397" s="4" t="inlineStr">
        <is>
          <t>PERFURACAO E COMPLETACAO</t>
        </is>
      </c>
      <c r="F397" s="4" t="inlineStr">
        <is>
          <t>INFERIOR</t>
        </is>
      </c>
      <c r="G397" s="4" t="n">
        <v>1</v>
      </c>
      <c r="H397" s="5" t="n">
        <v>3168045906.838174</v>
      </c>
      <c r="I397" s="5" t="n">
        <v>3168072939.280032</v>
      </c>
      <c r="J397" s="5" t="n">
        <v>67960.46000000001</v>
      </c>
      <c r="K397" s="4" t="inlineStr">
        <is>
          <t>S</t>
        </is>
      </c>
      <c r="L397" s="4" t="inlineStr">
        <is>
          <t>2025-06-27</t>
        </is>
      </c>
      <c r="M397" s="5" t="n">
        <v>67960.46000000001</v>
      </c>
      <c r="N397" s="5">
        <f>J397-M397</f>
        <v/>
      </c>
      <c r="O397" s="6">
        <f>IF(F397="INFERIOR",N397/J397,"")</f>
        <v/>
      </c>
      <c r="P397" s="5">
        <f>IF(F397="INFERIOR",O397*MUS_parametros!$B$18,N397)</f>
        <v/>
      </c>
      <c r="Q397" s="4" t="inlineStr">
        <is>
          <t>Documento confere com o registro</t>
        </is>
      </c>
    </row>
    <row r="398">
      <c r="A398" s="4" t="inlineStr">
        <is>
          <t>IMB-0269839</t>
        </is>
      </c>
      <c r="B398" s="4" t="inlineStr">
        <is>
          <t>DESENVOLVIMENTO_CAMPOS</t>
        </is>
      </c>
      <c r="C398" s="4" t="inlineStr">
        <is>
          <t>1.2.03.04.001</t>
        </is>
      </c>
      <c r="D398" s="4" t="inlineStr">
        <is>
          <t>TARTARUGA</t>
        </is>
      </c>
      <c r="E398" s="4" t="inlineStr">
        <is>
          <t>PERFURACAO E COMPLETACAO</t>
        </is>
      </c>
      <c r="F398" s="4" t="inlineStr">
        <is>
          <t>INFERIOR</t>
        </is>
      </c>
      <c r="G398" s="4" t="n">
        <v>1</v>
      </c>
      <c r="H398" s="5" t="n">
        <v>3173778906.838174</v>
      </c>
      <c r="I398" s="5" t="n">
        <v>3174171652.520029</v>
      </c>
      <c r="J398" s="5" t="n">
        <v>881028.4399999999</v>
      </c>
      <c r="K398" s="4" t="inlineStr">
        <is>
          <t>S</t>
        </is>
      </c>
      <c r="L398" s="4" t="inlineStr">
        <is>
          <t>2025-12-29</t>
        </is>
      </c>
      <c r="M398" s="5" t="n">
        <v>881028.4399999999</v>
      </c>
      <c r="N398" s="5">
        <f>J398-M398</f>
        <v/>
      </c>
      <c r="O398" s="6">
        <f>IF(F398="INFERIOR",N398/J398,"")</f>
        <v/>
      </c>
      <c r="P398" s="5">
        <f>IF(F398="INFERIOR",O398*MUS_parametros!$B$18,N398)</f>
        <v/>
      </c>
      <c r="Q398" s="4" t="inlineStr">
        <is>
          <t>Documento confere com o registro</t>
        </is>
      </c>
    </row>
    <row r="399">
      <c r="A399" s="4" t="inlineStr">
        <is>
          <t>IMB-0270497</t>
        </is>
      </c>
      <c r="B399" s="4" t="inlineStr">
        <is>
          <t>DESENVOLVIMENTO_CAMPOS</t>
        </is>
      </c>
      <c r="C399" s="4" t="inlineStr">
        <is>
          <t>1.2.03.04.001</t>
        </is>
      </c>
      <c r="D399" s="4" t="inlineStr">
        <is>
          <t>RIACHO SAO PEDRO</t>
        </is>
      </c>
      <c r="E399" s="4" t="inlineStr">
        <is>
          <t>PERFURACAO E COMPLETACAO</t>
        </is>
      </c>
      <c r="F399" s="4" t="inlineStr">
        <is>
          <t>INFERIOR</t>
        </is>
      </c>
      <c r="G399" s="4" t="n">
        <v>1</v>
      </c>
      <c r="H399" s="5" t="n">
        <v>3179511906.838174</v>
      </c>
      <c r="I399" s="5" t="n">
        <v>3180313183.970031</v>
      </c>
      <c r="J399" s="5" t="n">
        <v>910481.97</v>
      </c>
      <c r="K399" s="4" t="inlineStr">
        <is>
          <t>S</t>
        </is>
      </c>
      <c r="L399" s="4" t="inlineStr">
        <is>
          <t>2025-08-11</t>
        </is>
      </c>
      <c r="M399" s="5" t="n">
        <v>910481.97</v>
      </c>
      <c r="N399" s="5">
        <f>J399-M399</f>
        <v/>
      </c>
      <c r="O399" s="6">
        <f>IF(F399="INFERIOR",N399/J399,"")</f>
        <v/>
      </c>
      <c r="P399" s="5">
        <f>IF(F399="INFERIOR",O399*MUS_parametros!$B$18,N399)</f>
        <v/>
      </c>
      <c r="Q399" s="4" t="inlineStr">
        <is>
          <t>Documento confere com o registro</t>
        </is>
      </c>
    </row>
    <row r="400">
      <c r="A400" s="4" t="inlineStr">
        <is>
          <t>IMB-0270991</t>
        </is>
      </c>
      <c r="B400" s="4" t="inlineStr">
        <is>
          <t>OUTROS</t>
        </is>
      </c>
      <c r="C400" s="4" t="inlineStr">
        <is>
          <t>1.2.03.09.003</t>
        </is>
      </c>
      <c r="D400" s="4" t="inlineStr">
        <is>
          <t>POT-CONC-12 (SINTETICO)</t>
        </is>
      </c>
      <c r="E400" s="4" t="inlineStr">
        <is>
          <t>MOVEL E UTENSILIO</t>
        </is>
      </c>
      <c r="F400" s="4" t="inlineStr">
        <is>
          <t>INFERIOR</t>
        </is>
      </c>
      <c r="G400" s="4" t="n">
        <v>1</v>
      </c>
      <c r="H400" s="5" t="n">
        <v>3185244906.838174</v>
      </c>
      <c r="I400" s="5" t="n">
        <v>3185245714.620034</v>
      </c>
      <c r="J400" s="5" t="n">
        <v>853.63</v>
      </c>
      <c r="K400" s="4" t="inlineStr">
        <is>
          <t>S</t>
        </is>
      </c>
      <c r="L400" s="4" t="inlineStr">
        <is>
          <t>2024-11-01</t>
        </is>
      </c>
      <c r="M400" s="5" t="n">
        <v>853.63</v>
      </c>
      <c r="N400" s="5">
        <f>J400-M400</f>
        <v/>
      </c>
      <c r="O400" s="6">
        <f>IF(F400="INFERIOR",N400/J400,"")</f>
        <v/>
      </c>
      <c r="P400" s="5">
        <f>IF(F400="INFERIOR",O400*MUS_parametros!$B$18,N400)</f>
        <v/>
      </c>
      <c r="Q400" s="4" t="inlineStr">
        <is>
          <t>Documento confere com o registro</t>
        </is>
      </c>
    </row>
    <row r="401">
      <c r="A401" s="4" t="inlineStr">
        <is>
          <t>IMB-0271268</t>
        </is>
      </c>
      <c r="B401" s="4" t="inlineStr">
        <is>
          <t>DESENVOLVIMENTO_CAMPOS</t>
        </is>
      </c>
      <c r="C401" s="4" t="inlineStr">
        <is>
          <t>1.2.03.04.001</t>
        </is>
      </c>
      <c r="D401" s="4" t="inlineStr">
        <is>
          <t>CASSARONGONGO</t>
        </is>
      </c>
      <c r="E401" s="4" t="inlineStr">
        <is>
          <t>PERFURACAO E COMPLETACAO</t>
        </is>
      </c>
      <c r="F401" s="4" t="inlineStr">
        <is>
          <t>INFERIOR</t>
        </is>
      </c>
      <c r="G401" s="4" t="n">
        <v>1</v>
      </c>
      <c r="H401" s="5" t="n">
        <v>3190977906.838174</v>
      </c>
      <c r="I401" s="5" t="n">
        <v>3191133354.670038</v>
      </c>
      <c r="J401" s="5" t="n">
        <v>603379.88</v>
      </c>
      <c r="K401" s="4" t="inlineStr">
        <is>
          <t>S</t>
        </is>
      </c>
      <c r="L401" s="4" t="inlineStr">
        <is>
          <t>2025-11-21</t>
        </is>
      </c>
      <c r="M401" s="5" t="n">
        <v>603379.88</v>
      </c>
      <c r="N401" s="5">
        <f>J401-M401</f>
        <v/>
      </c>
      <c r="O401" s="6">
        <f>IF(F401="INFERIOR",N401/J401,"")</f>
        <v/>
      </c>
      <c r="P401" s="5">
        <f>IF(F401="INFERIOR",O401*MUS_parametros!$B$18,N401)</f>
        <v/>
      </c>
      <c r="Q401" s="4" t="inlineStr">
        <is>
          <t>Documento confere com o registro</t>
        </is>
      </c>
    </row>
    <row r="402">
      <c r="A402" s="4" t="inlineStr">
        <is>
          <t>IMB-0271767</t>
        </is>
      </c>
      <c r="B402" s="4" t="inlineStr">
        <is>
          <t>DIREITO_PRODUCAO_OLEO_GAS</t>
        </is>
      </c>
      <c r="C402" s="4" t="inlineStr">
        <is>
          <t>1.2.03.03.004</t>
        </is>
      </c>
      <c r="D402" s="4" t="inlineStr">
        <is>
          <t>LIVRAMENTO</t>
        </is>
      </c>
      <c r="E402" s="4" t="inlineStr">
        <is>
          <t>CUSTO DE AQUISICAO DA CONCESSAO</t>
        </is>
      </c>
      <c r="F402" s="4" t="inlineStr">
        <is>
          <t>SUPERIOR (VC &gt;= I)</t>
        </is>
      </c>
      <c r="G402" s="4" t="n">
        <v>3</v>
      </c>
      <c r="H402" s="5" t="n">
        <v>3196710906.838174</v>
      </c>
      <c r="I402" s="5" t="n">
        <v>3213489449.420042</v>
      </c>
      <c r="J402" s="5" t="n">
        <v>18111150.96</v>
      </c>
      <c r="K402" s="4" t="inlineStr">
        <is>
          <t>S</t>
        </is>
      </c>
      <c r="L402" s="4" t="inlineStr">
        <is>
          <t>2019-12-09</t>
        </is>
      </c>
      <c r="M402" s="5" t="n">
        <v>18111150.96</v>
      </c>
      <c r="N402" s="5">
        <f>J402-M402</f>
        <v/>
      </c>
      <c r="O402" s="6">
        <f>IF(F402="INFERIOR",N402/J402,"")</f>
        <v/>
      </c>
      <c r="P402" s="5">
        <f>IF(F402="INFERIOR",O402*MUS_parametros!$B$18,N402)</f>
        <v/>
      </c>
      <c r="Q402" s="4" t="inlineStr">
        <is>
          <t>Documento confere com o registro</t>
        </is>
      </c>
    </row>
    <row r="403">
      <c r="A403" s="4" t="inlineStr">
        <is>
          <t>IMB-0271870</t>
        </is>
      </c>
      <c r="B403" s="4" t="inlineStr">
        <is>
          <t>DESENVOLVIMENTO_CAMPOS</t>
        </is>
      </c>
      <c r="C403" s="4" t="inlineStr">
        <is>
          <t>1.2.03.04.001</t>
        </is>
      </c>
      <c r="D403" s="4" t="inlineStr">
        <is>
          <t>BAIXA DO ALGODAO</t>
        </is>
      </c>
      <c r="E403" s="4" t="inlineStr">
        <is>
          <t>PERFURACAO E COMPLETACAO</t>
        </is>
      </c>
      <c r="F403" s="4" t="inlineStr">
        <is>
          <t>INFERIOR</t>
        </is>
      </c>
      <c r="G403" s="4" t="n">
        <v>1</v>
      </c>
      <c r="H403" s="5" t="n">
        <v>3213909906.838174</v>
      </c>
      <c r="I403" s="5" t="n">
        <v>3213929210.500043</v>
      </c>
      <c r="J403" s="5" t="n">
        <v>30349.69</v>
      </c>
      <c r="K403" s="4" t="inlineStr">
        <is>
          <t>S</t>
        </is>
      </c>
      <c r="L403" s="4" t="inlineStr">
        <is>
          <t>2022-02-23</t>
        </is>
      </c>
      <c r="M403" s="5" t="n">
        <v>30349.69</v>
      </c>
      <c r="N403" s="5">
        <f>J403-M403</f>
        <v/>
      </c>
      <c r="O403" s="6">
        <f>IF(F403="INFERIOR",N403/J403,"")</f>
        <v/>
      </c>
      <c r="P403" s="5">
        <f>IF(F403="INFERIOR",O403*MUS_parametros!$B$18,N403)</f>
        <v/>
      </c>
      <c r="Q403" s="4" t="inlineStr">
        <is>
          <t>Documento confere com o registro</t>
        </is>
      </c>
    </row>
    <row r="404">
      <c r="A404" s="4" t="inlineStr">
        <is>
          <t>IMB-0272740</t>
        </is>
      </c>
      <c r="B404" s="4" t="inlineStr">
        <is>
          <t>MAQUINAS_EQUIPAMENTOS</t>
        </is>
      </c>
      <c r="C404" s="4" t="inlineStr">
        <is>
          <t>1.2.03.01.004</t>
        </is>
      </c>
      <c r="D404" s="4" t="inlineStr">
        <is>
          <t>UPGN GUAMARE</t>
        </is>
      </c>
      <c r="E404" s="4" t="inlineStr">
        <is>
          <t>COMPRESSAO E RECEBIMENTO</t>
        </is>
      </c>
      <c r="F404" s="4" t="inlineStr">
        <is>
          <t>INFERIOR</t>
        </is>
      </c>
      <c r="G404" s="4" t="n">
        <v>1</v>
      </c>
      <c r="H404" s="5" t="n">
        <v>3219642906.838174</v>
      </c>
      <c r="I404" s="5" t="n">
        <v>3219714916.890031</v>
      </c>
      <c r="J404" s="5" t="n">
        <v>98883.95</v>
      </c>
      <c r="K404" s="4" t="inlineStr">
        <is>
          <t>S</t>
        </is>
      </c>
      <c r="L404" s="4" t="inlineStr">
        <is>
          <t>2025-09-30</t>
        </is>
      </c>
      <c r="M404" s="5" t="n">
        <v>98883.95</v>
      </c>
      <c r="N404" s="5">
        <f>J404-M404</f>
        <v/>
      </c>
      <c r="O404" s="6">
        <f>IF(F404="INFERIOR",N404/J404,"")</f>
        <v/>
      </c>
      <c r="P404" s="5">
        <f>IF(F404="INFERIOR",O404*MUS_parametros!$B$18,N404)</f>
        <v/>
      </c>
      <c r="Q404" s="4" t="inlineStr">
        <is>
          <t>Documento confere com o registro</t>
        </is>
      </c>
    </row>
    <row r="405">
      <c r="A405" s="4" t="inlineStr">
        <is>
          <t>IMB-0273148</t>
        </is>
      </c>
      <c r="B405" s="4" t="inlineStr">
        <is>
          <t>DESENVOLVIMENTO_CAMPOS</t>
        </is>
      </c>
      <c r="C405" s="4" t="inlineStr">
        <is>
          <t>1.2.03.04.003</t>
        </is>
      </c>
      <c r="D405" s="4" t="inlineStr">
        <is>
          <t>POT-CONC-13 (SINTETICO)</t>
        </is>
      </c>
      <c r="E405" s="4" t="inlineStr">
        <is>
          <t>BOMBA DE FUNDO (BM/BCP)</t>
        </is>
      </c>
      <c r="F405" s="4" t="inlineStr">
        <is>
          <t>INFERIOR</t>
        </is>
      </c>
      <c r="G405" s="4" t="n">
        <v>1</v>
      </c>
      <c r="H405" s="5" t="n">
        <v>3225375906.838174</v>
      </c>
      <c r="I405" s="5" t="n">
        <v>3225379245.420036</v>
      </c>
      <c r="J405" s="5" t="n">
        <v>6827.83</v>
      </c>
      <c r="K405" s="4" t="inlineStr">
        <is>
          <t>S</t>
        </is>
      </c>
      <c r="L405" s="4" t="inlineStr">
        <is>
          <t>2025-06-25</t>
        </is>
      </c>
      <c r="M405" s="5" t="n">
        <v>6827.83</v>
      </c>
      <c r="N405" s="5">
        <f>J405-M405</f>
        <v/>
      </c>
      <c r="O405" s="6">
        <f>IF(F405="INFERIOR",N405/J405,"")</f>
        <v/>
      </c>
      <c r="P405" s="5">
        <f>IF(F405="INFERIOR",O405*MUS_parametros!$B$18,N405)</f>
        <v/>
      </c>
      <c r="Q405" s="4" t="inlineStr">
        <is>
          <t>Documento confere com o registro</t>
        </is>
      </c>
    </row>
    <row r="406">
      <c r="A406" s="4" t="inlineStr">
        <is>
          <t>IMB-0274067</t>
        </is>
      </c>
      <c r="B406" s="4" t="inlineStr">
        <is>
          <t>DESENVOLVIMENTO_CAMPOS</t>
        </is>
      </c>
      <c r="C406" s="4" t="inlineStr">
        <is>
          <t>1.2.03.04.001</t>
        </is>
      </c>
      <c r="D406" s="4" t="inlineStr">
        <is>
          <t>PAJEU</t>
        </is>
      </c>
      <c r="E406" s="4" t="inlineStr">
        <is>
          <t>PERFURACAO E COMPLETACAO</t>
        </is>
      </c>
      <c r="F406" s="4" t="inlineStr">
        <is>
          <t>INFERIOR</t>
        </is>
      </c>
      <c r="G406" s="4" t="n">
        <v>1</v>
      </c>
      <c r="H406" s="5" t="n">
        <v>3231108906.838174</v>
      </c>
      <c r="I406" s="5" t="n">
        <v>3231132000.200035</v>
      </c>
      <c r="J406" s="5" t="n">
        <v>318881.57</v>
      </c>
      <c r="K406" s="4" t="inlineStr">
        <is>
          <t>S</t>
        </is>
      </c>
      <c r="L406" s="4" t="inlineStr">
        <is>
          <t>2025-03-30</t>
        </is>
      </c>
      <c r="M406" s="5" t="n">
        <v>318881.57</v>
      </c>
      <c r="N406" s="5">
        <f>J406-M406</f>
        <v/>
      </c>
      <c r="O406" s="6">
        <f>IF(F406="INFERIOR",N406/J406,"")</f>
        <v/>
      </c>
      <c r="P406" s="5">
        <f>IF(F406="INFERIOR",O406*MUS_parametros!$B$18,N406)</f>
        <v/>
      </c>
      <c r="Q406" s="4" t="inlineStr">
        <is>
          <t>Documento confere com o registro</t>
        </is>
      </c>
    </row>
    <row r="407">
      <c r="A407" s="4" t="inlineStr">
        <is>
          <t>IMB-0274942</t>
        </is>
      </c>
      <c r="B407" s="4" t="inlineStr">
        <is>
          <t>OUTROS</t>
        </is>
      </c>
      <c r="C407" s="4" t="inlineStr">
        <is>
          <t>1.2.03.09.004</t>
        </is>
      </c>
      <c r="D407" s="4" t="inlineStr">
        <is>
          <t>FAZENDA ONCA</t>
        </is>
      </c>
      <c r="E407" s="4" t="inlineStr">
        <is>
          <t>EQUIPAMENTO DE INFORMATICA</t>
        </is>
      </c>
      <c r="F407" s="4" t="inlineStr">
        <is>
          <t>INFERIOR</t>
        </is>
      </c>
      <c r="G407" s="4" t="n">
        <v>1</v>
      </c>
      <c r="H407" s="5" t="n">
        <v>3236841906.838174</v>
      </c>
      <c r="I407" s="5" t="n">
        <v>3236842115.080027</v>
      </c>
      <c r="J407" s="5" t="n">
        <v>2504.69</v>
      </c>
      <c r="K407" s="4" t="inlineStr">
        <is>
          <t>S</t>
        </is>
      </c>
      <c r="L407" s="4" t="inlineStr">
        <is>
          <t>2024-05-08</t>
        </is>
      </c>
      <c r="M407" s="5" t="n">
        <v>2504.69</v>
      </c>
      <c r="N407" s="5">
        <f>J407-M407</f>
        <v/>
      </c>
      <c r="O407" s="6">
        <f>IF(F407="INFERIOR",N407/J407,"")</f>
        <v/>
      </c>
      <c r="P407" s="5">
        <f>IF(F407="INFERIOR",O407*MUS_parametros!$B$18,N407)</f>
        <v/>
      </c>
      <c r="Q407" s="4" t="inlineStr">
        <is>
          <t>Documento confere com o registro</t>
        </is>
      </c>
    </row>
    <row r="408">
      <c r="A408" s="4" t="inlineStr">
        <is>
          <t>IMB-0275487</t>
        </is>
      </c>
      <c r="B408" s="4" t="inlineStr">
        <is>
          <t>DESENVOLVIMENTO_CAMPOS</t>
        </is>
      </c>
      <c r="C408" s="4" t="inlineStr">
        <is>
          <t>1.2.03.04.001</t>
        </is>
      </c>
      <c r="D408" s="4" t="inlineStr">
        <is>
          <t>POT-CONC-05 (SINTETICO)</t>
        </is>
      </c>
      <c r="E408" s="4" t="inlineStr">
        <is>
          <t>PERFURACAO E COMPLETACAO</t>
        </is>
      </c>
      <c r="F408" s="4" t="inlineStr">
        <is>
          <t>INFERIOR</t>
        </is>
      </c>
      <c r="G408" s="4" t="n">
        <v>1</v>
      </c>
      <c r="H408" s="5" t="n">
        <v>3242574906.838174</v>
      </c>
      <c r="I408" s="5" t="n">
        <v>3242775657.010028</v>
      </c>
      <c r="J408" s="5" t="n">
        <v>511527.59</v>
      </c>
      <c r="K408" s="4" t="inlineStr">
        <is>
          <t>S</t>
        </is>
      </c>
      <c r="L408" s="4" t="inlineStr">
        <is>
          <t>2025-06-17</t>
        </is>
      </c>
      <c r="M408" s="5" t="n">
        <v>511527.59</v>
      </c>
      <c r="N408" s="5">
        <f>J408-M408</f>
        <v/>
      </c>
      <c r="O408" s="6">
        <f>IF(F408="INFERIOR",N408/J408,"")</f>
        <v/>
      </c>
      <c r="P408" s="5">
        <f>IF(F408="INFERIOR",O408*MUS_parametros!$B$18,N408)</f>
        <v/>
      </c>
      <c r="Q408" s="4" t="inlineStr">
        <is>
          <t>Documento confere com o registro</t>
        </is>
      </c>
    </row>
    <row r="409">
      <c r="A409" s="4" t="inlineStr">
        <is>
          <t>IMB-0275839</t>
        </is>
      </c>
      <c r="B409" s="4" t="inlineStr">
        <is>
          <t>DIREITO_PRODUCAO_OLEO_GAS</t>
        </is>
      </c>
      <c r="C409" s="4" t="inlineStr">
        <is>
          <t>1.2.03.03.003</t>
        </is>
      </c>
      <c r="D409" s="4" t="inlineStr">
        <is>
          <t>BIRIBA</t>
        </is>
      </c>
      <c r="E409" s="4" t="inlineStr">
        <is>
          <t>CUSTO DE AQUISICAO DA CONCESSAO</t>
        </is>
      </c>
      <c r="F409" s="4" t="inlineStr">
        <is>
          <t>SUPERIOR (VC &gt;= I)</t>
        </is>
      </c>
      <c r="G409" s="4" t="n">
        <v>17</v>
      </c>
      <c r="H409" s="5" t="n">
        <v>3248307906.838174</v>
      </c>
      <c r="I409" s="5" t="n">
        <v>3345006283.800028</v>
      </c>
      <c r="J409" s="5" t="n">
        <v>99513050.03</v>
      </c>
      <c r="K409" s="4" t="inlineStr">
        <is>
          <t>S</t>
        </is>
      </c>
      <c r="L409" s="4" t="inlineStr">
        <is>
          <t>2021-12-07</t>
        </is>
      </c>
      <c r="M409" s="5" t="n">
        <v>99513050.03</v>
      </c>
      <c r="N409" s="5">
        <f>J409-M409</f>
        <v/>
      </c>
      <c r="O409" s="6">
        <f>IF(F409="INFERIOR",N409/J409,"")</f>
        <v/>
      </c>
      <c r="P409" s="5">
        <f>IF(F409="INFERIOR",O409*MUS_parametros!$B$18,N409)</f>
        <v/>
      </c>
      <c r="Q409" s="4" t="inlineStr">
        <is>
          <t>Documento confere com o registro</t>
        </is>
      </c>
    </row>
    <row r="410">
      <c r="A410" s="4" t="inlineStr">
        <is>
          <t>IMB-0275928</t>
        </is>
      </c>
      <c r="B410" s="4" t="inlineStr">
        <is>
          <t>ALMOXARIFADO_INVERSOES_FIXAS</t>
        </is>
      </c>
      <c r="C410" s="4" t="inlineStr">
        <is>
          <t>1.2.03.07.001</t>
        </is>
      </c>
      <c r="D410" s="4" t="inlineStr">
        <is>
          <t>POT-CONC-12 (SINTETICO)</t>
        </is>
      </c>
      <c r="E410" s="4" t="inlineStr">
        <is>
          <t>TUBO DE REVESTIMENTO/PRODUCAO (LOTE)</t>
        </is>
      </c>
      <c r="F410" s="4" t="inlineStr">
        <is>
          <t>INFERIOR</t>
        </is>
      </c>
      <c r="G410" s="4" t="n">
        <v>1</v>
      </c>
      <c r="H410" s="5" t="n">
        <v>3345768906.838174</v>
      </c>
      <c r="I410" s="5" t="n">
        <v>3345773666.200029</v>
      </c>
      <c r="J410" s="5" t="n">
        <v>5250.3</v>
      </c>
      <c r="K410" s="4" t="inlineStr">
        <is>
          <t>S</t>
        </is>
      </c>
      <c r="L410" s="4" t="inlineStr">
        <is>
          <t>2025-05-05</t>
        </is>
      </c>
      <c r="M410" s="5" t="n">
        <v>5250.3</v>
      </c>
      <c r="N410" s="5">
        <f>J410-M410</f>
        <v/>
      </c>
      <c r="O410" s="6">
        <f>IF(F410="INFERIOR",N410/J410,"")</f>
        <v/>
      </c>
      <c r="P410" s="5">
        <f>IF(F410="INFERIOR",O410*MUS_parametros!$B$18,N410)</f>
        <v/>
      </c>
      <c r="Q410" s="4" t="inlineStr">
        <is>
          <t>Documento confere com o registro</t>
        </is>
      </c>
    </row>
    <row r="411">
      <c r="A411" s="4" t="inlineStr">
        <is>
          <t>IMB-0276454</t>
        </is>
      </c>
      <c r="B411" s="4" t="inlineStr">
        <is>
          <t>OUTROS</t>
        </is>
      </c>
      <c r="C411" s="4" t="inlineStr">
        <is>
          <t>1.2.03.09.003</t>
        </is>
      </c>
      <c r="D411" s="4" t="inlineStr">
        <is>
          <t>SAO PEDRO</t>
        </is>
      </c>
      <c r="E411" s="4" t="inlineStr">
        <is>
          <t>MOVEL E UTENSILIO</t>
        </is>
      </c>
      <c r="F411" s="4" t="inlineStr">
        <is>
          <t>INFERIOR</t>
        </is>
      </c>
      <c r="G411" s="4" t="n">
        <v>1</v>
      </c>
      <c r="H411" s="5" t="n">
        <v>3351501906.838174</v>
      </c>
      <c r="I411" s="5" t="n">
        <v>3351501948.100031</v>
      </c>
      <c r="J411" s="5" t="n">
        <v>1077.43</v>
      </c>
      <c r="K411" s="4" t="inlineStr">
        <is>
          <t>S</t>
        </is>
      </c>
      <c r="L411" s="4" t="inlineStr">
        <is>
          <t>2025-03-24</t>
        </is>
      </c>
      <c r="M411" s="5" t="n">
        <v>1077.43</v>
      </c>
      <c r="N411" s="5">
        <f>J411-M411</f>
        <v/>
      </c>
      <c r="O411" s="6">
        <f>IF(F411="INFERIOR",N411/J411,"")</f>
        <v/>
      </c>
      <c r="P411" s="5">
        <f>IF(F411="INFERIOR",O411*MUS_parametros!$B$18,N411)</f>
        <v/>
      </c>
      <c r="Q411" s="4" t="inlineStr">
        <is>
          <t>Documento confere com o registro</t>
        </is>
      </c>
    </row>
    <row r="412">
      <c r="A412" s="4" t="inlineStr">
        <is>
          <t>IMB-0277099</t>
        </is>
      </c>
      <c r="B412" s="4" t="inlineStr">
        <is>
          <t>DESENVOLVIMENTO_CAMPOS</t>
        </is>
      </c>
      <c r="C412" s="4" t="inlineStr">
        <is>
          <t>1.2.03.04.001</t>
        </is>
      </c>
      <c r="D412" s="4" t="inlineStr">
        <is>
          <t>TARTARUGA</t>
        </is>
      </c>
      <c r="E412" s="4" t="inlineStr">
        <is>
          <t>PERFURACAO E COMPLETACAO</t>
        </is>
      </c>
      <c r="F412" s="4" t="inlineStr">
        <is>
          <t>INFERIOR</t>
        </is>
      </c>
      <c r="G412" s="4" t="n">
        <v>1</v>
      </c>
      <c r="H412" s="5" t="n">
        <v>3357234906.838174</v>
      </c>
      <c r="I412" s="5" t="n">
        <v>3358544185.160037</v>
      </c>
      <c r="J412" s="5" t="n">
        <v>2653110</v>
      </c>
      <c r="K412" s="4" t="inlineStr">
        <is>
          <t>S</t>
        </is>
      </c>
      <c r="L412" s="4" t="inlineStr">
        <is>
          <t>2025-12-05</t>
        </is>
      </c>
      <c r="M412" s="5" t="n">
        <v>2653110</v>
      </c>
      <c r="N412" s="5">
        <f>J412-M412</f>
        <v/>
      </c>
      <c r="O412" s="6">
        <f>IF(F412="INFERIOR",N412/J412,"")</f>
        <v/>
      </c>
      <c r="P412" s="5">
        <f>IF(F412="INFERIOR",O412*MUS_parametros!$B$18,N412)</f>
        <v/>
      </c>
      <c r="Q412" s="4" t="inlineStr">
        <is>
          <t>Documento confere com o registro</t>
        </is>
      </c>
    </row>
    <row r="413">
      <c r="A413" s="4" t="inlineStr">
        <is>
          <t>IMB-0277544</t>
        </is>
      </c>
      <c r="B413" s="4" t="inlineStr">
        <is>
          <t>DESENVOLVIMENTO_CAMPOS</t>
        </is>
      </c>
      <c r="C413" s="4" t="inlineStr">
        <is>
          <t>1.2.03.04.001</t>
        </is>
      </c>
      <c r="D413" s="4" t="inlineStr">
        <is>
          <t>TARTARUGA</t>
        </is>
      </c>
      <c r="E413" s="4" t="inlineStr">
        <is>
          <t>PERFURACAO E COMPLETACAO</t>
        </is>
      </c>
      <c r="F413" s="4" t="inlineStr">
        <is>
          <t>INFERIOR</t>
        </is>
      </c>
      <c r="G413" s="4" t="n">
        <v>1</v>
      </c>
      <c r="H413" s="5" t="n">
        <v>3362967906.838174</v>
      </c>
      <c r="I413" s="5" t="n">
        <v>3366517081.240041</v>
      </c>
      <c r="J413" s="5" t="n">
        <v>4584096.68</v>
      </c>
      <c r="K413" s="4" t="inlineStr">
        <is>
          <t>S</t>
        </is>
      </c>
      <c r="L413" s="4" t="inlineStr">
        <is>
          <t>2025-06-03</t>
        </is>
      </c>
      <c r="M413" s="5" t="n">
        <v>4584096.68</v>
      </c>
      <c r="N413" s="5">
        <f>J413-M413</f>
        <v/>
      </c>
      <c r="O413" s="6">
        <f>IF(F413="INFERIOR",N413/J413,"")</f>
        <v/>
      </c>
      <c r="P413" s="5">
        <f>IF(F413="INFERIOR",O413*MUS_parametros!$B$18,N413)</f>
        <v/>
      </c>
      <c r="Q413" s="4" t="inlineStr">
        <is>
          <t>Documento confere com o registro</t>
        </is>
      </c>
    </row>
    <row r="414">
      <c r="A414" s="4" t="inlineStr">
        <is>
          <t>IMB-0277930</t>
        </is>
      </c>
      <c r="B414" s="4" t="inlineStr">
        <is>
          <t>MAQUINAS_EQUIPAMENTOS</t>
        </is>
      </c>
      <c r="C414" s="4" t="inlineStr">
        <is>
          <t>1.2.03.01.001</t>
        </is>
      </c>
      <c r="D414" s="4" t="inlineStr">
        <is>
          <t>POT-CONC-20 (SINTETICO)</t>
        </is>
      </c>
      <c r="E414" s="4" t="inlineStr">
        <is>
          <t>COMPONENTE DE SONDA PROPRIA (PERFURACAO/PRODUCAO)</t>
        </is>
      </c>
      <c r="F414" s="4" t="inlineStr">
        <is>
          <t>INFERIOR</t>
        </is>
      </c>
      <c r="G414" s="4" t="n">
        <v>1</v>
      </c>
      <c r="H414" s="5" t="n">
        <v>3368700906.838174</v>
      </c>
      <c r="I414" s="5" t="n">
        <v>3368713829.490044</v>
      </c>
      <c r="J414" s="5" t="n">
        <v>92706.82000000001</v>
      </c>
      <c r="K414" s="4" t="inlineStr">
        <is>
          <t>S</t>
        </is>
      </c>
      <c r="L414" s="4" t="inlineStr">
        <is>
          <t>2011-05-22</t>
        </is>
      </c>
      <c r="M414" s="5" t="n">
        <v>92706.82000000001</v>
      </c>
      <c r="N414" s="5">
        <f>J414-M414</f>
        <v/>
      </c>
      <c r="O414" s="6">
        <f>IF(F414="INFERIOR",N414/J414,"")</f>
        <v/>
      </c>
      <c r="P414" s="5">
        <f>IF(F414="INFERIOR",O414*MUS_parametros!$B$18,N414)</f>
        <v/>
      </c>
      <c r="Q414" s="4" t="inlineStr">
        <is>
          <t>Documento confere com o registro</t>
        </is>
      </c>
    </row>
    <row r="415">
      <c r="A415" s="4" t="inlineStr">
        <is>
          <t>IMB-0278408</t>
        </is>
      </c>
      <c r="B415" s="4" t="inlineStr">
        <is>
          <t>DIREITO_PRODUCAO_OLEO_GAS</t>
        </is>
      </c>
      <c r="C415" s="4" t="inlineStr">
        <is>
          <t>1.2.03.03.003</t>
        </is>
      </c>
      <c r="D415" s="4" t="inlineStr">
        <is>
          <t>RIACHO SAO PEDRO</t>
        </is>
      </c>
      <c r="E415" s="4" t="inlineStr">
        <is>
          <t>CUSTO DE AQUISICAO DA CONCESSAO</t>
        </is>
      </c>
      <c r="F415" s="4" t="inlineStr">
        <is>
          <t>SUPERIOR (VC &gt;= I)</t>
        </is>
      </c>
      <c r="G415" s="4" t="n">
        <v>21</v>
      </c>
      <c r="H415" s="5" t="n">
        <v>3374433906.838174</v>
      </c>
      <c r="I415" s="5" t="n">
        <v>3492437918.430039</v>
      </c>
      <c r="J415" s="5" t="n">
        <v>119879541.35</v>
      </c>
      <c r="K415" s="4" t="inlineStr">
        <is>
          <t>S</t>
        </is>
      </c>
      <c r="L415" s="4" t="inlineStr">
        <is>
          <t>2021-12-07</t>
        </is>
      </c>
      <c r="M415" s="5" t="n">
        <v>119879541.35</v>
      </c>
      <c r="N415" s="5">
        <f>J415-M415</f>
        <v/>
      </c>
      <c r="O415" s="6">
        <f>IF(F415="INFERIOR",N415/J415,"")</f>
        <v/>
      </c>
      <c r="P415" s="5">
        <f>IF(F415="INFERIOR",O415*MUS_parametros!$B$18,N415)</f>
        <v/>
      </c>
      <c r="Q415" s="4" t="inlineStr">
        <is>
          <t>Documento confere com o registro</t>
        </is>
      </c>
    </row>
    <row r="416">
      <c r="A416" s="4" t="inlineStr">
        <is>
          <t>IMB-0278833</t>
        </is>
      </c>
      <c r="B416" s="4" t="inlineStr">
        <is>
          <t>DESENVOLVIMENTO_CAMPOS</t>
        </is>
      </c>
      <c r="C416" s="4" t="inlineStr">
        <is>
          <t>1.2.03.04.005</t>
        </is>
      </c>
      <c r="D416" s="4" t="inlineStr">
        <is>
          <t>TRES MARIAS</t>
        </is>
      </c>
      <c r="E416" s="4" t="inlineStr">
        <is>
          <t>CONVERSAO EM POCO INJETOR</t>
        </is>
      </c>
      <c r="F416" s="4" t="inlineStr">
        <is>
          <t>INFERIOR</t>
        </is>
      </c>
      <c r="G416" s="4" t="n">
        <v>1</v>
      </c>
      <c r="H416" s="5" t="n">
        <v>3494826906.838174</v>
      </c>
      <c r="I416" s="5" t="n">
        <v>3494829017.52004</v>
      </c>
      <c r="J416" s="5" t="n">
        <v>7898.89</v>
      </c>
      <c r="K416" s="4" t="inlineStr">
        <is>
          <t>S</t>
        </is>
      </c>
      <c r="L416" s="4" t="inlineStr">
        <is>
          <t>2025-01-30</t>
        </is>
      </c>
      <c r="M416" s="5" t="n">
        <v>7898.89</v>
      </c>
      <c r="N416" s="5">
        <f>J416-M416</f>
        <v/>
      </c>
      <c r="O416" s="6">
        <f>IF(F416="INFERIOR",N416/J416,"")</f>
        <v/>
      </c>
      <c r="P416" s="5">
        <f>IF(F416="INFERIOR",O416*MUS_parametros!$B$18,N416)</f>
        <v/>
      </c>
      <c r="Q416" s="4" t="inlineStr">
        <is>
          <t>Documento confere com o registro</t>
        </is>
      </c>
    </row>
    <row r="417">
      <c r="A417" s="4" t="inlineStr">
        <is>
          <t>IMB-0279646</t>
        </is>
      </c>
      <c r="B417" s="4" t="inlineStr">
        <is>
          <t>MAQUINAS_EQUIPAMENTOS</t>
        </is>
      </c>
      <c r="C417" s="4" t="inlineStr">
        <is>
          <t>1.2.03.01.002</t>
        </is>
      </c>
      <c r="D417" s="4" t="inlineStr">
        <is>
          <t>LAGOA DO PAULO</t>
        </is>
      </c>
      <c r="E417" s="4" t="inlineStr">
        <is>
          <t>UNIDADE DE BOMBEIO MECANICO</t>
        </is>
      </c>
      <c r="F417" s="4" t="inlineStr">
        <is>
          <t>INFERIOR</t>
        </is>
      </c>
      <c r="G417" s="4" t="n">
        <v>1</v>
      </c>
      <c r="H417" s="5" t="n">
        <v>3500559906.838174</v>
      </c>
      <c r="I417" s="5" t="n">
        <v>3500561347.330039</v>
      </c>
      <c r="J417" s="5" t="n">
        <v>19044.06</v>
      </c>
      <c r="K417" s="4" t="inlineStr">
        <is>
          <t>S</t>
        </is>
      </c>
      <c r="L417" s="4" t="inlineStr">
        <is>
          <t>2023-10-29</t>
        </is>
      </c>
      <c r="M417" s="5" t="n">
        <v>19044.06</v>
      </c>
      <c r="N417" s="5">
        <f>J417-M417</f>
        <v/>
      </c>
      <c r="O417" s="6">
        <f>IF(F417="INFERIOR",N417/J417,"")</f>
        <v/>
      </c>
      <c r="P417" s="5">
        <f>IF(F417="INFERIOR",O417*MUS_parametros!$B$18,N417)</f>
        <v/>
      </c>
      <c r="Q417" s="4" t="inlineStr">
        <is>
          <t>Documento confere com o registro</t>
        </is>
      </c>
    </row>
    <row r="418">
      <c r="A418" s="4" t="inlineStr">
        <is>
          <t>IMB-0280605</t>
        </is>
      </c>
      <c r="B418" s="4" t="inlineStr">
        <is>
          <t>DESENVOLVIMENTO_CAMPOS</t>
        </is>
      </c>
      <c r="C418" s="4" t="inlineStr">
        <is>
          <t>1.2.03.04.001</t>
        </is>
      </c>
      <c r="D418" s="4" t="inlineStr">
        <is>
          <t>POT-CONC-02 (SINTETICO)</t>
        </is>
      </c>
      <c r="E418" s="4" t="inlineStr">
        <is>
          <t>PERFURACAO E COMPLETACAO</t>
        </is>
      </c>
      <c r="F418" s="4" t="inlineStr">
        <is>
          <t>INFERIOR</t>
        </is>
      </c>
      <c r="G418" s="4" t="n">
        <v>1</v>
      </c>
      <c r="H418" s="5" t="n">
        <v>3506292906.838174</v>
      </c>
      <c r="I418" s="5" t="n">
        <v>3506301329.320037</v>
      </c>
      <c r="J418" s="5" t="n">
        <v>23817.29</v>
      </c>
      <c r="K418" s="4" t="inlineStr">
        <is>
          <t>S</t>
        </is>
      </c>
      <c r="L418" s="4" t="inlineStr">
        <is>
          <t>2024-05-02</t>
        </is>
      </c>
      <c r="M418" s="5" t="n">
        <v>23817.29</v>
      </c>
      <c r="N418" s="5">
        <f>J418-M418</f>
        <v/>
      </c>
      <c r="O418" s="6">
        <f>IF(F418="INFERIOR",N418/J418,"")</f>
        <v/>
      </c>
      <c r="P418" s="5">
        <f>IF(F418="INFERIOR",O418*MUS_parametros!$B$18,N418)</f>
        <v/>
      </c>
      <c r="Q418" s="4" t="inlineStr">
        <is>
          <t>Documento confere com o registro</t>
        </is>
      </c>
    </row>
    <row r="419">
      <c r="A419" s="4" t="inlineStr">
        <is>
          <t>IMB-0281312</t>
        </is>
      </c>
      <c r="B419" s="4" t="inlineStr">
        <is>
          <t>DIREITO_PRODUCAO_OLEO_GAS</t>
        </is>
      </c>
      <c r="C419" s="4" t="inlineStr">
        <is>
          <t>1.2.03.03.004</t>
        </is>
      </c>
      <c r="D419" s="4" t="inlineStr">
        <is>
          <t>POT-CONC-15 (SINTETICO)</t>
        </is>
      </c>
      <c r="E419" s="4" t="inlineStr">
        <is>
          <t>CUSTO DE AQUISICAO DA CONCESSAO</t>
        </is>
      </c>
      <c r="F419" s="4" t="inlineStr">
        <is>
          <t>SUPERIOR (VC &gt;= I)</t>
        </is>
      </c>
      <c r="G419" s="4" t="n">
        <v>5</v>
      </c>
      <c r="H419" s="5" t="n">
        <v>3512025906.838174</v>
      </c>
      <c r="I419" s="5" t="n">
        <v>3539971793.280039</v>
      </c>
      <c r="J419" s="5" t="n">
        <v>29655064.29</v>
      </c>
      <c r="K419" s="4" t="inlineStr">
        <is>
          <t>S</t>
        </is>
      </c>
      <c r="L419" s="4" t="inlineStr">
        <is>
          <t>2019-12-09</t>
        </is>
      </c>
      <c r="M419" s="5" t="n">
        <v>29655064.29</v>
      </c>
      <c r="N419" s="5">
        <f>J419-M419</f>
        <v/>
      </c>
      <c r="O419" s="6">
        <f>IF(F419="INFERIOR",N419/J419,"")</f>
        <v/>
      </c>
      <c r="P419" s="5">
        <f>IF(F419="INFERIOR",O419*MUS_parametros!$B$18,N419)</f>
        <v/>
      </c>
      <c r="Q419" s="4" t="inlineStr">
        <is>
          <t>Documento confere com o registro</t>
        </is>
      </c>
    </row>
    <row r="420">
      <c r="A420" s="4" t="inlineStr">
        <is>
          <t>IMB-0281529</t>
        </is>
      </c>
      <c r="B420" s="4" t="inlineStr">
        <is>
          <t>MAQUINAS_EQUIPAMENTOS</t>
        </is>
      </c>
      <c r="C420" s="4" t="inlineStr">
        <is>
          <t>1.2.03.01.002</t>
        </is>
      </c>
      <c r="D420" s="4" t="inlineStr">
        <is>
          <t>RIO MOSSORO</t>
        </is>
      </c>
      <c r="E420" s="4" t="inlineStr">
        <is>
          <t>UNIDADE DE BOMBEIO MECANICO</t>
        </is>
      </c>
      <c r="F420" s="4" t="inlineStr">
        <is>
          <t>INFERIOR</t>
        </is>
      </c>
      <c r="G420" s="4" t="n">
        <v>1</v>
      </c>
      <c r="H420" s="5" t="n">
        <v>3540690906.838174</v>
      </c>
      <c r="I420" s="5" t="n">
        <v>3540698843.520041</v>
      </c>
      <c r="J420" s="5" t="n">
        <v>12016.73</v>
      </c>
      <c r="K420" s="4" t="inlineStr">
        <is>
          <t>S</t>
        </is>
      </c>
      <c r="L420" s="4" t="inlineStr">
        <is>
          <t>2016-07-26</t>
        </is>
      </c>
      <c r="M420" s="5" t="n">
        <v>12016.73</v>
      </c>
      <c r="N420" s="5">
        <f>J420-M420</f>
        <v/>
      </c>
      <c r="O420" s="6">
        <f>IF(F420="INFERIOR",N420/J420,"")</f>
        <v/>
      </c>
      <c r="P420" s="5">
        <f>IF(F420="INFERIOR",O420*MUS_parametros!$B$18,N420)</f>
        <v/>
      </c>
      <c r="Q420" s="4" t="inlineStr">
        <is>
          <t>Documento confere com o registro</t>
        </is>
      </c>
    </row>
    <row r="421">
      <c r="A421" s="4" t="inlineStr">
        <is>
          <t>IMB-0282173</t>
        </is>
      </c>
      <c r="B421" s="4" t="inlineStr">
        <is>
          <t>DESENVOLVIMENTO_CAMPOS</t>
        </is>
      </c>
      <c r="C421" s="4" t="inlineStr">
        <is>
          <t>1.2.03.04.001</t>
        </is>
      </c>
      <c r="D421" s="4" t="inlineStr">
        <is>
          <t>POT-CONC-05 (SINTETICO)</t>
        </is>
      </c>
      <c r="E421" s="4" t="inlineStr">
        <is>
          <t>PERFURACAO E COMPLETACAO</t>
        </is>
      </c>
      <c r="F421" s="4" t="inlineStr">
        <is>
          <t>INFERIOR</t>
        </is>
      </c>
      <c r="G421" s="4" t="n">
        <v>1</v>
      </c>
      <c r="H421" s="5" t="n">
        <v>3546423906.838174</v>
      </c>
      <c r="I421" s="5" t="n">
        <v>3546568460.260046</v>
      </c>
      <c r="J421" s="5" t="n">
        <v>180539.97</v>
      </c>
      <c r="K421" s="4" t="inlineStr">
        <is>
          <t>S</t>
        </is>
      </c>
      <c r="L421" s="4" t="inlineStr">
        <is>
          <t>2025-08-28</t>
        </is>
      </c>
      <c r="M421" s="5" t="n">
        <v>180539.97</v>
      </c>
      <c r="N421" s="5">
        <f>J421-M421</f>
        <v/>
      </c>
      <c r="O421" s="6">
        <f>IF(F421="INFERIOR",N421/J421,"")</f>
        <v/>
      </c>
      <c r="P421" s="5">
        <f>IF(F421="INFERIOR",O421*MUS_parametros!$B$18,N421)</f>
        <v/>
      </c>
      <c r="Q421" s="4" t="inlineStr">
        <is>
          <t>Documento confere com o registro</t>
        </is>
      </c>
    </row>
    <row r="422">
      <c r="A422" s="4" t="inlineStr">
        <is>
          <t>IMB-0283128</t>
        </is>
      </c>
      <c r="B422" s="4" t="inlineStr">
        <is>
          <t>DESENVOLVIMENTO_CAMPOS</t>
        </is>
      </c>
      <c r="C422" s="4" t="inlineStr">
        <is>
          <t>1.2.03.04.005</t>
        </is>
      </c>
      <c r="D422" s="4" t="inlineStr">
        <is>
          <t>POT-CONC-19 (SINTETICO)</t>
        </is>
      </c>
      <c r="E422" s="4" t="inlineStr">
        <is>
          <t>CONVERSAO EM POCO INJETOR</t>
        </is>
      </c>
      <c r="F422" s="4" t="inlineStr">
        <is>
          <t>INFERIOR</t>
        </is>
      </c>
      <c r="G422" s="4" t="n">
        <v>1</v>
      </c>
      <c r="H422" s="5" t="n">
        <v>3552156906.838174</v>
      </c>
      <c r="I422" s="5" t="n">
        <v>3552163332.570046</v>
      </c>
      <c r="J422" s="5" t="n">
        <v>35284.84</v>
      </c>
      <c r="K422" s="4" t="inlineStr">
        <is>
          <t>S</t>
        </is>
      </c>
      <c r="L422" s="4" t="inlineStr">
        <is>
          <t>2025-09-04</t>
        </is>
      </c>
      <c r="M422" s="5" t="n">
        <v>35284.84</v>
      </c>
      <c r="N422" s="5">
        <f>J422-M422</f>
        <v/>
      </c>
      <c r="O422" s="6">
        <f>IF(F422="INFERIOR",N422/J422,"")</f>
        <v/>
      </c>
      <c r="P422" s="5">
        <f>IF(F422="INFERIOR",O422*MUS_parametros!$B$18,N422)</f>
        <v/>
      </c>
      <c r="Q422" s="4" t="inlineStr">
        <is>
          <t>Documento confere com o registro</t>
        </is>
      </c>
    </row>
    <row r="423">
      <c r="A423" s="4" t="inlineStr">
        <is>
          <t>IMB-0283959</t>
        </is>
      </c>
      <c r="B423" s="4" t="inlineStr">
        <is>
          <t>DESENVOLVIMENTO_CAMPOS</t>
        </is>
      </c>
      <c r="C423" s="4" t="inlineStr">
        <is>
          <t>1.2.03.04.001</t>
        </is>
      </c>
      <c r="D423" s="4" t="inlineStr">
        <is>
          <t>POT-CONC-07 (SINTETICO)</t>
        </is>
      </c>
      <c r="E423" s="4" t="inlineStr">
        <is>
          <t>PERFURACAO E COMPLETACAO</t>
        </is>
      </c>
      <c r="F423" s="4" t="inlineStr">
        <is>
          <t>INFERIOR</t>
        </is>
      </c>
      <c r="G423" s="4" t="n">
        <v>1</v>
      </c>
      <c r="H423" s="5" t="n">
        <v>3557889906.838174</v>
      </c>
      <c r="I423" s="5" t="n">
        <v>3557984254.940046</v>
      </c>
      <c r="J423" s="5" t="n">
        <v>398299.26</v>
      </c>
      <c r="K423" s="4" t="inlineStr">
        <is>
          <t>S</t>
        </is>
      </c>
      <c r="L423" s="4" t="inlineStr">
        <is>
          <t>2025-09-28</t>
        </is>
      </c>
      <c r="M423" s="5" t="n">
        <v>398299.26</v>
      </c>
      <c r="N423" s="5">
        <f>J423-M423</f>
        <v/>
      </c>
      <c r="O423" s="6">
        <f>IF(F423="INFERIOR",N423/J423,"")</f>
        <v/>
      </c>
      <c r="P423" s="5">
        <f>IF(F423="INFERIOR",O423*MUS_parametros!$B$18,N423)</f>
        <v/>
      </c>
      <c r="Q423" s="4" t="inlineStr">
        <is>
          <t>Documento confere com o registro</t>
        </is>
      </c>
    </row>
    <row r="424">
      <c r="A424" s="4" t="inlineStr">
        <is>
          <t>IMB-0285009</t>
        </is>
      </c>
      <c r="B424" s="4" t="inlineStr">
        <is>
          <t>DESENVOLVIMENTO_CAMPOS</t>
        </is>
      </c>
      <c r="C424" s="4" t="inlineStr">
        <is>
          <t>1.2.03.04.001</t>
        </is>
      </c>
      <c r="D424" s="4" t="inlineStr">
        <is>
          <t>NORTE FAZENDA CARUACU</t>
        </is>
      </c>
      <c r="E424" s="4" t="inlineStr">
        <is>
          <t>PERFURACAO E COMPLETACAO</t>
        </is>
      </c>
      <c r="F424" s="4" t="inlineStr">
        <is>
          <t>INFERIOR</t>
        </is>
      </c>
      <c r="G424" s="4" t="n">
        <v>1</v>
      </c>
      <c r="H424" s="5" t="n">
        <v>3563622906.838174</v>
      </c>
      <c r="I424" s="5" t="n">
        <v>3563666163.730044</v>
      </c>
      <c r="J424" s="5" t="n">
        <v>44083.78</v>
      </c>
      <c r="K424" s="4" t="inlineStr">
        <is>
          <t>S</t>
        </is>
      </c>
      <c r="L424" s="4" t="inlineStr">
        <is>
          <t>2025-03-13</t>
        </is>
      </c>
      <c r="M424" s="5" t="n">
        <v>44083.78</v>
      </c>
      <c r="N424" s="5">
        <f>J424-M424</f>
        <v/>
      </c>
      <c r="O424" s="6">
        <f>IF(F424="INFERIOR",N424/J424,"")</f>
        <v/>
      </c>
      <c r="P424" s="5">
        <f>IF(F424="INFERIOR",O424*MUS_parametros!$B$18,N424)</f>
        <v/>
      </c>
      <c r="Q424" s="4" t="inlineStr">
        <is>
          <t>Documento confere com o registro</t>
        </is>
      </c>
    </row>
    <row r="425">
      <c r="A425" s="4" t="inlineStr">
        <is>
          <t>IMB-0285894</t>
        </is>
      </c>
      <c r="B425" s="4" t="inlineStr">
        <is>
          <t>OUTROS</t>
        </is>
      </c>
      <c r="C425" s="4" t="inlineStr">
        <is>
          <t>1.2.03.09.004</t>
        </is>
      </c>
      <c r="D425" s="4" t="inlineStr">
        <is>
          <t>SESMARIA</t>
        </is>
      </c>
      <c r="E425" s="4" t="inlineStr">
        <is>
          <t>EQUIPAMENTO DE INFORMATICA</t>
        </is>
      </c>
      <c r="F425" s="4" t="inlineStr">
        <is>
          <t>INFERIOR</t>
        </is>
      </c>
      <c r="G425" s="4" t="n">
        <v>1</v>
      </c>
      <c r="H425" s="5" t="n">
        <v>3569355906.838174</v>
      </c>
      <c r="I425" s="5" t="n">
        <v>3569356116.420041</v>
      </c>
      <c r="J425" s="5" t="n">
        <v>1592.93</v>
      </c>
      <c r="K425" s="4" t="inlineStr">
        <is>
          <t>S</t>
        </is>
      </c>
      <c r="L425" s="4" t="inlineStr">
        <is>
          <t>2020-11-09</t>
        </is>
      </c>
      <c r="M425" s="5" t="n">
        <v>1592.93</v>
      </c>
      <c r="N425" s="5">
        <f>J425-M425</f>
        <v/>
      </c>
      <c r="O425" s="6">
        <f>IF(F425="INFERIOR",N425/J425,"")</f>
        <v/>
      </c>
      <c r="P425" s="5">
        <f>IF(F425="INFERIOR",O425*MUS_parametros!$B$18,N425)</f>
        <v/>
      </c>
      <c r="Q425" s="4" t="inlineStr">
        <is>
          <t>Documento confere com o registro</t>
        </is>
      </c>
    </row>
    <row r="426">
      <c r="A426" s="4" t="inlineStr">
        <is>
          <t>IMB-0286651</t>
        </is>
      </c>
      <c r="B426" s="4" t="inlineStr">
        <is>
          <t>MAQUINAS_EQUIPAMENTOS</t>
        </is>
      </c>
      <c r="C426" s="4" t="inlineStr">
        <is>
          <t>1.2.03.01.002</t>
        </is>
      </c>
      <c r="D426" s="4" t="inlineStr">
        <is>
          <t>BAIXA DO ALGODAO</t>
        </is>
      </c>
      <c r="E426" s="4" t="inlineStr">
        <is>
          <t>UNIDADE DE BOMBEIO MECANICO</t>
        </is>
      </c>
      <c r="F426" s="4" t="inlineStr">
        <is>
          <t>INFERIOR</t>
        </is>
      </c>
      <c r="G426" s="4" t="n">
        <v>1</v>
      </c>
      <c r="H426" s="5" t="n">
        <v>3575088906.838174</v>
      </c>
      <c r="I426" s="5" t="n">
        <v>3575089383.300037</v>
      </c>
      <c r="J426" s="5" t="n">
        <v>15389.21</v>
      </c>
      <c r="K426" s="4" t="inlineStr">
        <is>
          <t>S</t>
        </is>
      </c>
      <c r="L426" s="4" t="inlineStr">
        <is>
          <t>2024-02-20</t>
        </is>
      </c>
      <c r="M426" s="5" t="n">
        <v>15389.21</v>
      </c>
      <c r="N426" s="5">
        <f>J426-M426</f>
        <v/>
      </c>
      <c r="O426" s="6">
        <f>IF(F426="INFERIOR",N426/J426,"")</f>
        <v/>
      </c>
      <c r="P426" s="5">
        <f>IF(F426="INFERIOR",O426*MUS_parametros!$B$18,N426)</f>
        <v/>
      </c>
      <c r="Q426" s="4" t="inlineStr">
        <is>
          <t>Documento confere com o registro</t>
        </is>
      </c>
    </row>
    <row r="427">
      <c r="A427" s="4" t="inlineStr">
        <is>
          <t>IMB-0287382</t>
        </is>
      </c>
      <c r="B427" s="4" t="inlineStr">
        <is>
          <t>DESENVOLVIMENTO_CAMPOS</t>
        </is>
      </c>
      <c r="C427" s="4" t="inlineStr">
        <is>
          <t>1.2.03.04.002</t>
        </is>
      </c>
      <c r="D427" s="4" t="inlineStr">
        <is>
          <t>POT-CONC-04 (SINTETICO)</t>
        </is>
      </c>
      <c r="E427" s="4" t="inlineStr">
        <is>
          <t>WORKOVER / RECOMPLETACAO CAPITALIZADO</t>
        </is>
      </c>
      <c r="F427" s="4" t="inlineStr">
        <is>
          <t>INFERIOR</t>
        </is>
      </c>
      <c r="G427" s="4" t="n">
        <v>1</v>
      </c>
      <c r="H427" s="5" t="n">
        <v>3580821906.838174</v>
      </c>
      <c r="I427" s="5" t="n">
        <v>3580824204.170039</v>
      </c>
      <c r="J427" s="5" t="n">
        <v>2900.24</v>
      </c>
      <c r="K427" s="4" t="inlineStr">
        <is>
          <t>S</t>
        </is>
      </c>
      <c r="L427" s="4" t="inlineStr">
        <is>
          <t>2023-02-06</t>
        </is>
      </c>
      <c r="M427" s="5" t="n">
        <v>2900.24</v>
      </c>
      <c r="N427" s="5">
        <f>J427-M427</f>
        <v/>
      </c>
      <c r="O427" s="6">
        <f>IF(F427="INFERIOR",N427/J427,"")</f>
        <v/>
      </c>
      <c r="P427" s="5">
        <f>IF(F427="INFERIOR",O427*MUS_parametros!$B$18,N427)</f>
        <v/>
      </c>
      <c r="Q427" s="4" t="inlineStr">
        <is>
          <t>Documento confere com o registro</t>
        </is>
      </c>
    </row>
    <row r="428">
      <c r="A428" s="4" t="inlineStr">
        <is>
          <t>IMB-0288206</t>
        </is>
      </c>
      <c r="B428" s="4" t="inlineStr">
        <is>
          <t>DESENVOLVIMENTO_CAMPOS</t>
        </is>
      </c>
      <c r="C428" s="4" t="inlineStr">
        <is>
          <t>1.2.03.04.002</t>
        </is>
      </c>
      <c r="D428" s="4" t="inlineStr">
        <is>
          <t>PAJEU</t>
        </is>
      </c>
      <c r="E428" s="4" t="inlineStr">
        <is>
          <t>WORKOVER / RECOMPLETACAO CAPITALIZADO</t>
        </is>
      </c>
      <c r="F428" s="4" t="inlineStr">
        <is>
          <t>INFERIOR</t>
        </is>
      </c>
      <c r="G428" s="4" t="n">
        <v>1</v>
      </c>
      <c r="H428" s="5" t="n">
        <v>3586554906.838174</v>
      </c>
      <c r="I428" s="5" t="n">
        <v>3586566035.140039</v>
      </c>
      <c r="J428" s="5" t="n">
        <v>31543.65</v>
      </c>
      <c r="K428" s="4" t="inlineStr">
        <is>
          <t>S</t>
        </is>
      </c>
      <c r="L428" s="4" t="inlineStr">
        <is>
          <t>2025-08-05</t>
        </is>
      </c>
      <c r="M428" s="5" t="n">
        <v>31543.65</v>
      </c>
      <c r="N428" s="5">
        <f>J428-M428</f>
        <v/>
      </c>
      <c r="O428" s="6">
        <f>IF(F428="INFERIOR",N428/J428,"")</f>
        <v/>
      </c>
      <c r="P428" s="5">
        <f>IF(F428="INFERIOR",O428*MUS_parametros!$B$18,N428)</f>
        <v/>
      </c>
      <c r="Q428" s="4" t="inlineStr">
        <is>
          <t>Documento confere com o registro</t>
        </is>
      </c>
    </row>
    <row r="429">
      <c r="A429" s="4" t="inlineStr">
        <is>
          <t>IMB-0289117</t>
        </is>
      </c>
      <c r="B429" s="4" t="inlineStr">
        <is>
          <t>ALMOXARIFADO_INVERSOES_FIXAS</t>
        </is>
      </c>
      <c r="C429" s="4" t="inlineStr">
        <is>
          <t>1.2.03.07.002</t>
        </is>
      </c>
      <c r="D429" s="4" t="inlineStr">
        <is>
          <t>POT-CONC-12 (SINTETICO)</t>
        </is>
      </c>
      <c r="E429" s="4" t="inlineStr">
        <is>
          <t>BOMBA DE FUNDO EM ESTOQUE</t>
        </is>
      </c>
      <c r="F429" s="4" t="inlineStr">
        <is>
          <t>INFERIOR</t>
        </is>
      </c>
      <c r="G429" s="4" t="n">
        <v>1</v>
      </c>
      <c r="H429" s="5" t="n">
        <v>3592287906.838174</v>
      </c>
      <c r="I429" s="5" t="n">
        <v>3592289394.150035</v>
      </c>
      <c r="J429" s="5" t="n">
        <v>4192.63</v>
      </c>
      <c r="K429" s="4" t="inlineStr">
        <is>
          <t>S</t>
        </is>
      </c>
      <c r="L429" s="4" t="inlineStr">
        <is>
          <t>2025-03-26</t>
        </is>
      </c>
      <c r="M429" s="5" t="n">
        <v>4192.63</v>
      </c>
      <c r="N429" s="5">
        <f>J429-M429</f>
        <v/>
      </c>
      <c r="O429" s="6">
        <f>IF(F429="INFERIOR",N429/J429,"")</f>
        <v/>
      </c>
      <c r="P429" s="5">
        <f>IF(F429="INFERIOR",O429*MUS_parametros!$B$18,N429)</f>
        <v/>
      </c>
      <c r="Q429" s="4" t="inlineStr">
        <is>
          <t>Documento confere com o registro</t>
        </is>
      </c>
    </row>
    <row r="430">
      <c r="A430" s="4" t="inlineStr">
        <is>
          <t>IMB-0290081</t>
        </is>
      </c>
      <c r="B430" s="4" t="inlineStr">
        <is>
          <t>DESENVOLVIMENTO_CAMPOS</t>
        </is>
      </c>
      <c r="C430" s="4" t="inlineStr">
        <is>
          <t>1.2.03.04.001</t>
        </is>
      </c>
      <c r="D430" s="4" t="inlineStr">
        <is>
          <t>RIO SUBAUMA</t>
        </is>
      </c>
      <c r="E430" s="4" t="inlineStr">
        <is>
          <t>PERFURACAO E COMPLETACAO</t>
        </is>
      </c>
      <c r="F430" s="4" t="inlineStr">
        <is>
          <t>INFERIOR</t>
        </is>
      </c>
      <c r="G430" s="4" t="n">
        <v>1</v>
      </c>
      <c r="H430" s="5" t="n">
        <v>3598020906.838174</v>
      </c>
      <c r="I430" s="5" t="n">
        <v>3598089375.150041</v>
      </c>
      <c r="J430" s="5" t="n">
        <v>219068.45</v>
      </c>
      <c r="K430" s="4" t="inlineStr">
        <is>
          <t>S</t>
        </is>
      </c>
      <c r="L430" s="4" t="inlineStr">
        <is>
          <t>2025-12-23</t>
        </is>
      </c>
      <c r="M430" s="5" t="n">
        <v>219068.45</v>
      </c>
      <c r="N430" s="5">
        <f>J430-M430</f>
        <v/>
      </c>
      <c r="O430" s="6">
        <f>IF(F430="INFERIOR",N430/J430,"")</f>
        <v/>
      </c>
      <c r="P430" s="5">
        <f>IF(F430="INFERIOR",O430*MUS_parametros!$B$18,N430)</f>
        <v/>
      </c>
      <c r="Q430" s="4" t="inlineStr">
        <is>
          <t>Documento confere com o registro</t>
        </is>
      </c>
    </row>
    <row r="431">
      <c r="A431" s="4" t="inlineStr">
        <is>
          <t>IMB-0290831</t>
        </is>
      </c>
      <c r="B431" s="4" t="inlineStr">
        <is>
          <t>DESENVOLVIMENTO_CAMPOS</t>
        </is>
      </c>
      <c r="C431" s="4" t="inlineStr">
        <is>
          <t>1.2.03.04.001</t>
        </is>
      </c>
      <c r="D431" s="4" t="inlineStr">
        <is>
          <t>TARTARUGA</t>
        </is>
      </c>
      <c r="E431" s="4" t="inlineStr">
        <is>
          <t>PERFURACAO E COMPLETACAO</t>
        </is>
      </c>
      <c r="F431" s="4" t="inlineStr">
        <is>
          <t>INFERIOR</t>
        </is>
      </c>
      <c r="G431" s="4" t="n">
        <v>1</v>
      </c>
      <c r="H431" s="5" t="n">
        <v>3603753906.838174</v>
      </c>
      <c r="I431" s="5" t="n">
        <v>3603774215.310046</v>
      </c>
      <c r="J431" s="5" t="n">
        <v>416231.27</v>
      </c>
      <c r="K431" s="4" t="inlineStr">
        <is>
          <t>S</t>
        </is>
      </c>
      <c r="L431" s="4" t="inlineStr">
        <is>
          <t>2025-09-21</t>
        </is>
      </c>
      <c r="M431" s="5" t="n">
        <v>416231.27</v>
      </c>
      <c r="N431" s="5">
        <f>J431-M431</f>
        <v/>
      </c>
      <c r="O431" s="6">
        <f>IF(F431="INFERIOR",N431/J431,"")</f>
        <v/>
      </c>
      <c r="P431" s="5">
        <f>IF(F431="INFERIOR",O431*MUS_parametros!$B$18,N431)</f>
        <v/>
      </c>
      <c r="Q431" s="4" t="inlineStr">
        <is>
          <t>Documento confere com o registro</t>
        </is>
      </c>
    </row>
    <row r="432">
      <c r="A432" s="4" t="inlineStr">
        <is>
          <t>IMB-0291805</t>
        </is>
      </c>
      <c r="B432" s="4" t="inlineStr">
        <is>
          <t>ALMOXARIFADO_INVERSOES_FIXAS</t>
        </is>
      </c>
      <c r="C432" s="4" t="inlineStr">
        <is>
          <t>1.2.03.07.002</t>
        </is>
      </c>
      <c r="D432" s="4" t="inlineStr">
        <is>
          <t>POT-CONC-08 (SINTETICO)</t>
        </is>
      </c>
      <c r="E432" s="4" t="inlineStr">
        <is>
          <t>HASTE DE BOMBEIO (LOTE)</t>
        </is>
      </c>
      <c r="F432" s="4" t="inlineStr">
        <is>
          <t>INFERIOR</t>
        </is>
      </c>
      <c r="G432" s="4" t="n">
        <v>1</v>
      </c>
      <c r="H432" s="5" t="n">
        <v>3609486906.838174</v>
      </c>
      <c r="I432" s="5" t="n">
        <v>3609489682.410043</v>
      </c>
      <c r="J432" s="5" t="n">
        <v>3835.25</v>
      </c>
      <c r="K432" s="4" t="inlineStr">
        <is>
          <t>S</t>
        </is>
      </c>
      <c r="L432" s="4" t="inlineStr">
        <is>
          <t>2023-01-17</t>
        </is>
      </c>
      <c r="M432" s="5" t="n">
        <v>3835.25</v>
      </c>
      <c r="N432" s="5">
        <f>J432-M432</f>
        <v/>
      </c>
      <c r="O432" s="6">
        <f>IF(F432="INFERIOR",N432/J432,"")</f>
        <v/>
      </c>
      <c r="P432" s="5">
        <f>IF(F432="INFERIOR",O432*MUS_parametros!$B$18,N432)</f>
        <v/>
      </c>
      <c r="Q432" s="4" t="inlineStr">
        <is>
          <t>Documento confere com o registro</t>
        </is>
      </c>
    </row>
    <row r="433">
      <c r="A433" s="4" t="inlineStr">
        <is>
          <t>IMB-0292471</t>
        </is>
      </c>
      <c r="B433" s="4" t="inlineStr">
        <is>
          <t>DESENVOLVIMENTO_CAMPOS</t>
        </is>
      </c>
      <c r="C433" s="4" t="inlineStr">
        <is>
          <t>1.2.03.04.001</t>
        </is>
      </c>
      <c r="D433" s="4" t="inlineStr">
        <is>
          <t>TARTARUGA</t>
        </is>
      </c>
      <c r="E433" s="4" t="inlineStr">
        <is>
          <t>PERFURACAO E COMPLETACAO</t>
        </is>
      </c>
      <c r="F433" s="4" t="inlineStr">
        <is>
          <t>INFERIOR</t>
        </is>
      </c>
      <c r="G433" s="4" t="n">
        <v>1</v>
      </c>
      <c r="H433" s="5" t="n">
        <v>3615219906.838174</v>
      </c>
      <c r="I433" s="5" t="n">
        <v>3619407707.880041</v>
      </c>
      <c r="J433" s="5" t="n">
        <v>4823408.94</v>
      </c>
      <c r="K433" s="4" t="inlineStr">
        <is>
          <t>S</t>
        </is>
      </c>
      <c r="L433" s="4" t="inlineStr">
        <is>
          <t>2025-05-01</t>
        </is>
      </c>
      <c r="M433" s="5" t="n">
        <v>4823408.94</v>
      </c>
      <c r="N433" s="5">
        <f>J433-M433</f>
        <v/>
      </c>
      <c r="O433" s="6">
        <f>IF(F433="INFERIOR",N433/J433,"")</f>
        <v/>
      </c>
      <c r="P433" s="5">
        <f>IF(F433="INFERIOR",O433*MUS_parametros!$B$18,N433)</f>
        <v/>
      </c>
      <c r="Q433" s="4" t="inlineStr">
        <is>
          <t>Documento confere com o registro</t>
        </is>
      </c>
    </row>
    <row r="434">
      <c r="A434" s="4" t="inlineStr">
        <is>
          <t>IMB-0292678</t>
        </is>
      </c>
      <c r="B434" s="4" t="inlineStr">
        <is>
          <t>ALMOXARIFADO_INVERSOES_FIXAS</t>
        </is>
      </c>
      <c r="C434" s="4" t="inlineStr">
        <is>
          <t>1.2.03.07.002</t>
        </is>
      </c>
      <c r="D434" s="4" t="inlineStr">
        <is>
          <t>POT-CONC-10 (SINTETICO)</t>
        </is>
      </c>
      <c r="E434" s="4" t="inlineStr">
        <is>
          <t>BOMBA DE FUNDO EM ESTOQUE</t>
        </is>
      </c>
      <c r="F434" s="4" t="inlineStr">
        <is>
          <t>INFERIOR</t>
        </is>
      </c>
      <c r="G434" s="4" t="n">
        <v>1</v>
      </c>
      <c r="H434" s="5" t="n">
        <v>3620952906.838174</v>
      </c>
      <c r="I434" s="5" t="n">
        <v>3620954707.410039</v>
      </c>
      <c r="J434" s="5" t="n">
        <v>4631.75</v>
      </c>
      <c r="K434" s="4" t="inlineStr">
        <is>
          <t>S</t>
        </is>
      </c>
      <c r="L434" s="4" t="inlineStr">
        <is>
          <t>2024-10-27</t>
        </is>
      </c>
      <c r="M434" s="5" t="n">
        <v>4631.75</v>
      </c>
      <c r="N434" s="5">
        <f>J434-M434</f>
        <v/>
      </c>
      <c r="O434" s="6">
        <f>IF(F434="INFERIOR",N434/J434,"")</f>
        <v/>
      </c>
      <c r="P434" s="5">
        <f>IF(F434="INFERIOR",O434*MUS_parametros!$B$18,N434)</f>
        <v/>
      </c>
      <c r="Q434" s="4" t="inlineStr">
        <is>
          <t>Documento confere com o registro</t>
        </is>
      </c>
    </row>
    <row r="435">
      <c r="A435" s="4" t="inlineStr">
        <is>
          <t>IMB-0293372</t>
        </is>
      </c>
      <c r="B435" s="4" t="inlineStr">
        <is>
          <t>DESENVOLVIMENTO_CAMPOS</t>
        </is>
      </c>
      <c r="C435" s="4" t="inlineStr">
        <is>
          <t>1.2.03.04.001</t>
        </is>
      </c>
      <c r="D435" s="4" t="inlineStr">
        <is>
          <t>TARTARUGA</t>
        </is>
      </c>
      <c r="E435" s="4" t="inlineStr">
        <is>
          <t>PERFURACAO E COMPLETACAO</t>
        </is>
      </c>
      <c r="F435" s="4" t="inlineStr">
        <is>
          <t>INFERIOR</t>
        </is>
      </c>
      <c r="G435" s="4" t="n">
        <v>1</v>
      </c>
      <c r="H435" s="5" t="n">
        <v>3626685906.838174</v>
      </c>
      <c r="I435" s="5" t="n">
        <v>3626796481.540038</v>
      </c>
      <c r="J435" s="5" t="n">
        <v>592477.29</v>
      </c>
      <c r="K435" s="4" t="inlineStr">
        <is>
          <t>S</t>
        </is>
      </c>
      <c r="L435" s="4" t="inlineStr">
        <is>
          <t>2025-12-02</t>
        </is>
      </c>
      <c r="M435" s="5" t="n">
        <v>592477.29</v>
      </c>
      <c r="N435" s="5">
        <f>J435-M435</f>
        <v/>
      </c>
      <c r="O435" s="6">
        <f>IF(F435="INFERIOR",N435/J435,"")</f>
        <v/>
      </c>
      <c r="P435" s="5">
        <f>IF(F435="INFERIOR",O435*MUS_parametros!$B$18,N435)</f>
        <v/>
      </c>
      <c r="Q435" s="4" t="inlineStr">
        <is>
          <t>Documento confere com o registro</t>
        </is>
      </c>
    </row>
    <row r="436">
      <c r="A436" s="4" t="inlineStr">
        <is>
          <t>IMB-0293861</t>
        </is>
      </c>
      <c r="B436" s="4" t="inlineStr">
        <is>
          <t>DESENVOLVIMENTO_CAMPOS</t>
        </is>
      </c>
      <c r="C436" s="4" t="inlineStr">
        <is>
          <t>1.2.03.04.001</t>
        </is>
      </c>
      <c r="D436" s="4" t="inlineStr">
        <is>
          <t>JACUIPE</t>
        </is>
      </c>
      <c r="E436" s="4" t="inlineStr">
        <is>
          <t>PERFURACAO E COMPLETACAO</t>
        </is>
      </c>
      <c r="F436" s="4" t="inlineStr">
        <is>
          <t>INFERIOR</t>
        </is>
      </c>
      <c r="G436" s="4" t="n">
        <v>1</v>
      </c>
      <c r="H436" s="5" t="n">
        <v>3632418906.838174</v>
      </c>
      <c r="I436" s="5" t="n">
        <v>3632562593.600041</v>
      </c>
      <c r="J436" s="5" t="n">
        <v>145939.62</v>
      </c>
      <c r="K436" s="4" t="inlineStr">
        <is>
          <t>S</t>
        </is>
      </c>
      <c r="L436" s="4" t="inlineStr">
        <is>
          <t>2025-12-25</t>
        </is>
      </c>
      <c r="M436" s="5" t="n">
        <v>145939.62</v>
      </c>
      <c r="N436" s="5">
        <f>J436-M436</f>
        <v/>
      </c>
      <c r="O436" s="6">
        <f>IF(F436="INFERIOR",N436/J436,"")</f>
        <v/>
      </c>
      <c r="P436" s="5">
        <f>IF(F436="INFERIOR",O436*MUS_parametros!$B$18,N436)</f>
        <v/>
      </c>
      <c r="Q436" s="4" t="inlineStr">
        <is>
          <t>Documento confere com o registro</t>
        </is>
      </c>
    </row>
    <row r="437">
      <c r="A437" s="4" t="inlineStr">
        <is>
          <t>IMB-0294625</t>
        </is>
      </c>
      <c r="B437" s="4" t="inlineStr">
        <is>
          <t>ALMOXARIFADO_INVERSOES_FIXAS</t>
        </is>
      </c>
      <c r="C437" s="4" t="inlineStr">
        <is>
          <t>1.2.03.07.001</t>
        </is>
      </c>
      <c r="D437" s="4" t="inlineStr">
        <is>
          <t>JACUIPE</t>
        </is>
      </c>
      <c r="E437" s="4" t="inlineStr">
        <is>
          <t>TUBO DE REVESTIMENTO/PRODUCAO (LOTE)</t>
        </is>
      </c>
      <c r="F437" s="4" t="inlineStr">
        <is>
          <t>INFERIOR</t>
        </is>
      </c>
      <c r="G437" s="4" t="n">
        <v>1</v>
      </c>
      <c r="H437" s="5" t="n">
        <v>3638151906.838174</v>
      </c>
      <c r="I437" s="5" t="n">
        <v>3638162739.260042</v>
      </c>
      <c r="J437" s="5" t="n">
        <v>13992.35</v>
      </c>
      <c r="K437" s="4" t="inlineStr">
        <is>
          <t>S</t>
        </is>
      </c>
      <c r="L437" s="4" t="inlineStr">
        <is>
          <t>2023-09-01</t>
        </is>
      </c>
      <c r="M437" s="5" t="n">
        <v>13992.35</v>
      </c>
      <c r="N437" s="5">
        <f>J437-M437</f>
        <v/>
      </c>
      <c r="O437" s="6">
        <f>IF(F437="INFERIOR",N437/J437,"")</f>
        <v/>
      </c>
      <c r="P437" s="5">
        <f>IF(F437="INFERIOR",O437*MUS_parametros!$B$18,N437)</f>
        <v/>
      </c>
      <c r="Q437" s="4" t="inlineStr">
        <is>
          <t>Documento confere com o registro</t>
        </is>
      </c>
    </row>
    <row r="438">
      <c r="A438" s="4" t="inlineStr">
        <is>
          <t>IMB-0295080</t>
        </is>
      </c>
      <c r="B438" s="4" t="inlineStr">
        <is>
          <t>DIREITO_PRODUCAO_OLEO_GAS</t>
        </is>
      </c>
      <c r="C438" s="4" t="inlineStr">
        <is>
          <t>1.2.03.03.004</t>
        </is>
      </c>
      <c r="D438" s="4" t="inlineStr">
        <is>
          <t>POT-CONC-07 (SINTETICO)</t>
        </is>
      </c>
      <c r="E438" s="4" t="inlineStr">
        <is>
          <t>CUSTO DE AQUISICAO DA CONCESSAO</t>
        </is>
      </c>
      <c r="F438" s="4" t="inlineStr">
        <is>
          <t>SUPERIOR (VC &gt;= I)</t>
        </is>
      </c>
      <c r="G438" s="4" t="n">
        <v>16</v>
      </c>
      <c r="H438" s="5" t="n">
        <v>3643884906.838174</v>
      </c>
      <c r="I438" s="5" t="n">
        <v>3735506174.700038</v>
      </c>
      <c r="J438" s="5" t="n">
        <v>93701145.52</v>
      </c>
      <c r="K438" s="4" t="inlineStr">
        <is>
          <t>S</t>
        </is>
      </c>
      <c r="L438" s="4" t="inlineStr">
        <is>
          <t>2019-12-09</t>
        </is>
      </c>
      <c r="M438" s="5" t="n">
        <v>93701145.52</v>
      </c>
      <c r="N438" s="5">
        <f>J438-M438</f>
        <v/>
      </c>
      <c r="O438" s="6">
        <f>IF(F438="INFERIOR",N438/J438,"")</f>
        <v/>
      </c>
      <c r="P438" s="5">
        <f>IF(F438="INFERIOR",O438*MUS_parametros!$B$18,N438)</f>
        <v/>
      </c>
      <c r="Q438" s="4" t="inlineStr">
        <is>
          <t>Documento confere com o registro</t>
        </is>
      </c>
    </row>
    <row r="439">
      <c r="A439" s="4" t="inlineStr">
        <is>
          <t>IMB-0295107</t>
        </is>
      </c>
      <c r="B439" s="4" t="inlineStr">
        <is>
          <t>DESENVOLVIMENTO_CAMPOS</t>
        </is>
      </c>
      <c r="C439" s="4" t="inlineStr">
        <is>
          <t>1.2.03.04.002</t>
        </is>
      </c>
      <c r="D439" s="4" t="inlineStr">
        <is>
          <t>BAIXA DO ALGODAO</t>
        </is>
      </c>
      <c r="E439" s="4" t="inlineStr">
        <is>
          <t>WORKOVER / RECOMPLETACAO CAPITALIZADO</t>
        </is>
      </c>
      <c r="F439" s="4" t="inlineStr">
        <is>
          <t>INFERIOR</t>
        </is>
      </c>
      <c r="G439" s="4" t="n">
        <v>1</v>
      </c>
      <c r="H439" s="5" t="n">
        <v>3735612906.838174</v>
      </c>
      <c r="I439" s="5" t="n">
        <v>3735613067.200037</v>
      </c>
      <c r="J439" s="5" t="n">
        <v>3299.58</v>
      </c>
      <c r="K439" s="4" t="inlineStr">
        <is>
          <t>S</t>
        </is>
      </c>
      <c r="L439" s="4" t="inlineStr">
        <is>
          <t>2025-01-14</t>
        </is>
      </c>
      <c r="M439" s="5" t="n">
        <v>3299.58</v>
      </c>
      <c r="N439" s="5">
        <f>J439-M439</f>
        <v/>
      </c>
      <c r="O439" s="6">
        <f>IF(F439="INFERIOR",N439/J439,"")</f>
        <v/>
      </c>
      <c r="P439" s="5">
        <f>IF(F439="INFERIOR",O439*MUS_parametros!$B$18,N439)</f>
        <v/>
      </c>
      <c r="Q439" s="4" t="inlineStr">
        <is>
          <t>Documento confere com o registro</t>
        </is>
      </c>
    </row>
    <row r="440">
      <c r="A440" s="4" t="inlineStr">
        <is>
          <t>IMB-0296055</t>
        </is>
      </c>
      <c r="B440" s="4" t="inlineStr">
        <is>
          <t>DESENVOLVIMENTO_CAMPOS</t>
        </is>
      </c>
      <c r="C440" s="4" t="inlineStr">
        <is>
          <t>1.2.03.04.002</t>
        </is>
      </c>
      <c r="D440" s="4" t="inlineStr">
        <is>
          <t>POT-CONC-01 (SINTETICO)</t>
        </is>
      </c>
      <c r="E440" s="4" t="inlineStr">
        <is>
          <t>FRATURAMENTO / ESTIMULACAO CAPITALIZADA</t>
        </is>
      </c>
      <c r="F440" s="4" t="inlineStr">
        <is>
          <t>INFERIOR</t>
        </is>
      </c>
      <c r="G440" s="4" t="n">
        <v>1</v>
      </c>
      <c r="H440" s="5" t="n">
        <v>3741345906.838174</v>
      </c>
      <c r="I440" s="5" t="n">
        <v>3741346211.02004</v>
      </c>
      <c r="J440" s="5" t="n">
        <v>5134.67</v>
      </c>
      <c r="K440" s="4" t="inlineStr">
        <is>
          <t>S</t>
        </is>
      </c>
      <c r="L440" s="4" t="inlineStr">
        <is>
          <t>2025-09-06</t>
        </is>
      </c>
      <c r="M440" s="5" t="n">
        <v>5134.67</v>
      </c>
      <c r="N440" s="5">
        <f>J440-M440</f>
        <v/>
      </c>
      <c r="O440" s="6">
        <f>IF(F440="INFERIOR",N440/J440,"")</f>
        <v/>
      </c>
      <c r="P440" s="5">
        <f>IF(F440="INFERIOR",O440*MUS_parametros!$B$18,N440)</f>
        <v/>
      </c>
      <c r="Q440" s="4" t="inlineStr">
        <is>
          <t>Documento confere com o registro</t>
        </is>
      </c>
    </row>
    <row r="441">
      <c r="A441" s="4" t="inlineStr">
        <is>
          <t>IMB-0296157</t>
        </is>
      </c>
      <c r="B441" s="4" t="inlineStr">
        <is>
          <t>DIREITO_PRODUCAO_OLEO_GAS</t>
        </is>
      </c>
      <c r="C441" s="4" t="inlineStr">
        <is>
          <t>1.2.03.03.004</t>
        </is>
      </c>
      <c r="D441" s="4" t="inlineStr">
        <is>
          <t>FAZENDA MALAQUIAS</t>
        </is>
      </c>
      <c r="E441" s="4" t="inlineStr">
        <is>
          <t>CUSTO DE AQUISICAO DA CONCESSAO</t>
        </is>
      </c>
      <c r="F441" s="4" t="inlineStr">
        <is>
          <t>SUPERIOR (VC &gt;= I)</t>
        </is>
      </c>
      <c r="G441" s="4" t="n">
        <v>2</v>
      </c>
      <c r="H441" s="5" t="n">
        <v>3747078906.838174</v>
      </c>
      <c r="I441" s="5" t="n">
        <v>3753364857.900039</v>
      </c>
      <c r="J441" s="5" t="n">
        <v>11725603.04</v>
      </c>
      <c r="K441" s="4" t="inlineStr">
        <is>
          <t>S</t>
        </is>
      </c>
      <c r="L441" s="4" t="inlineStr">
        <is>
          <t>2019-12-09</t>
        </is>
      </c>
      <c r="M441" s="5" t="n">
        <v>11725603.04</v>
      </c>
      <c r="N441" s="5">
        <f>J441-M441</f>
        <v/>
      </c>
      <c r="O441" s="6">
        <f>IF(F441="INFERIOR",N441/J441,"")</f>
        <v/>
      </c>
      <c r="P441" s="5">
        <f>IF(F441="INFERIOR",O441*MUS_parametros!$B$18,N441)</f>
        <v/>
      </c>
      <c r="Q441" s="4" t="inlineStr">
        <is>
          <t>Documento confere com o registro</t>
        </is>
      </c>
    </row>
    <row r="442">
      <c r="A442" s="4" t="inlineStr">
        <is>
          <t>IMB-0296861</t>
        </is>
      </c>
      <c r="B442" s="4" t="inlineStr">
        <is>
          <t>DESENVOLVIMENTO_CAMPOS</t>
        </is>
      </c>
      <c r="C442" s="4" t="inlineStr">
        <is>
          <t>1.2.03.04.001</t>
        </is>
      </c>
      <c r="D442" s="4" t="inlineStr">
        <is>
          <t>POT-CONC-20 (SINTETICO)</t>
        </is>
      </c>
      <c r="E442" s="4" t="inlineStr">
        <is>
          <t>PERFURACAO E COMPLETACAO</t>
        </is>
      </c>
      <c r="F442" s="4" t="inlineStr">
        <is>
          <t>INFERIOR</t>
        </is>
      </c>
      <c r="G442" s="4" t="n">
        <v>1</v>
      </c>
      <c r="H442" s="5" t="n">
        <v>3758544906.838174</v>
      </c>
      <c r="I442" s="5" t="n">
        <v>3758554113.43004</v>
      </c>
      <c r="J442" s="5" t="n">
        <v>157611.29</v>
      </c>
      <c r="K442" s="4" t="inlineStr">
        <is>
          <t>S</t>
        </is>
      </c>
      <c r="L442" s="4" t="inlineStr">
        <is>
          <t>2025-09-09</t>
        </is>
      </c>
      <c r="M442" s="5" t="n">
        <v>157611.29</v>
      </c>
      <c r="N442" s="5">
        <f>J442-M442</f>
        <v/>
      </c>
      <c r="O442" s="6">
        <f>IF(F442="INFERIOR",N442/J442,"")</f>
        <v/>
      </c>
      <c r="P442" s="5">
        <f>IF(F442="INFERIOR",O442*MUS_parametros!$B$18,N442)</f>
        <v/>
      </c>
      <c r="Q442" s="4" t="inlineStr">
        <is>
          <t>Documento confere com o registro</t>
        </is>
      </c>
    </row>
    <row r="443">
      <c r="A443" s="4" t="inlineStr">
        <is>
          <t>IMB-0297638</t>
        </is>
      </c>
      <c r="B443" s="4" t="inlineStr">
        <is>
          <t>ALMOXARIFADO_INVERSOES_FIXAS</t>
        </is>
      </c>
      <c r="C443" s="4" t="inlineStr">
        <is>
          <t>1.2.03.07.002</t>
        </is>
      </c>
      <c r="D443" s="4" t="inlineStr">
        <is>
          <t>BIRIBA</t>
        </is>
      </c>
      <c r="E443" s="4" t="inlineStr">
        <is>
          <t>HASTE DE BOMBEIO (LOTE)</t>
        </is>
      </c>
      <c r="F443" s="4" t="inlineStr">
        <is>
          <t>INFERIOR</t>
        </is>
      </c>
      <c r="G443" s="4" t="n">
        <v>1</v>
      </c>
      <c r="H443" s="5" t="n">
        <v>3764277906.838174</v>
      </c>
      <c r="I443" s="5" t="n">
        <v>3764278073.130033</v>
      </c>
      <c r="J443" s="5" t="n">
        <v>1175.75</v>
      </c>
      <c r="K443" s="4" t="inlineStr">
        <is>
          <t>S</t>
        </is>
      </c>
      <c r="L443" s="4" t="inlineStr">
        <is>
          <t>2025-08-15</t>
        </is>
      </c>
      <c r="M443" s="5" t="n">
        <v>1175.75</v>
      </c>
      <c r="N443" s="5">
        <f>J443-M443</f>
        <v/>
      </c>
      <c r="O443" s="6">
        <f>IF(F443="INFERIOR",N443/J443,"")</f>
        <v/>
      </c>
      <c r="P443" s="5">
        <f>IF(F443="INFERIOR",O443*MUS_parametros!$B$18,N443)</f>
        <v/>
      </c>
      <c r="Q443" s="4" t="inlineStr">
        <is>
          <t>Documento confere com o registro</t>
        </is>
      </c>
    </row>
    <row r="444">
      <c r="A444" s="4" t="inlineStr">
        <is>
          <t>IMB-0298486</t>
        </is>
      </c>
      <c r="B444" s="4" t="inlineStr">
        <is>
          <t>DESENVOLVIMENTO_CAMPOS</t>
        </is>
      </c>
      <c r="C444" s="4" t="inlineStr">
        <is>
          <t>1.2.03.04.001</t>
        </is>
      </c>
      <c r="D444" s="4" t="inlineStr">
        <is>
          <t>MATA DE SAO JOAO</t>
        </is>
      </c>
      <c r="E444" s="4" t="inlineStr">
        <is>
          <t>PERFURACAO E COMPLETACAO</t>
        </is>
      </c>
      <c r="F444" s="4" t="inlineStr">
        <is>
          <t>INFERIOR</t>
        </is>
      </c>
      <c r="G444" s="4" t="n">
        <v>1</v>
      </c>
      <c r="H444" s="5" t="n">
        <v>3770010906.838174</v>
      </c>
      <c r="I444" s="5" t="n">
        <v>3770015111.880032</v>
      </c>
      <c r="J444" s="5" t="n">
        <v>38356.42</v>
      </c>
      <c r="K444" s="4" t="inlineStr">
        <is>
          <t>S</t>
        </is>
      </c>
      <c r="L444" s="4" t="inlineStr">
        <is>
          <t>2024-12-13</t>
        </is>
      </c>
      <c r="M444" s="5" t="n">
        <v>38356.42</v>
      </c>
      <c r="N444" s="5">
        <f>J444-M444</f>
        <v/>
      </c>
      <c r="O444" s="6">
        <f>IF(F444="INFERIOR",N444/J444,"")</f>
        <v/>
      </c>
      <c r="P444" s="5">
        <f>IF(F444="INFERIOR",O444*MUS_parametros!$B$18,N444)</f>
        <v/>
      </c>
      <c r="Q444" s="4" t="inlineStr">
        <is>
          <t>Documento confere com o registro</t>
        </is>
      </c>
    </row>
    <row r="445">
      <c r="A445" s="4" t="inlineStr">
        <is>
          <t>IMB-0299189</t>
        </is>
      </c>
      <c r="B445" s="4" t="inlineStr">
        <is>
          <t>DESENVOLVIMENTO_CAMPOS</t>
        </is>
      </c>
      <c r="C445" s="4" t="inlineStr">
        <is>
          <t>1.2.03.04.001</t>
        </is>
      </c>
      <c r="D445" s="4" t="inlineStr">
        <is>
          <t>POT-CONC-19 (SINTETICO)</t>
        </is>
      </c>
      <c r="E445" s="4" t="inlineStr">
        <is>
          <t>PERFURACAO E COMPLETACAO</t>
        </is>
      </c>
      <c r="F445" s="4" t="inlineStr">
        <is>
          <t>INFERIOR</t>
        </is>
      </c>
      <c r="G445" s="4" t="n">
        <v>1</v>
      </c>
      <c r="H445" s="5" t="n">
        <v>3775743906.838174</v>
      </c>
      <c r="I445" s="5" t="n">
        <v>3778098145.720031</v>
      </c>
      <c r="J445" s="5" t="n">
        <v>2853416.14</v>
      </c>
      <c r="K445" s="4" t="inlineStr">
        <is>
          <t>S</t>
        </is>
      </c>
      <c r="L445" s="4" t="inlineStr">
        <is>
          <t>2025-07-13</t>
        </is>
      </c>
      <c r="M445" s="5" t="n">
        <v>2853416.14</v>
      </c>
      <c r="N445" s="5">
        <f>J445-M445</f>
        <v/>
      </c>
      <c r="O445" s="6">
        <f>IF(F445="INFERIOR",N445/J445,"")</f>
        <v/>
      </c>
      <c r="P445" s="5">
        <f>IF(F445="INFERIOR",O445*MUS_parametros!$B$18,N445)</f>
        <v/>
      </c>
      <c r="Q445" s="4" t="inlineStr">
        <is>
          <t>Documento confere com o registro</t>
        </is>
      </c>
    </row>
    <row r="446">
      <c r="A446" s="4" t="inlineStr">
        <is>
          <t>IMB-0299577</t>
        </is>
      </c>
      <c r="B446" s="4" t="inlineStr">
        <is>
          <t>ALMOXARIFADO_INVERSOES_FIXAS</t>
        </is>
      </c>
      <c r="C446" s="4" t="inlineStr">
        <is>
          <t>1.2.03.07.003</t>
        </is>
      </c>
      <c r="D446" s="4" t="inlineStr">
        <is>
          <t>FAZENDA ONCA</t>
        </is>
      </c>
      <c r="E446" s="4" t="inlineStr">
        <is>
          <t>VALVULA/EQUIPAMENTO DE SUPERFICIE</t>
        </is>
      </c>
      <c r="F446" s="4" t="inlineStr">
        <is>
          <t>INFERIOR</t>
        </is>
      </c>
      <c r="G446" s="4" t="n">
        <v>1</v>
      </c>
      <c r="H446" s="5" t="n">
        <v>3781476906.838174</v>
      </c>
      <c r="I446" s="5" t="n">
        <v>3781480096.880035</v>
      </c>
      <c r="J446" s="5" t="n">
        <v>3981.6</v>
      </c>
      <c r="K446" s="4" t="inlineStr">
        <is>
          <t>S</t>
        </is>
      </c>
      <c r="L446" s="4" t="inlineStr">
        <is>
          <t>2025-05-18</t>
        </is>
      </c>
      <c r="M446" s="5" t="n">
        <v>3981.6</v>
      </c>
      <c r="N446" s="5">
        <f>J446-M446</f>
        <v/>
      </c>
      <c r="O446" s="6">
        <f>IF(F446="INFERIOR",N446/J446,"")</f>
        <v/>
      </c>
      <c r="P446" s="5">
        <f>IF(F446="INFERIOR",O446*MUS_parametros!$B$18,N446)</f>
        <v/>
      </c>
      <c r="Q446" s="4" t="inlineStr">
        <is>
          <t>Documento confere com o registro</t>
        </is>
      </c>
    </row>
    <row r="447">
      <c r="A447" s="4" t="inlineStr">
        <is>
          <t>IMB-0300202</t>
        </is>
      </c>
      <c r="B447" s="4" t="inlineStr">
        <is>
          <t>DESENVOLVIMENTO_CAMPOS</t>
        </is>
      </c>
      <c r="C447" s="4" t="inlineStr">
        <is>
          <t>1.2.03.04.001</t>
        </is>
      </c>
      <c r="D447" s="4" t="inlineStr">
        <is>
          <t>RIACHO SAO PEDRO</t>
        </is>
      </c>
      <c r="E447" s="4" t="inlineStr">
        <is>
          <t>PERFURACAO E COMPLETACAO</t>
        </is>
      </c>
      <c r="F447" s="4" t="inlineStr">
        <is>
          <t>INFERIOR</t>
        </is>
      </c>
      <c r="G447" s="4" t="n">
        <v>1</v>
      </c>
      <c r="H447" s="5" t="n">
        <v>3787209906.838174</v>
      </c>
      <c r="I447" s="5" t="n">
        <v>3787492946.790037</v>
      </c>
      <c r="J447" s="5" t="n">
        <v>314143.85</v>
      </c>
      <c r="K447" s="4" t="inlineStr">
        <is>
          <t>S</t>
        </is>
      </c>
      <c r="L447" s="4" t="inlineStr">
        <is>
          <t>2024-09-14</t>
        </is>
      </c>
      <c r="M447" s="5" t="n">
        <v>314143.85</v>
      </c>
      <c r="N447" s="5">
        <f>J447-M447</f>
        <v/>
      </c>
      <c r="O447" s="6">
        <f>IF(F447="INFERIOR",N447/J447,"")</f>
        <v/>
      </c>
      <c r="P447" s="5">
        <f>IF(F447="INFERIOR",O447*MUS_parametros!$B$18,N447)</f>
        <v/>
      </c>
      <c r="Q447" s="4" t="inlineStr">
        <is>
          <t>Documento confere com o registro</t>
        </is>
      </c>
    </row>
    <row r="448">
      <c r="A448" s="4" t="inlineStr">
        <is>
          <t>IMB-0300848</t>
        </is>
      </c>
      <c r="B448" s="4" t="inlineStr">
        <is>
          <t>DESENVOLVIMENTO_CAMPOS</t>
        </is>
      </c>
      <c r="C448" s="4" t="inlineStr">
        <is>
          <t>1.2.03.04.001</t>
        </is>
      </c>
      <c r="D448" s="4" t="inlineStr">
        <is>
          <t>RIACHO SAO PEDRO</t>
        </is>
      </c>
      <c r="E448" s="4" t="inlineStr">
        <is>
          <t>PERFURACAO E COMPLETACAO</t>
        </is>
      </c>
      <c r="F448" s="4" t="inlineStr">
        <is>
          <t>INFERIOR</t>
        </is>
      </c>
      <c r="G448" s="4" t="n">
        <v>1</v>
      </c>
      <c r="H448" s="5" t="n">
        <v>3792942906.838174</v>
      </c>
      <c r="I448" s="5" t="n">
        <v>3792951164.460035</v>
      </c>
      <c r="J448" s="5" t="n">
        <v>8416.18</v>
      </c>
      <c r="K448" s="4" t="inlineStr">
        <is>
          <t>S</t>
        </is>
      </c>
      <c r="L448" s="4" t="inlineStr">
        <is>
          <t>2023-09-22</t>
        </is>
      </c>
      <c r="M448" s="5" t="n">
        <v>8416.18</v>
      </c>
      <c r="N448" s="5">
        <f>J448-M448</f>
        <v/>
      </c>
      <c r="O448" s="6">
        <f>IF(F448="INFERIOR",N448/J448,"")</f>
        <v/>
      </c>
      <c r="P448" s="5">
        <f>IF(F448="INFERIOR",O448*MUS_parametros!$B$18,N448)</f>
        <v/>
      </c>
      <c r="Q448" s="4" t="inlineStr">
        <is>
          <t>Documento confere com o registro</t>
        </is>
      </c>
    </row>
    <row r="449">
      <c r="A449" s="4" t="inlineStr">
        <is>
          <t>IMB-0301159</t>
        </is>
      </c>
      <c r="B449" s="4" t="inlineStr">
        <is>
          <t>DIREITO_PRODUCAO_OLEO_GAS</t>
        </is>
      </c>
      <c r="C449" s="4" t="inlineStr">
        <is>
          <t>1.2.03.03.001</t>
        </is>
      </c>
      <c r="D449" s="4" t="inlineStr">
        <is>
          <t>BREJINHO</t>
        </is>
      </c>
      <c r="E449" s="4" t="inlineStr">
        <is>
          <t>CUSTO DE AQUISICAO DA CONCESSAO</t>
        </is>
      </c>
      <c r="F449" s="4" t="inlineStr">
        <is>
          <t>INFERIOR</t>
        </is>
      </c>
      <c r="G449" s="4" t="n">
        <v>1</v>
      </c>
      <c r="H449" s="5" t="n">
        <v>3798675906.838174</v>
      </c>
      <c r="I449" s="5" t="n">
        <v>3798783006.920035</v>
      </c>
      <c r="J449" s="5" t="n">
        <v>2744213.26</v>
      </c>
      <c r="K449" s="4" t="inlineStr">
        <is>
          <t>S</t>
        </is>
      </c>
      <c r="L449" s="4" t="inlineStr">
        <is>
          <t>2021-12-23</t>
        </is>
      </c>
      <c r="M449" s="5" t="n">
        <v>2744213.26</v>
      </c>
      <c r="N449" s="5">
        <f>J449-M449</f>
        <v/>
      </c>
      <c r="O449" s="6">
        <f>IF(F449="INFERIOR",N449/J449,"")</f>
        <v/>
      </c>
      <c r="P449" s="5">
        <f>IF(F449="INFERIOR",O449*MUS_parametros!$B$18,N449)</f>
        <v/>
      </c>
      <c r="Q449" s="4" t="inlineStr">
        <is>
          <t>Documento confere com o registro</t>
        </is>
      </c>
    </row>
    <row r="450">
      <c r="A450" s="4" t="inlineStr">
        <is>
          <t>IMB-0301946</t>
        </is>
      </c>
      <c r="B450" s="4" t="inlineStr">
        <is>
          <t>MAQUINAS_EQUIPAMENTOS</t>
        </is>
      </c>
      <c r="C450" s="4" t="inlineStr">
        <is>
          <t>1.2.03.01.004</t>
        </is>
      </c>
      <c r="D450" s="4" t="inlineStr">
        <is>
          <t>UPGN GUAMARE</t>
        </is>
      </c>
      <c r="E450" s="4" t="inlineStr">
        <is>
          <t>MODULO DE PROCESSAMENTO UPGN III</t>
        </is>
      </c>
      <c r="F450" s="4" t="inlineStr">
        <is>
          <t>INFERIOR</t>
        </is>
      </c>
      <c r="G450" s="4" t="n">
        <v>1</v>
      </c>
      <c r="H450" s="5" t="n">
        <v>3804408906.838174</v>
      </c>
      <c r="I450" s="5" t="n">
        <v>3804744440.890037</v>
      </c>
      <c r="J450" s="5" t="n">
        <v>407155.75</v>
      </c>
      <c r="K450" s="4" t="inlineStr">
        <is>
          <t>S</t>
        </is>
      </c>
      <c r="L450" s="4" t="inlineStr">
        <is>
          <t>2025-09-30</t>
        </is>
      </c>
      <c r="M450" s="5" t="n">
        <v>407155.75</v>
      </c>
      <c r="N450" s="5">
        <f>J450-M450</f>
        <v/>
      </c>
      <c r="O450" s="6">
        <f>IF(F450="INFERIOR",N450/J450,"")</f>
        <v/>
      </c>
      <c r="P450" s="5">
        <f>IF(F450="INFERIOR",O450*MUS_parametros!$B$18,N450)</f>
        <v/>
      </c>
      <c r="Q450" s="4" t="inlineStr">
        <is>
          <t>Documento confere com o registro</t>
        </is>
      </c>
    </row>
    <row r="451">
      <c r="A451" s="4" t="inlineStr">
        <is>
          <t>IMB-0302857</t>
        </is>
      </c>
      <c r="B451" s="4" t="inlineStr">
        <is>
          <t>DESENVOLVIMENTO_CAMPOS</t>
        </is>
      </c>
      <c r="C451" s="4" t="inlineStr">
        <is>
          <t>1.2.03.04.001</t>
        </is>
      </c>
      <c r="D451" s="4" t="inlineStr">
        <is>
          <t>MIRANGA</t>
        </is>
      </c>
      <c r="E451" s="4" t="inlineStr">
        <is>
          <t>PERFURACAO E COMPLETACAO</t>
        </is>
      </c>
      <c r="F451" s="4" t="inlineStr">
        <is>
          <t>INFERIOR</t>
        </is>
      </c>
      <c r="G451" s="4" t="n">
        <v>1</v>
      </c>
      <c r="H451" s="5" t="n">
        <v>3810141906.838174</v>
      </c>
      <c r="I451" s="5" t="n">
        <v>3810205166.220036</v>
      </c>
      <c r="J451" s="5" t="n">
        <v>76619.77</v>
      </c>
      <c r="K451" s="4" t="inlineStr">
        <is>
          <t>S</t>
        </is>
      </c>
      <c r="L451" s="4" t="inlineStr">
        <is>
          <t>2024-10-11</t>
        </is>
      </c>
      <c r="M451" s="5" t="n">
        <v>76619.77</v>
      </c>
      <c r="N451" s="5">
        <f>J451-M451</f>
        <v/>
      </c>
      <c r="O451" s="6">
        <f>IF(F451="INFERIOR",N451/J451,"")</f>
        <v/>
      </c>
      <c r="P451" s="5">
        <f>IF(F451="INFERIOR",O451*MUS_parametros!$B$18,N451)</f>
        <v/>
      </c>
      <c r="Q451" s="4" t="inlineStr">
        <is>
          <t>Documento confere com o registro</t>
        </is>
      </c>
    </row>
    <row r="452">
      <c r="A452" s="4" t="inlineStr">
        <is>
          <t>IMB-0303727</t>
        </is>
      </c>
      <c r="B452" s="4" t="inlineStr">
        <is>
          <t>ALMOXARIFADO_INVERSOES_FIXAS</t>
        </is>
      </c>
      <c r="C452" s="4" t="inlineStr">
        <is>
          <t>1.2.03.07.002</t>
        </is>
      </c>
      <c r="D452" s="4" t="inlineStr">
        <is>
          <t>MATA DE SAO JOAO</t>
        </is>
      </c>
      <c r="E452" s="4" t="inlineStr">
        <is>
          <t>BOMBA DE FUNDO EM ESTOQUE</t>
        </is>
      </c>
      <c r="F452" s="4" t="inlineStr">
        <is>
          <t>INFERIOR</t>
        </is>
      </c>
      <c r="G452" s="4" t="n">
        <v>1</v>
      </c>
      <c r="H452" s="5" t="n">
        <v>3815874906.838174</v>
      </c>
      <c r="I452" s="5" t="n">
        <v>3815882235.05004</v>
      </c>
      <c r="J452" s="5" t="n">
        <v>24902.33</v>
      </c>
      <c r="K452" s="4" t="inlineStr">
        <is>
          <t>S</t>
        </is>
      </c>
      <c r="L452" s="4" t="inlineStr">
        <is>
          <t>2022-03-01</t>
        </is>
      </c>
      <c r="M452" s="5" t="n">
        <v>24902.33</v>
      </c>
      <c r="N452" s="5">
        <f>J452-M452</f>
        <v/>
      </c>
      <c r="O452" s="6">
        <f>IF(F452="INFERIOR",N452/J452,"")</f>
        <v/>
      </c>
      <c r="P452" s="5">
        <f>IF(F452="INFERIOR",O452*MUS_parametros!$B$18,N452)</f>
        <v/>
      </c>
      <c r="Q452" s="4" t="inlineStr">
        <is>
          <t>Documento confere com o registro</t>
        </is>
      </c>
    </row>
    <row r="453">
      <c r="A453" s="4" t="inlineStr">
        <is>
          <t>IMB-0304628</t>
        </is>
      </c>
      <c r="B453" s="4" t="inlineStr">
        <is>
          <t>DESENVOLVIMENTO_CAMPOS</t>
        </is>
      </c>
      <c r="C453" s="4" t="inlineStr">
        <is>
          <t>1.2.03.04.001</t>
        </is>
      </c>
      <c r="D453" s="4" t="inlineStr">
        <is>
          <t>POT-CONC-05 (SINTETICO)</t>
        </is>
      </c>
      <c r="E453" s="4" t="inlineStr">
        <is>
          <t>PERFURACAO E COMPLETACAO</t>
        </is>
      </c>
      <c r="F453" s="4" t="inlineStr">
        <is>
          <t>INFERIOR</t>
        </is>
      </c>
      <c r="G453" s="4" t="n">
        <v>1</v>
      </c>
      <c r="H453" s="5" t="n">
        <v>3821607906.838174</v>
      </c>
      <c r="I453" s="5" t="n">
        <v>3822505293.05004</v>
      </c>
      <c r="J453" s="5" t="n">
        <v>903567.84</v>
      </c>
      <c r="K453" s="4" t="inlineStr">
        <is>
          <t>S</t>
        </is>
      </c>
      <c r="L453" s="4" t="inlineStr">
        <is>
          <t>2024-05-26</t>
        </is>
      </c>
      <c r="M453" s="5" t="n">
        <v>903567.84</v>
      </c>
      <c r="N453" s="5">
        <f>J453-M453</f>
        <v/>
      </c>
      <c r="O453" s="6">
        <f>IF(F453="INFERIOR",N453/J453,"")</f>
        <v/>
      </c>
      <c r="P453" s="5">
        <f>IF(F453="INFERIOR",O453*MUS_parametros!$B$18,N453)</f>
        <v/>
      </c>
      <c r="Q453" s="4" t="inlineStr">
        <is>
          <t>Documento confere com o registro</t>
        </is>
      </c>
    </row>
    <row r="454">
      <c r="A454" s="4" t="inlineStr">
        <is>
          <t>IMB-0305448</t>
        </is>
      </c>
      <c r="B454" s="4" t="inlineStr">
        <is>
          <t>IMOBILIZADO_EM_ANDAMENTO</t>
        </is>
      </c>
      <c r="C454" s="4" t="inlineStr">
        <is>
          <t>1.2.03.02.002</t>
        </is>
      </c>
      <c r="D454" s="4" t="inlineStr">
        <is>
          <t>GOMO</t>
        </is>
      </c>
      <c r="E454" s="4" t="inlineStr">
        <is>
          <t>ORDEM DE INVESTIMENTO EM ANDAMENTO</t>
        </is>
      </c>
      <c r="F454" s="4" t="inlineStr">
        <is>
          <t>INFERIOR</t>
        </is>
      </c>
      <c r="G454" s="4" t="n">
        <v>1</v>
      </c>
      <c r="H454" s="5" t="n">
        <v>3827340906.838174</v>
      </c>
      <c r="I454" s="5" t="n">
        <v>3827361175.080048</v>
      </c>
      <c r="J454" s="5" t="n">
        <v>258977.1</v>
      </c>
      <c r="K454" s="4" t="inlineStr">
        <is>
          <t>S</t>
        </is>
      </c>
      <c r="L454" s="4" t="inlineStr">
        <is>
          <t>2025-01-01</t>
        </is>
      </c>
      <c r="M454" s="5" t="n">
        <v>258977.1</v>
      </c>
      <c r="N454" s="5">
        <f>J454-M454</f>
        <v/>
      </c>
      <c r="O454" s="6">
        <f>IF(F454="INFERIOR",N454/J454,"")</f>
        <v/>
      </c>
      <c r="P454" s="5">
        <f>IF(F454="INFERIOR",O454*MUS_parametros!$B$18,N454)</f>
        <v/>
      </c>
      <c r="Q454" s="4" t="inlineStr">
        <is>
          <t>Documento confere com o registro</t>
        </is>
      </c>
    </row>
    <row r="455">
      <c r="A455" s="4" t="inlineStr">
        <is>
          <t>IMB-0306120</t>
        </is>
      </c>
      <c r="B455" s="4" t="inlineStr">
        <is>
          <t>DESENVOLVIMENTO_CAMPOS</t>
        </is>
      </c>
      <c r="C455" s="4" t="inlineStr">
        <is>
          <t>1.2.03.04.001</t>
        </is>
      </c>
      <c r="D455" s="4" t="inlineStr">
        <is>
          <t>TARTARUGA</t>
        </is>
      </c>
      <c r="E455" s="4" t="inlineStr">
        <is>
          <t>PERFURACAO E COMPLETACAO</t>
        </is>
      </c>
      <c r="F455" s="4" t="inlineStr">
        <is>
          <t>INFERIOR</t>
        </is>
      </c>
      <c r="G455" s="4" t="n">
        <v>1</v>
      </c>
      <c r="H455" s="5" t="n">
        <v>3833073906.838174</v>
      </c>
      <c r="I455" s="5" t="n">
        <v>3834242507.830046</v>
      </c>
      <c r="J455" s="5" t="n">
        <v>3274756.82</v>
      </c>
      <c r="K455" s="4" t="inlineStr">
        <is>
          <t>S</t>
        </is>
      </c>
      <c r="L455" s="4" t="inlineStr">
        <is>
          <t>2025-03-25</t>
        </is>
      </c>
      <c r="M455" s="5" t="n">
        <v>3274756.82</v>
      </c>
      <c r="N455" s="5">
        <f>J455-M455</f>
        <v/>
      </c>
      <c r="O455" s="6">
        <f>IF(F455="INFERIOR",N455/J455,"")</f>
        <v/>
      </c>
      <c r="P455" s="5">
        <f>IF(F455="INFERIOR",O455*MUS_parametros!$B$18,N455)</f>
        <v/>
      </c>
      <c r="Q455" s="4" t="inlineStr">
        <is>
          <t>Documento confere com o registro</t>
        </is>
      </c>
    </row>
    <row r="456">
      <c r="A456" s="4" t="inlineStr">
        <is>
          <t>IMB-0306899</t>
        </is>
      </c>
      <c r="B456" s="4" t="inlineStr">
        <is>
          <t>ALMOXARIFADO_INVERSOES_FIXAS</t>
        </is>
      </c>
      <c r="C456" s="4" t="inlineStr">
        <is>
          <t>1.2.03.07.004</t>
        </is>
      </c>
      <c r="D456" s="4" t="inlineStr">
        <is>
          <t>BREJINHO</t>
        </is>
      </c>
      <c r="E456" s="4" t="inlineStr">
        <is>
          <t>MATERIAL DIVERSO DE INVESTIMENTO</t>
        </is>
      </c>
      <c r="F456" s="4" t="inlineStr">
        <is>
          <t>INFERIOR</t>
        </is>
      </c>
      <c r="G456" s="4" t="n">
        <v>1</v>
      </c>
      <c r="H456" s="5" t="n">
        <v>3838806906.838174</v>
      </c>
      <c r="I456" s="5" t="n">
        <v>3838807105.600046</v>
      </c>
      <c r="J456" s="5" t="n">
        <v>639.64</v>
      </c>
      <c r="K456" s="4" t="inlineStr">
        <is>
          <t>S</t>
        </is>
      </c>
      <c r="L456" s="4" t="inlineStr">
        <is>
          <t>2023-09-09</t>
        </is>
      </c>
      <c r="M456" s="5" t="n">
        <v>639.64</v>
      </c>
      <c r="N456" s="5">
        <f>J456-M456</f>
        <v/>
      </c>
      <c r="O456" s="6">
        <f>IF(F456="INFERIOR",N456/J456,"")</f>
        <v/>
      </c>
      <c r="P456" s="5">
        <f>IF(F456="INFERIOR",O456*MUS_parametros!$B$18,N456)</f>
        <v/>
      </c>
      <c r="Q456" s="4" t="inlineStr">
        <is>
          <t>Documento confere com o registro</t>
        </is>
      </c>
    </row>
    <row r="457">
      <c r="A457" s="4" t="inlineStr">
        <is>
          <t>IMB-0307922</t>
        </is>
      </c>
      <c r="B457" s="4" t="inlineStr">
        <is>
          <t>ALMOXARIFADO_INVERSOES_FIXAS</t>
        </is>
      </c>
      <c r="C457" s="4" t="inlineStr">
        <is>
          <t>1.2.03.07.001</t>
        </is>
      </c>
      <c r="D457" s="4" t="inlineStr">
        <is>
          <t>POT-CONC-18 (SINTETICO)</t>
        </is>
      </c>
      <c r="E457" s="4" t="inlineStr">
        <is>
          <t>TUBO DE REVESTIMENTO/PRODUCAO (LOTE)</t>
        </is>
      </c>
      <c r="F457" s="4" t="inlineStr">
        <is>
          <t>INFERIOR</t>
        </is>
      </c>
      <c r="G457" s="4" t="n">
        <v>1</v>
      </c>
      <c r="H457" s="5" t="n">
        <v>3844539906.838174</v>
      </c>
      <c r="I457" s="5" t="n">
        <v>3844540649.030049</v>
      </c>
      <c r="J457" s="5" t="n">
        <v>13351.95</v>
      </c>
      <c r="K457" s="4" t="inlineStr">
        <is>
          <t>S</t>
        </is>
      </c>
      <c r="L457" s="4" t="inlineStr">
        <is>
          <t>2025-07-30</t>
        </is>
      </c>
      <c r="M457" s="5" t="n">
        <v>13351.95</v>
      </c>
      <c r="N457" s="5">
        <f>J457-M457</f>
        <v/>
      </c>
      <c r="O457" s="6">
        <f>IF(F457="INFERIOR",N457/J457,"")</f>
        <v/>
      </c>
      <c r="P457" s="5">
        <f>IF(F457="INFERIOR",O457*MUS_parametros!$B$18,N457)</f>
        <v/>
      </c>
      <c r="Q457" s="4" t="inlineStr">
        <is>
          <t>Documento confere com o registro</t>
        </is>
      </c>
    </row>
    <row r="458">
      <c r="A458" s="4" t="inlineStr">
        <is>
          <t>IMB-0308357</t>
        </is>
      </c>
      <c r="B458" s="4" t="inlineStr">
        <is>
          <t>DESENVOLVIMENTO_CAMPOS</t>
        </is>
      </c>
      <c r="C458" s="4" t="inlineStr">
        <is>
          <t>1.2.03.04.001</t>
        </is>
      </c>
      <c r="D458" s="4" t="inlineStr">
        <is>
          <t>RIACHO SAO PEDRO</t>
        </is>
      </c>
      <c r="E458" s="4" t="inlineStr">
        <is>
          <t>PERFURACAO E COMPLETACAO</t>
        </is>
      </c>
      <c r="F458" s="4" t="inlineStr">
        <is>
          <t>INFERIOR</t>
        </is>
      </c>
      <c r="G458" s="4" t="n">
        <v>1</v>
      </c>
      <c r="H458" s="5" t="n">
        <v>3850272906.838174</v>
      </c>
      <c r="I458" s="5" t="n">
        <v>3850565287.430052</v>
      </c>
      <c r="J458" s="5" t="n">
        <v>512848.05</v>
      </c>
      <c r="K458" s="4" t="inlineStr">
        <is>
          <t>S</t>
        </is>
      </c>
      <c r="L458" s="4" t="inlineStr">
        <is>
          <t>2025-10-02</t>
        </is>
      </c>
      <c r="M458" s="5" t="n">
        <v>512848.05</v>
      </c>
      <c r="N458" s="5">
        <f>J458-M458</f>
        <v/>
      </c>
      <c r="O458" s="6">
        <f>IF(F458="INFERIOR",N458/J458,"")</f>
        <v/>
      </c>
      <c r="P458" s="5">
        <f>IF(F458="INFERIOR",O458*MUS_parametros!$B$18,N458)</f>
        <v/>
      </c>
      <c r="Q458" s="4" t="inlineStr">
        <is>
          <t>Documento confere com o registro</t>
        </is>
      </c>
    </row>
    <row r="459">
      <c r="A459" s="4" t="inlineStr">
        <is>
          <t>IMB-0308907</t>
        </is>
      </c>
      <c r="B459" s="4" t="inlineStr">
        <is>
          <t>DESENVOLVIMENTO_CAMPOS</t>
        </is>
      </c>
      <c r="C459" s="4" t="inlineStr">
        <is>
          <t>1.2.03.04.001</t>
        </is>
      </c>
      <c r="D459" s="4" t="inlineStr">
        <is>
          <t>POT-CONC-11 (SINTETICO)</t>
        </is>
      </c>
      <c r="E459" s="4" t="inlineStr">
        <is>
          <t>PERFURACAO E COMPLETACAO</t>
        </is>
      </c>
      <c r="F459" s="4" t="inlineStr">
        <is>
          <t>INFERIOR</t>
        </is>
      </c>
      <c r="G459" s="4" t="n">
        <v>1</v>
      </c>
      <c r="H459" s="5" t="n">
        <v>3856005906.838174</v>
      </c>
      <c r="I459" s="5" t="n">
        <v>3856288295.200056</v>
      </c>
      <c r="J459" s="5" t="n">
        <v>928489.09</v>
      </c>
      <c r="K459" s="4" t="inlineStr">
        <is>
          <t>S</t>
        </is>
      </c>
      <c r="L459" s="4" t="inlineStr">
        <is>
          <t>2025-09-08</t>
        </is>
      </c>
      <c r="M459" s="5" t="n">
        <v>928489.09</v>
      </c>
      <c r="N459" s="5">
        <f>J459-M459</f>
        <v/>
      </c>
      <c r="O459" s="6">
        <f>IF(F459="INFERIOR",N459/J459,"")</f>
        <v/>
      </c>
      <c r="P459" s="5">
        <f>IF(F459="INFERIOR",O459*MUS_parametros!$B$18,N459)</f>
        <v/>
      </c>
      <c r="Q459" s="4" t="inlineStr">
        <is>
          <t>Documento confere com o registro</t>
        </is>
      </c>
    </row>
    <row r="460">
      <c r="A460" s="4" t="inlineStr">
        <is>
          <t>IMB-0309814</t>
        </is>
      </c>
      <c r="B460" s="4" t="inlineStr">
        <is>
          <t>ALMOXARIFADO_INVERSOES_FIXAS</t>
        </is>
      </c>
      <c r="C460" s="4" t="inlineStr">
        <is>
          <t>1.2.03.07.001</t>
        </is>
      </c>
      <c r="D460" s="4" t="inlineStr">
        <is>
          <t>BAIXA DO ALGODAO</t>
        </is>
      </c>
      <c r="E460" s="4" t="inlineStr">
        <is>
          <t>TUBO DE REVESTIMENTO/PRODUCAO (LOTE)</t>
        </is>
      </c>
      <c r="F460" s="4" t="inlineStr">
        <is>
          <t>INFERIOR</t>
        </is>
      </c>
      <c r="G460" s="4" t="n">
        <v>1</v>
      </c>
      <c r="H460" s="5" t="n">
        <v>3861738906.838174</v>
      </c>
      <c r="I460" s="5" t="n">
        <v>3861741358.24006</v>
      </c>
      <c r="J460" s="5" t="n">
        <v>9727.040000000001</v>
      </c>
      <c r="K460" s="4" t="inlineStr">
        <is>
          <t>S</t>
        </is>
      </c>
      <c r="L460" s="4" t="inlineStr">
        <is>
          <t>2023-04-05</t>
        </is>
      </c>
      <c r="M460" s="5" t="n">
        <v>9727.040000000001</v>
      </c>
      <c r="N460" s="5">
        <f>J460-M460</f>
        <v/>
      </c>
      <c r="O460" s="6">
        <f>IF(F460="INFERIOR",N460/J460,"")</f>
        <v/>
      </c>
      <c r="P460" s="5">
        <f>IF(F460="INFERIOR",O460*MUS_parametros!$B$18,N460)</f>
        <v/>
      </c>
      <c r="Q460" s="4" t="inlineStr">
        <is>
          <t>Documento confere com o registro</t>
        </is>
      </c>
    </row>
    <row r="461">
      <c r="A461" s="4" t="inlineStr">
        <is>
          <t>IMB-0310570</t>
        </is>
      </c>
      <c r="B461" s="4" t="inlineStr">
        <is>
          <t>DESENVOLVIMENTO_CAMPOS</t>
        </is>
      </c>
      <c r="C461" s="4" t="inlineStr">
        <is>
          <t>1.2.03.04.001</t>
        </is>
      </c>
      <c r="D461" s="4" t="inlineStr">
        <is>
          <t>MIRANGA NORTE</t>
        </is>
      </c>
      <c r="E461" s="4" t="inlineStr">
        <is>
          <t>PERFURACAO E COMPLETACAO</t>
        </is>
      </c>
      <c r="F461" s="4" t="inlineStr">
        <is>
          <t>INFERIOR</t>
        </is>
      </c>
      <c r="G461" s="4" t="n">
        <v>1</v>
      </c>
      <c r="H461" s="5" t="n">
        <v>3867471906.838174</v>
      </c>
      <c r="I461" s="5" t="n">
        <v>3867503094.950058</v>
      </c>
      <c r="J461" s="5" t="n">
        <v>33485.11</v>
      </c>
      <c r="K461" s="4" t="inlineStr">
        <is>
          <t>S</t>
        </is>
      </c>
      <c r="L461" s="4" t="inlineStr">
        <is>
          <t>2025-04-20</t>
        </is>
      </c>
      <c r="M461" s="5" t="n">
        <v>33485.11</v>
      </c>
      <c r="N461" s="5">
        <f>J461-M461</f>
        <v/>
      </c>
      <c r="O461" s="6">
        <f>IF(F461="INFERIOR",N461/J461,"")</f>
        <v/>
      </c>
      <c r="P461" s="5">
        <f>IF(F461="INFERIOR",O461*MUS_parametros!$B$18,N461)</f>
        <v/>
      </c>
      <c r="Q461" s="4" t="inlineStr">
        <is>
          <t>Documento confere com o registro</t>
        </is>
      </c>
    </row>
    <row r="462">
      <c r="A462" s="4" t="inlineStr">
        <is>
          <t>IMB-0311480</t>
        </is>
      </c>
      <c r="B462" s="4" t="inlineStr">
        <is>
          <t>DESENVOLVIMENTO_CAMPOS</t>
        </is>
      </c>
      <c r="C462" s="4" t="inlineStr">
        <is>
          <t>1.2.03.04.001</t>
        </is>
      </c>
      <c r="D462" s="4" t="inlineStr">
        <is>
          <t>SAO PEDRO</t>
        </is>
      </c>
      <c r="E462" s="4" t="inlineStr">
        <is>
          <t>PERFURACAO E COMPLETACAO</t>
        </is>
      </c>
      <c r="F462" s="4" t="inlineStr">
        <is>
          <t>INFERIOR</t>
        </is>
      </c>
      <c r="G462" s="4" t="n">
        <v>1</v>
      </c>
      <c r="H462" s="5" t="n">
        <v>3873204906.838174</v>
      </c>
      <c r="I462" s="5" t="n">
        <v>3873779251.990055</v>
      </c>
      <c r="J462" s="5" t="n">
        <v>835083.33</v>
      </c>
      <c r="K462" s="4" t="inlineStr">
        <is>
          <t>S</t>
        </is>
      </c>
      <c r="L462" s="4" t="inlineStr">
        <is>
          <t>2025-09-26</t>
        </is>
      </c>
      <c r="M462" s="5" t="n">
        <v>835083.33</v>
      </c>
      <c r="N462" s="5">
        <f>J462-M462</f>
        <v/>
      </c>
      <c r="O462" s="6">
        <f>IF(F462="INFERIOR",N462/J462,"")</f>
        <v/>
      </c>
      <c r="P462" s="5">
        <f>IF(F462="INFERIOR",O462*MUS_parametros!$B$18,N462)</f>
        <v/>
      </c>
      <c r="Q462" s="4" t="inlineStr">
        <is>
          <t>Documento confere com o registro</t>
        </is>
      </c>
    </row>
    <row r="463">
      <c r="A463" s="4" t="inlineStr">
        <is>
          <t>IMB-0312094</t>
        </is>
      </c>
      <c r="B463" s="4" t="inlineStr">
        <is>
          <t>DESENVOLVIMENTO_CAMPOS</t>
        </is>
      </c>
      <c r="C463" s="4" t="inlineStr">
        <is>
          <t>1.2.03.04.001</t>
        </is>
      </c>
      <c r="D463" s="4" t="inlineStr">
        <is>
          <t>NORTE FAZENDA CARUACU</t>
        </is>
      </c>
      <c r="E463" s="4" t="inlineStr">
        <is>
          <t>PERFURACAO E COMPLETACAO</t>
        </is>
      </c>
      <c r="F463" s="4" t="inlineStr">
        <is>
          <t>INFERIOR</t>
        </is>
      </c>
      <c r="G463" s="4" t="n">
        <v>1</v>
      </c>
      <c r="H463" s="5" t="n">
        <v>3878937906.838174</v>
      </c>
      <c r="I463" s="5" t="n">
        <v>3879077907.160062</v>
      </c>
      <c r="J463" s="5" t="n">
        <v>232358.08</v>
      </c>
      <c r="K463" s="4" t="inlineStr">
        <is>
          <t>S</t>
        </is>
      </c>
      <c r="L463" s="4" t="inlineStr">
        <is>
          <t>2024-11-29</t>
        </is>
      </c>
      <c r="M463" s="5" t="n">
        <v>232358.08</v>
      </c>
      <c r="N463" s="5">
        <f>J463-M463</f>
        <v/>
      </c>
      <c r="O463" s="6">
        <f>IF(F463="INFERIOR",N463/J463,"")</f>
        <v/>
      </c>
      <c r="P463" s="5">
        <f>IF(F463="INFERIOR",O463*MUS_parametros!$B$18,N463)</f>
        <v/>
      </c>
      <c r="Q463" s="4" t="inlineStr">
        <is>
          <t>Documento confere com o registro</t>
        </is>
      </c>
    </row>
    <row r="464">
      <c r="A464" s="4" t="inlineStr">
        <is>
          <t>IMB-0312804</t>
        </is>
      </c>
      <c r="B464" s="4" t="inlineStr">
        <is>
          <t>DESENVOLVIMENTO_CAMPOS</t>
        </is>
      </c>
      <c r="C464" s="4" t="inlineStr">
        <is>
          <t>1.2.03.04.001</t>
        </is>
      </c>
      <c r="D464" s="4" t="inlineStr">
        <is>
          <t>PAJEU</t>
        </is>
      </c>
      <c r="E464" s="4" t="inlineStr">
        <is>
          <t>PERFURACAO E COMPLETACAO</t>
        </is>
      </c>
      <c r="F464" s="4" t="inlineStr">
        <is>
          <t>INFERIOR</t>
        </is>
      </c>
      <c r="G464" s="4" t="n">
        <v>1</v>
      </c>
      <c r="H464" s="5" t="n">
        <v>3884670906.838174</v>
      </c>
      <c r="I464" s="5" t="n">
        <v>3884702034.410064</v>
      </c>
      <c r="J464" s="5" t="n">
        <v>82513.73</v>
      </c>
      <c r="K464" s="4" t="inlineStr">
        <is>
          <t>S</t>
        </is>
      </c>
      <c r="L464" s="4" t="inlineStr">
        <is>
          <t>2024-05-06</t>
        </is>
      </c>
      <c r="M464" s="5" t="n">
        <v>82513.73</v>
      </c>
      <c r="N464" s="5">
        <f>J464-M464</f>
        <v/>
      </c>
      <c r="O464" s="6">
        <f>IF(F464="INFERIOR",N464/J464,"")</f>
        <v/>
      </c>
      <c r="P464" s="5">
        <f>IF(F464="INFERIOR",O464*MUS_parametros!$B$18,N464)</f>
        <v/>
      </c>
      <c r="Q464" s="4" t="inlineStr">
        <is>
          <t>Documento confere com o registro</t>
        </is>
      </c>
    </row>
    <row r="465">
      <c r="A465" s="4" t="inlineStr">
        <is>
          <t>IMB-0313525</t>
        </is>
      </c>
      <c r="B465" s="4" t="inlineStr">
        <is>
          <t>DESENVOLVIMENTO_CAMPOS</t>
        </is>
      </c>
      <c r="C465" s="4" t="inlineStr">
        <is>
          <t>1.2.03.04.002</t>
        </is>
      </c>
      <c r="D465" s="4" t="inlineStr">
        <is>
          <t>RIO SUBAUMA</t>
        </is>
      </c>
      <c r="E465" s="4" t="inlineStr">
        <is>
          <t>FRATURAMENTO / ESTIMULACAO CAPITALIZADA</t>
        </is>
      </c>
      <c r="F465" s="4" t="inlineStr">
        <is>
          <t>INFERIOR</t>
        </is>
      </c>
      <c r="G465" s="4" t="n">
        <v>1</v>
      </c>
      <c r="H465" s="5" t="n">
        <v>3890403906.838174</v>
      </c>
      <c r="I465" s="5" t="n">
        <v>3890419895.770068</v>
      </c>
      <c r="J465" s="5" t="n">
        <v>34523.17</v>
      </c>
      <c r="K465" s="4" t="inlineStr">
        <is>
          <t>S</t>
        </is>
      </c>
      <c r="L465" s="4" t="inlineStr">
        <is>
          <t>2025-12-27</t>
        </is>
      </c>
      <c r="M465" s="5" t="n">
        <v>34523.17</v>
      </c>
      <c r="N465" s="5">
        <f>J465-M465</f>
        <v/>
      </c>
      <c r="O465" s="6">
        <f>IF(F465="INFERIOR",N465/J465,"")</f>
        <v/>
      </c>
      <c r="P465" s="5">
        <f>IF(F465="INFERIOR",O465*MUS_parametros!$B$18,N465)</f>
        <v/>
      </c>
      <c r="Q465" s="4" t="inlineStr">
        <is>
          <t>Documento confere com o registro</t>
        </is>
      </c>
    </row>
    <row r="466">
      <c r="A466" s="4" t="inlineStr">
        <is>
          <t>IMB-0314080</t>
        </is>
      </c>
      <c r="B466" s="4" t="inlineStr">
        <is>
          <t>DESENVOLVIMENTO_CAMPOS</t>
        </is>
      </c>
      <c r="C466" s="4" t="inlineStr">
        <is>
          <t>1.2.03.04.001</t>
        </is>
      </c>
      <c r="D466" s="4" t="inlineStr">
        <is>
          <t>BREJINHO</t>
        </is>
      </c>
      <c r="E466" s="4" t="inlineStr">
        <is>
          <t>PERFURACAO E COMPLETACAO</t>
        </is>
      </c>
      <c r="F466" s="4" t="inlineStr">
        <is>
          <t>INFERIOR</t>
        </is>
      </c>
      <c r="G466" s="4" t="n">
        <v>1</v>
      </c>
      <c r="H466" s="5" t="n">
        <v>3896136906.838174</v>
      </c>
      <c r="I466" s="5" t="n">
        <v>3896194718.750066</v>
      </c>
      <c r="J466" s="5" t="n">
        <v>179986.84</v>
      </c>
      <c r="K466" s="4" t="inlineStr">
        <is>
          <t>S</t>
        </is>
      </c>
      <c r="L466" s="4" t="inlineStr">
        <is>
          <t>2025-12-08</t>
        </is>
      </c>
      <c r="M466" s="5" t="n">
        <v>179986.84</v>
      </c>
      <c r="N466" s="5">
        <f>J466-M466</f>
        <v/>
      </c>
      <c r="O466" s="6">
        <f>IF(F466="INFERIOR",N466/J466,"")</f>
        <v/>
      </c>
      <c r="P466" s="5">
        <f>IF(F466="INFERIOR",O466*MUS_parametros!$B$18,N466)</f>
        <v/>
      </c>
      <c r="Q466" s="4" t="inlineStr">
        <is>
          <t>Documento confere com o registro</t>
        </is>
      </c>
    </row>
    <row r="467">
      <c r="A467" s="4" t="inlineStr">
        <is>
          <t>IMB-0314441</t>
        </is>
      </c>
      <c r="B467" s="4" t="inlineStr">
        <is>
          <t>MAQUINAS_EQUIPAMENTOS</t>
        </is>
      </c>
      <c r="C467" s="4" t="inlineStr">
        <is>
          <t>1.2.03.01.002</t>
        </is>
      </c>
      <c r="D467" s="4" t="inlineStr">
        <is>
          <t>RIO SUBAUMA</t>
        </is>
      </c>
      <c r="E467" s="4" t="inlineStr">
        <is>
          <t>UNIDADE DE BOMBEIO MECANICO</t>
        </is>
      </c>
      <c r="F467" s="4" t="inlineStr">
        <is>
          <t>INFERIOR</t>
        </is>
      </c>
      <c r="G467" s="4" t="n">
        <v>1</v>
      </c>
      <c r="H467" s="5" t="n">
        <v>3901869906.838174</v>
      </c>
      <c r="I467" s="5" t="n">
        <v>3901874093.020071</v>
      </c>
      <c r="J467" s="5" t="n">
        <v>5780.11</v>
      </c>
      <c r="K467" s="4" t="inlineStr">
        <is>
          <t>S</t>
        </is>
      </c>
      <c r="L467" s="4" t="inlineStr">
        <is>
          <t>2018-09-16</t>
        </is>
      </c>
      <c r="M467" s="5" t="n">
        <v>5780.11</v>
      </c>
      <c r="N467" s="5">
        <f>J467-M467</f>
        <v/>
      </c>
      <c r="O467" s="6">
        <f>IF(F467="INFERIOR",N467/J467,"")</f>
        <v/>
      </c>
      <c r="P467" s="5">
        <f>IF(F467="INFERIOR",O467*MUS_parametros!$B$18,N467)</f>
        <v/>
      </c>
      <c r="Q467" s="4" t="inlineStr">
        <is>
          <t>Documento confere com o registro</t>
        </is>
      </c>
    </row>
    <row r="468">
      <c r="A468" s="4" t="inlineStr">
        <is>
          <t>IMB-0315068</t>
        </is>
      </c>
      <c r="B468" s="4" t="inlineStr">
        <is>
          <t>DESENVOLVIMENTO_CAMPOS</t>
        </is>
      </c>
      <c r="C468" s="4" t="inlineStr">
        <is>
          <t>1.2.03.04.002</t>
        </is>
      </c>
      <c r="D468" s="4" t="inlineStr">
        <is>
          <t>RIO MOSSORO</t>
        </is>
      </c>
      <c r="E468" s="4" t="inlineStr">
        <is>
          <t>WORKOVER / RECOMPLETACAO CAPITALIZADO</t>
        </is>
      </c>
      <c r="F468" s="4" t="inlineStr">
        <is>
          <t>INFERIOR</t>
        </is>
      </c>
      <c r="G468" s="4" t="n">
        <v>1</v>
      </c>
      <c r="H468" s="5" t="n">
        <v>3907602906.838174</v>
      </c>
      <c r="I468" s="5" t="n">
        <v>3907662622.150074</v>
      </c>
      <c r="J468" s="5" t="n">
        <v>82781.84</v>
      </c>
      <c r="K468" s="4" t="inlineStr">
        <is>
          <t>S</t>
        </is>
      </c>
      <c r="L468" s="4" t="inlineStr">
        <is>
          <t>2025-12-28</t>
        </is>
      </c>
      <c r="M468" s="5" t="n">
        <v>82781.84</v>
      </c>
      <c r="N468" s="5">
        <f>J468-M468</f>
        <v/>
      </c>
      <c r="O468" s="6">
        <f>IF(F468="INFERIOR",N468/J468,"")</f>
        <v/>
      </c>
      <c r="P468" s="5">
        <f>IF(F468="INFERIOR",O468*MUS_parametros!$B$18,N468)</f>
        <v/>
      </c>
      <c r="Q468" s="4" t="inlineStr">
        <is>
          <t>Documento confere com o registro</t>
        </is>
      </c>
    </row>
    <row r="469">
      <c r="A469" s="4" t="inlineStr">
        <is>
          <t>IMB-0316014</t>
        </is>
      </c>
      <c r="B469" s="4" t="inlineStr">
        <is>
          <t>ALMOXARIFADO_INVERSOES_FIXAS</t>
        </is>
      </c>
      <c r="C469" s="4" t="inlineStr">
        <is>
          <t>1.2.03.07.002</t>
        </is>
      </c>
      <c r="D469" s="4" t="inlineStr">
        <is>
          <t>REMANSO</t>
        </is>
      </c>
      <c r="E469" s="4" t="inlineStr">
        <is>
          <t>BOMBA DE FUNDO EM ESTOQUE</t>
        </is>
      </c>
      <c r="F469" s="4" t="inlineStr">
        <is>
          <t>INFERIOR</t>
        </is>
      </c>
      <c r="G469" s="4" t="n">
        <v>1</v>
      </c>
      <c r="H469" s="5" t="n">
        <v>3913335906.838174</v>
      </c>
      <c r="I469" s="5" t="n">
        <v>3913343289.010069</v>
      </c>
      <c r="J469" s="5" t="n">
        <v>12415.46</v>
      </c>
      <c r="K469" s="4" t="inlineStr">
        <is>
          <t>S</t>
        </is>
      </c>
      <c r="L469" s="4" t="inlineStr">
        <is>
          <t>2025-11-02</t>
        </is>
      </c>
      <c r="M469" s="5" t="n">
        <v>12415.46</v>
      </c>
      <c r="N469" s="5">
        <f>J469-M469</f>
        <v/>
      </c>
      <c r="O469" s="6">
        <f>IF(F469="INFERIOR",N469/J469,"")</f>
        <v/>
      </c>
      <c r="P469" s="5">
        <f>IF(F469="INFERIOR",O469*MUS_parametros!$B$18,N469)</f>
        <v/>
      </c>
      <c r="Q469" s="4" t="inlineStr">
        <is>
          <t>Documento confere com o registro</t>
        </is>
      </c>
    </row>
    <row r="470">
      <c r="A470" s="4" t="inlineStr">
        <is>
          <t>IMB-0316922</t>
        </is>
      </c>
      <c r="B470" s="4" t="inlineStr">
        <is>
          <t>DESENVOLVIMENTO_CAMPOS</t>
        </is>
      </c>
      <c r="C470" s="4" t="inlineStr">
        <is>
          <t>1.2.03.04.001</t>
        </is>
      </c>
      <c r="D470" s="4" t="inlineStr">
        <is>
          <t>FAZENDA CURRAL</t>
        </is>
      </c>
      <c r="E470" s="4" t="inlineStr">
        <is>
          <t>PERFURACAO E COMPLETACAO</t>
        </is>
      </c>
      <c r="F470" s="4" t="inlineStr">
        <is>
          <t>INFERIOR</t>
        </is>
      </c>
      <c r="G470" s="4" t="n">
        <v>1</v>
      </c>
      <c r="H470" s="5" t="n">
        <v>3919068906.838174</v>
      </c>
      <c r="I470" s="5" t="n">
        <v>3919096446.17007</v>
      </c>
      <c r="J470" s="5" t="n">
        <v>230540.73</v>
      </c>
      <c r="K470" s="4" t="inlineStr">
        <is>
          <t>S</t>
        </is>
      </c>
      <c r="L470" s="4" t="inlineStr">
        <is>
          <t>2025-01-20</t>
        </is>
      </c>
      <c r="M470" s="5" t="n">
        <v>230540.73</v>
      </c>
      <c r="N470" s="5">
        <f>J470-M470</f>
        <v/>
      </c>
      <c r="O470" s="6">
        <f>IF(F470="INFERIOR",N470/J470,"")</f>
        <v/>
      </c>
      <c r="P470" s="5">
        <f>IF(F470="INFERIOR",O470*MUS_parametros!$B$18,N470)</f>
        <v/>
      </c>
      <c r="Q470" s="4" t="inlineStr">
        <is>
          <t>Documento confere com o registro</t>
        </is>
      </c>
    </row>
    <row r="471">
      <c r="A471" s="4" t="inlineStr">
        <is>
          <t>IMB-0317841</t>
        </is>
      </c>
      <c r="B471" s="4" t="inlineStr">
        <is>
          <t>DESENVOLVIMENTO_CAMPOS</t>
        </is>
      </c>
      <c r="C471" s="4" t="inlineStr">
        <is>
          <t>1.2.03.04.001</t>
        </is>
      </c>
      <c r="D471" s="4" t="inlineStr">
        <is>
          <t>MATA DE SAO JOAO</t>
        </is>
      </c>
      <c r="E471" s="4" t="inlineStr">
        <is>
          <t>PERFURACAO E COMPLETACAO</t>
        </is>
      </c>
      <c r="F471" s="4" t="inlineStr">
        <is>
          <t>INFERIOR</t>
        </is>
      </c>
      <c r="G471" s="4" t="n">
        <v>1</v>
      </c>
      <c r="H471" s="5" t="n">
        <v>3924801906.838174</v>
      </c>
      <c r="I471" s="5" t="n">
        <v>3925509997.940068</v>
      </c>
      <c r="J471" s="5" t="n">
        <v>1589824.38</v>
      </c>
      <c r="K471" s="4" t="inlineStr">
        <is>
          <t>S</t>
        </is>
      </c>
      <c r="L471" s="4" t="inlineStr">
        <is>
          <t>2025-07-29</t>
        </is>
      </c>
      <c r="M471" s="5" t="n">
        <v>1589824.38</v>
      </c>
      <c r="N471" s="5">
        <f>J471-M471</f>
        <v/>
      </c>
      <c r="O471" s="6">
        <f>IF(F471="INFERIOR",N471/J471,"")</f>
        <v/>
      </c>
      <c r="P471" s="5">
        <f>IF(F471="INFERIOR",O471*MUS_parametros!$B$18,N471)</f>
        <v/>
      </c>
      <c r="Q471" s="4" t="inlineStr">
        <is>
          <t>Documento confere com o registro</t>
        </is>
      </c>
    </row>
    <row r="472">
      <c r="A472" s="4" t="inlineStr">
        <is>
          <t>IMB-0318625</t>
        </is>
      </c>
      <c r="B472" s="4" t="inlineStr">
        <is>
          <t>DESENVOLVIMENTO_CAMPOS</t>
        </is>
      </c>
      <c r="C472" s="4" t="inlineStr">
        <is>
          <t>1.2.03.04.001</t>
        </is>
      </c>
      <c r="D472" s="4" t="inlineStr">
        <is>
          <t>POT-CONC-10 (SINTETICO)</t>
        </is>
      </c>
      <c r="E472" s="4" t="inlineStr">
        <is>
          <t>PERFURACAO E COMPLETACAO</t>
        </is>
      </c>
      <c r="F472" s="4" t="inlineStr">
        <is>
          <t>INFERIOR</t>
        </is>
      </c>
      <c r="G472" s="4" t="n">
        <v>1</v>
      </c>
      <c r="H472" s="5" t="n">
        <v>3930534906.838174</v>
      </c>
      <c r="I472" s="5" t="n">
        <v>3930592310.810065</v>
      </c>
      <c r="J472" s="5" t="n">
        <v>119374.02</v>
      </c>
      <c r="K472" s="4" t="inlineStr">
        <is>
          <t>S</t>
        </is>
      </c>
      <c r="L472" s="4" t="inlineStr">
        <is>
          <t>2024-02-12</t>
        </is>
      </c>
      <c r="M472" s="5" t="n">
        <v>119374.02</v>
      </c>
      <c r="N472" s="5">
        <f>J472-M472</f>
        <v/>
      </c>
      <c r="O472" s="6">
        <f>IF(F472="INFERIOR",N472/J472,"")</f>
        <v/>
      </c>
      <c r="P472" s="5">
        <f>IF(F472="INFERIOR",O472*MUS_parametros!$B$18,N472)</f>
        <v/>
      </c>
      <c r="Q472" s="4" t="inlineStr">
        <is>
          <t>Documento confere com o registro</t>
        </is>
      </c>
    </row>
    <row r="473">
      <c r="A473" s="4" t="inlineStr">
        <is>
          <t>IMB-0319422</t>
        </is>
      </c>
      <c r="B473" s="4" t="inlineStr">
        <is>
          <t>ALMOXARIFADO_INVERSOES_FIXAS</t>
        </is>
      </c>
      <c r="C473" s="4" t="inlineStr">
        <is>
          <t>1.2.03.07.002</t>
        </is>
      </c>
      <c r="D473" s="4" t="inlineStr">
        <is>
          <t>POT-CONC-15 (SINTETICO)</t>
        </is>
      </c>
      <c r="E473" s="4" t="inlineStr">
        <is>
          <t>BOMBA DE FUNDO EM ESTOQUE</t>
        </is>
      </c>
      <c r="F473" s="4" t="inlineStr">
        <is>
          <t>INFERIOR</t>
        </is>
      </c>
      <c r="G473" s="4" t="n">
        <v>1</v>
      </c>
      <c r="H473" s="5" t="n">
        <v>3936267906.838174</v>
      </c>
      <c r="I473" s="5" t="n">
        <v>3936273434.320068</v>
      </c>
      <c r="J473" s="5" t="n">
        <v>5604.6</v>
      </c>
      <c r="K473" s="4" t="inlineStr">
        <is>
          <t>S</t>
        </is>
      </c>
      <c r="L473" s="4" t="inlineStr">
        <is>
          <t>2024-06-06</t>
        </is>
      </c>
      <c r="M473" s="5" t="n">
        <v>5604.6</v>
      </c>
      <c r="N473" s="5">
        <f>J473-M473</f>
        <v/>
      </c>
      <c r="O473" s="6">
        <f>IF(F473="INFERIOR",N473/J473,"")</f>
        <v/>
      </c>
      <c r="P473" s="5">
        <f>IF(F473="INFERIOR",O473*MUS_parametros!$B$18,N473)</f>
        <v/>
      </c>
      <c r="Q473" s="4" t="inlineStr">
        <is>
          <t>Documento confere com o registro</t>
        </is>
      </c>
    </row>
    <row r="474">
      <c r="A474" s="4" t="inlineStr">
        <is>
          <t>IMB-0320196</t>
        </is>
      </c>
      <c r="B474" s="4" t="inlineStr">
        <is>
          <t>MAQUINAS_EQUIPAMENTOS</t>
        </is>
      </c>
      <c r="C474" s="4" t="inlineStr">
        <is>
          <t>1.2.03.01.004</t>
        </is>
      </c>
      <c r="D474" s="4" t="inlineStr">
        <is>
          <t>UPGN GUAMARE</t>
        </is>
      </c>
      <c r="E474" s="4" t="inlineStr">
        <is>
          <t>UPGN II (HIBERNADA)</t>
        </is>
      </c>
      <c r="F474" s="4" t="inlineStr">
        <is>
          <t>INFERIOR</t>
        </is>
      </c>
      <c r="G474" s="4" t="n">
        <v>1</v>
      </c>
      <c r="H474" s="5" t="n">
        <v>3942000906.838174</v>
      </c>
      <c r="I474" s="5" t="n">
        <v>3942031633.030072</v>
      </c>
      <c r="J474" s="5" t="n">
        <v>215300.95</v>
      </c>
      <c r="K474" s="4" t="inlineStr">
        <is>
          <t>S</t>
        </is>
      </c>
      <c r="L474" s="4" t="inlineStr">
        <is>
          <t>2025-09-30</t>
        </is>
      </c>
      <c r="M474" s="5" t="n">
        <v>215300.95</v>
      </c>
      <c r="N474" s="5">
        <f>J474-M474</f>
        <v/>
      </c>
      <c r="O474" s="6">
        <f>IF(F474="INFERIOR",N474/J474,"")</f>
        <v/>
      </c>
      <c r="P474" s="5">
        <f>IF(F474="INFERIOR",O474*MUS_parametros!$B$18,N474)</f>
        <v/>
      </c>
      <c r="Q474" s="4" t="inlineStr">
        <is>
          <t>Documento confere com o registro</t>
        </is>
      </c>
    </row>
    <row r="475">
      <c r="A475" s="4" t="inlineStr">
        <is>
          <t>IMB-0320859</t>
        </is>
      </c>
      <c r="B475" s="4" t="inlineStr">
        <is>
          <t>DESENVOLVIMENTO_CAMPOS</t>
        </is>
      </c>
      <c r="C475" s="4" t="inlineStr">
        <is>
          <t>1.2.03.04.001</t>
        </is>
      </c>
      <c r="D475" s="4" t="inlineStr">
        <is>
          <t>CANABRAVA</t>
        </is>
      </c>
      <c r="E475" s="4" t="inlineStr">
        <is>
          <t>PERFURACAO E COMPLETACAO</t>
        </is>
      </c>
      <c r="F475" s="4" t="inlineStr">
        <is>
          <t>INFERIOR</t>
        </is>
      </c>
      <c r="G475" s="4" t="n">
        <v>1</v>
      </c>
      <c r="H475" s="5" t="n">
        <v>3947733906.838174</v>
      </c>
      <c r="I475" s="5" t="n">
        <v>3947795876.740073</v>
      </c>
      <c r="J475" s="5" t="n">
        <v>67056.12</v>
      </c>
      <c r="K475" s="4" t="inlineStr">
        <is>
          <t>S</t>
        </is>
      </c>
      <c r="L475" s="4" t="inlineStr">
        <is>
          <t>2023-06-05</t>
        </is>
      </c>
      <c r="M475" s="5" t="n">
        <v>67056.12</v>
      </c>
      <c r="N475" s="5">
        <f>J475-M475</f>
        <v/>
      </c>
      <c r="O475" s="6">
        <f>IF(F475="INFERIOR",N475/J475,"")</f>
        <v/>
      </c>
      <c r="P475" s="5">
        <f>IF(F475="INFERIOR",O475*MUS_parametros!$B$18,N475)</f>
        <v/>
      </c>
      <c r="Q475" s="4" t="inlineStr">
        <is>
          <t>Documento confere com o registro</t>
        </is>
      </c>
    </row>
    <row r="476">
      <c r="A476" s="4" t="inlineStr">
        <is>
          <t>IMB-0321850</t>
        </is>
      </c>
      <c r="B476" s="4" t="inlineStr">
        <is>
          <t>ALMOXARIFADO_INVERSOES_FIXAS</t>
        </is>
      </c>
      <c r="C476" s="4" t="inlineStr">
        <is>
          <t>1.2.03.07.003</t>
        </is>
      </c>
      <c r="D476" s="4" t="inlineStr">
        <is>
          <t>SUSSUARANA</t>
        </is>
      </c>
      <c r="E476" s="4" t="inlineStr">
        <is>
          <t>VALVULA/EQUIPAMENTO DE SUPERFICIE</t>
        </is>
      </c>
      <c r="F476" s="4" t="inlineStr">
        <is>
          <t>INFERIOR</t>
        </is>
      </c>
      <c r="G476" s="4" t="n">
        <v>1</v>
      </c>
      <c r="H476" s="5" t="n">
        <v>3953466906.838174</v>
      </c>
      <c r="I476" s="5" t="n">
        <v>3953470023.660073</v>
      </c>
      <c r="J476" s="5" t="n">
        <v>8567.459999999999</v>
      </c>
      <c r="K476" s="4" t="inlineStr">
        <is>
          <t>S</t>
        </is>
      </c>
      <c r="L476" s="4" t="inlineStr">
        <is>
          <t>2024-11-28</t>
        </is>
      </c>
      <c r="M476" s="5" t="n">
        <v>8567.459999999999</v>
      </c>
      <c r="N476" s="5">
        <f>J476-M476</f>
        <v/>
      </c>
      <c r="O476" s="6">
        <f>IF(F476="INFERIOR",N476/J476,"")</f>
        <v/>
      </c>
      <c r="P476" s="5">
        <f>IF(F476="INFERIOR",O476*MUS_parametros!$B$18,N476)</f>
        <v/>
      </c>
      <c r="Q476" s="4" t="inlineStr">
        <is>
          <t>Documento confere com o registro</t>
        </is>
      </c>
    </row>
    <row r="477">
      <c r="A477" s="4" t="inlineStr">
        <is>
          <t>IMB-0322968</t>
        </is>
      </c>
      <c r="B477" s="4" t="inlineStr">
        <is>
          <t>ALMOXARIFADO_INVERSOES_FIXAS</t>
        </is>
      </c>
      <c r="C477" s="4" t="inlineStr">
        <is>
          <t>1.2.03.07.001</t>
        </is>
      </c>
      <c r="D477" s="4" t="inlineStr">
        <is>
          <t>JACUIPE</t>
        </is>
      </c>
      <c r="E477" s="4" t="inlineStr">
        <is>
          <t>TUBO DE REVESTIMENTO/PRODUCAO (LOTE)</t>
        </is>
      </c>
      <c r="F477" s="4" t="inlineStr">
        <is>
          <t>INFERIOR</t>
        </is>
      </c>
      <c r="G477" s="4" t="n">
        <v>1</v>
      </c>
      <c r="H477" s="5" t="n">
        <v>3959199906.838174</v>
      </c>
      <c r="I477" s="5" t="n">
        <v>3959200708.160072</v>
      </c>
      <c r="J477" s="5" t="n">
        <v>6992.72</v>
      </c>
      <c r="K477" s="4" t="inlineStr">
        <is>
          <t>S</t>
        </is>
      </c>
      <c r="L477" s="4" t="inlineStr">
        <is>
          <t>2024-01-30</t>
        </is>
      </c>
      <c r="M477" s="5" t="n">
        <v>6992.72</v>
      </c>
      <c r="N477" s="5">
        <f>J477-M477</f>
        <v/>
      </c>
      <c r="O477" s="6">
        <f>IF(F477="INFERIOR",N477/J477,"")</f>
        <v/>
      </c>
      <c r="P477" s="5">
        <f>IF(F477="INFERIOR",O477*MUS_parametros!$B$18,N477)</f>
        <v/>
      </c>
      <c r="Q477" s="4" t="inlineStr">
        <is>
          <t>Documento confere com o registro</t>
        </is>
      </c>
    </row>
    <row r="478">
      <c r="A478" s="4" t="inlineStr">
        <is>
          <t>IMB-0323005</t>
        </is>
      </c>
      <c r="B478" s="4" t="inlineStr">
        <is>
          <t>DESENVOLVIMENTO_CAMPOS</t>
        </is>
      </c>
      <c r="C478" s="4" t="inlineStr">
        <is>
          <t>1.2.03.04.001</t>
        </is>
      </c>
      <c r="D478" s="4" t="inlineStr">
        <is>
          <t>TARTARUGA</t>
        </is>
      </c>
      <c r="E478" s="4" t="inlineStr">
        <is>
          <t>PERFURACAO E COMPLETACAO</t>
        </is>
      </c>
      <c r="F478" s="4" t="inlineStr">
        <is>
          <t>SUPERIOR (VC &gt;= I)</t>
        </is>
      </c>
      <c r="G478" s="4" t="n">
        <v>2</v>
      </c>
      <c r="H478" s="5" t="n">
        <v>3964932906.838174</v>
      </c>
      <c r="I478" s="5" t="n">
        <v>3970671318.230072</v>
      </c>
      <c r="J478" s="5" t="n">
        <v>10856714.71</v>
      </c>
      <c r="K478" s="4" t="inlineStr">
        <is>
          <t>S</t>
        </is>
      </c>
      <c r="L478" s="4" t="inlineStr">
        <is>
          <t>2025-11-21</t>
        </is>
      </c>
      <c r="M478" s="5" t="n">
        <v>10856714.71</v>
      </c>
      <c r="N478" s="5">
        <f>J478-M478</f>
        <v/>
      </c>
      <c r="O478" s="6">
        <f>IF(F478="INFERIOR",N478/J478,"")</f>
        <v/>
      </c>
      <c r="P478" s="5">
        <f>IF(F478="INFERIOR",O478*MUS_parametros!$B$18,N478)</f>
        <v/>
      </c>
      <c r="Q478" s="4" t="inlineStr">
        <is>
          <t>Documento confere com o registro</t>
        </is>
      </c>
    </row>
    <row r="479">
      <c r="A479" s="4" t="inlineStr">
        <is>
          <t>IMB-0323828</t>
        </is>
      </c>
      <c r="B479" s="4" t="inlineStr">
        <is>
          <t>DESENVOLVIMENTO_CAMPOS</t>
        </is>
      </c>
      <c r="C479" s="4" t="inlineStr">
        <is>
          <t>1.2.03.04.001</t>
        </is>
      </c>
      <c r="D479" s="4" t="inlineStr">
        <is>
          <t>SESMARIA</t>
        </is>
      </c>
      <c r="E479" s="4" t="inlineStr">
        <is>
          <t>PERFURACAO E COMPLETACAO</t>
        </is>
      </c>
      <c r="F479" s="4" t="inlineStr">
        <is>
          <t>INFERIOR</t>
        </is>
      </c>
      <c r="G479" s="4" t="n">
        <v>1</v>
      </c>
      <c r="H479" s="5" t="n">
        <v>3976398906.838174</v>
      </c>
      <c r="I479" s="5" t="n">
        <v>3976444309.810071</v>
      </c>
      <c r="J479" s="5" t="n">
        <v>226166.13</v>
      </c>
      <c r="K479" s="4" t="inlineStr">
        <is>
          <t>S</t>
        </is>
      </c>
      <c r="L479" s="4" t="inlineStr">
        <is>
          <t>2025-06-07</t>
        </is>
      </c>
      <c r="M479" s="5" t="n">
        <v>226166.13</v>
      </c>
      <c r="N479" s="5">
        <f>J479-M479</f>
        <v/>
      </c>
      <c r="O479" s="6">
        <f>IF(F479="INFERIOR",N479/J479,"")</f>
        <v/>
      </c>
      <c r="P479" s="5">
        <f>IF(F479="INFERIOR",O479*MUS_parametros!$B$18,N479)</f>
        <v/>
      </c>
      <c r="Q479" s="4" t="inlineStr">
        <is>
          <t>Documento confere com o registro</t>
        </is>
      </c>
    </row>
    <row r="480">
      <c r="A480" s="4" t="inlineStr">
        <is>
          <t>IMB-0324567</t>
        </is>
      </c>
      <c r="B480" s="4" t="inlineStr">
        <is>
          <t>OUTROS</t>
        </is>
      </c>
      <c r="C480" s="4" t="inlineStr">
        <is>
          <t>1.2.03.09.005</t>
        </is>
      </c>
      <c r="D480" s="4" t="inlineStr">
        <is>
          <t>JACUIPE</t>
        </is>
      </c>
      <c r="E480" s="4" t="inlineStr">
        <is>
          <t>VEICULO LEVE</t>
        </is>
      </c>
      <c r="F480" s="4" t="inlineStr">
        <is>
          <t>INFERIOR</t>
        </is>
      </c>
      <c r="G480" s="4" t="n">
        <v>1</v>
      </c>
      <c r="H480" s="5" t="n">
        <v>3982131906.838174</v>
      </c>
      <c r="I480" s="5" t="n">
        <v>3982132931.970063</v>
      </c>
      <c r="J480" s="5" t="n">
        <v>23324.57</v>
      </c>
      <c r="K480" s="4" t="inlineStr">
        <is>
          <t>S</t>
        </is>
      </c>
      <c r="L480" s="4" t="inlineStr">
        <is>
          <t>2015-11-30</t>
        </is>
      </c>
      <c r="M480" s="5" t="n">
        <v>23324.57</v>
      </c>
      <c r="N480" s="5">
        <f>J480-M480</f>
        <v/>
      </c>
      <c r="O480" s="6">
        <f>IF(F480="INFERIOR",N480/J480,"")</f>
        <v/>
      </c>
      <c r="P480" s="5">
        <f>IF(F480="INFERIOR",O480*MUS_parametros!$B$18,N480)</f>
        <v/>
      </c>
      <c r="Q480" s="4" t="inlineStr">
        <is>
          <t>Documento confere com o registro</t>
        </is>
      </c>
    </row>
    <row r="481">
      <c r="A481" s="4" t="inlineStr">
        <is>
          <t>IMB-0325256</t>
        </is>
      </c>
      <c r="B481" s="4" t="inlineStr">
        <is>
          <t>DESENVOLVIMENTO_CAMPOS</t>
        </is>
      </c>
      <c r="C481" s="4" t="inlineStr">
        <is>
          <t>1.2.03.04.001</t>
        </is>
      </c>
      <c r="D481" s="4" t="inlineStr">
        <is>
          <t>MATA DE SAO JOAO</t>
        </is>
      </c>
      <c r="E481" s="4" t="inlineStr">
        <is>
          <t>PERFURACAO E COMPLETACAO</t>
        </is>
      </c>
      <c r="F481" s="4" t="inlineStr">
        <is>
          <t>INFERIOR</t>
        </is>
      </c>
      <c r="G481" s="4" t="n">
        <v>1</v>
      </c>
      <c r="H481" s="5" t="n">
        <v>3987864906.838174</v>
      </c>
      <c r="I481" s="5" t="n">
        <v>3987898234.81006</v>
      </c>
      <c r="J481" s="5" t="n">
        <v>117135.42</v>
      </c>
      <c r="K481" s="4" t="inlineStr">
        <is>
          <t>S</t>
        </is>
      </c>
      <c r="L481" s="4" t="inlineStr">
        <is>
          <t>2025-10-03</t>
        </is>
      </c>
      <c r="M481" s="5" t="n">
        <v>117135.42</v>
      </c>
      <c r="N481" s="5">
        <f>J481-M481</f>
        <v/>
      </c>
      <c r="O481" s="6">
        <f>IF(F481="INFERIOR",N481/J481,"")</f>
        <v/>
      </c>
      <c r="P481" s="5">
        <f>IF(F481="INFERIOR",O481*MUS_parametros!$B$18,N481)</f>
        <v/>
      </c>
      <c r="Q481" s="4" t="inlineStr">
        <is>
          <t>Documento confere com o registro</t>
        </is>
      </c>
    </row>
    <row r="482">
      <c r="A482" s="4" t="inlineStr">
        <is>
          <t>IMB-0326229</t>
        </is>
      </c>
      <c r="B482" s="4" t="inlineStr">
        <is>
          <t>DESENVOLVIMENTO_CAMPOS</t>
        </is>
      </c>
      <c r="C482" s="4" t="inlineStr">
        <is>
          <t>1.2.03.04.005</t>
        </is>
      </c>
      <c r="D482" s="4" t="inlineStr">
        <is>
          <t>POT-CONC-11 (SINTETICO)</t>
        </is>
      </c>
      <c r="E482" s="4" t="inlineStr">
        <is>
          <t>CONVERSAO EM POCO INJETOR</t>
        </is>
      </c>
      <c r="F482" s="4" t="inlineStr">
        <is>
          <t>INFERIOR</t>
        </is>
      </c>
      <c r="G482" s="4" t="n">
        <v>1</v>
      </c>
      <c r="H482" s="5" t="n">
        <v>3993597906.838174</v>
      </c>
      <c r="I482" s="5" t="n">
        <v>3993621322.350058</v>
      </c>
      <c r="J482" s="5" t="n">
        <v>44543.25</v>
      </c>
      <c r="K482" s="4" t="inlineStr">
        <is>
          <t>S</t>
        </is>
      </c>
      <c r="L482" s="4" t="inlineStr">
        <is>
          <t>2024-11-24</t>
        </is>
      </c>
      <c r="M482" s="5" t="n">
        <v>44543.25</v>
      </c>
      <c r="N482" s="5">
        <f>J482-M482</f>
        <v/>
      </c>
      <c r="O482" s="6">
        <f>IF(F482="INFERIOR",N482/J482,"")</f>
        <v/>
      </c>
      <c r="P482" s="5">
        <f>IF(F482="INFERIOR",O482*MUS_parametros!$B$18,N482)</f>
        <v/>
      </c>
      <c r="Q482" s="4" t="inlineStr">
        <is>
          <t>Documento confere com o registro</t>
        </is>
      </c>
    </row>
    <row r="483">
      <c r="A483" s="4" t="inlineStr">
        <is>
          <t>IMB-0327047</t>
        </is>
      </c>
      <c r="B483" s="4" t="inlineStr">
        <is>
          <t>ALMOXARIFADO_INVERSOES_FIXAS</t>
        </is>
      </c>
      <c r="C483" s="4" t="inlineStr">
        <is>
          <t>1.2.03.07.001</t>
        </is>
      </c>
      <c r="D483" s="4" t="inlineStr">
        <is>
          <t>POT-CONC-11 (SINTETICO)</t>
        </is>
      </c>
      <c r="E483" s="4" t="inlineStr">
        <is>
          <t>TUBO DE REVESTIMENTO/PRODUCAO (LOTE)</t>
        </is>
      </c>
      <c r="F483" s="4" t="inlineStr">
        <is>
          <t>INFERIOR</t>
        </is>
      </c>
      <c r="G483" s="4" t="n">
        <v>1</v>
      </c>
      <c r="H483" s="5" t="n">
        <v>3999330906.838174</v>
      </c>
      <c r="I483" s="5" t="n">
        <v>3999332648.490055</v>
      </c>
      <c r="J483" s="5" t="n">
        <v>7306.77</v>
      </c>
      <c r="K483" s="4" t="inlineStr">
        <is>
          <t>S</t>
        </is>
      </c>
      <c r="L483" s="4" t="inlineStr">
        <is>
          <t>2024-11-02</t>
        </is>
      </c>
      <c r="M483" s="5" t="n">
        <v>7306.77</v>
      </c>
      <c r="N483" s="5">
        <f>J483-M483</f>
        <v/>
      </c>
      <c r="O483" s="6">
        <f>IF(F483="INFERIOR",N483/J483,"")</f>
        <v/>
      </c>
      <c r="P483" s="5">
        <f>IF(F483="INFERIOR",O483*MUS_parametros!$B$18,N483)</f>
        <v/>
      </c>
      <c r="Q483" s="4" t="inlineStr">
        <is>
          <t>Documento confere com o registro</t>
        </is>
      </c>
    </row>
    <row r="484">
      <c r="A484" s="4" t="inlineStr">
        <is>
          <t>IMB-0327995</t>
        </is>
      </c>
      <c r="B484" s="4" t="inlineStr">
        <is>
          <t>MAQUINAS_EQUIPAMENTOS</t>
        </is>
      </c>
      <c r="C484" s="4" t="inlineStr">
        <is>
          <t>1.2.03.01.004</t>
        </is>
      </c>
      <c r="D484" s="4" t="inlineStr">
        <is>
          <t>UPGN GUAMARE</t>
        </is>
      </c>
      <c r="E484" s="4" t="inlineStr">
        <is>
          <t>MODULO DE PROCESSAMENTO UPGN III</t>
        </is>
      </c>
      <c r="F484" s="4" t="inlineStr">
        <is>
          <t>INFERIOR</t>
        </is>
      </c>
      <c r="G484" s="4" t="n">
        <v>1</v>
      </c>
      <c r="H484" s="5" t="n">
        <v>4005063906.838174</v>
      </c>
      <c r="I484" s="5" t="n">
        <v>4005246060.460062</v>
      </c>
      <c r="J484" s="5" t="n">
        <v>222352.66</v>
      </c>
      <c r="K484" s="4" t="inlineStr">
        <is>
          <t>S</t>
        </is>
      </c>
      <c r="L484" s="4" t="inlineStr">
        <is>
          <t>2025-09-30</t>
        </is>
      </c>
      <c r="M484" s="5" t="n">
        <v>222352.66</v>
      </c>
      <c r="N484" s="5">
        <f>J484-M484</f>
        <v/>
      </c>
      <c r="O484" s="6">
        <f>IF(F484="INFERIOR",N484/J484,"")</f>
        <v/>
      </c>
      <c r="P484" s="5">
        <f>IF(F484="INFERIOR",O484*MUS_parametros!$B$18,N484)</f>
        <v/>
      </c>
      <c r="Q484" s="4" t="inlineStr">
        <is>
          <t>Documento confere com o registro</t>
        </is>
      </c>
    </row>
    <row r="485">
      <c r="A485" s="4" t="inlineStr">
        <is>
          <t>IMB-0328967</t>
        </is>
      </c>
      <c r="B485" s="4" t="inlineStr">
        <is>
          <t>DESENVOLVIMENTO_CAMPOS</t>
        </is>
      </c>
      <c r="C485" s="4" t="inlineStr">
        <is>
          <t>1.2.03.04.002</t>
        </is>
      </c>
      <c r="D485" s="4" t="inlineStr">
        <is>
          <t>MATA DE SAO JOAO</t>
        </is>
      </c>
      <c r="E485" s="4" t="inlineStr">
        <is>
          <t>FRATURAMENTO / ESTIMULACAO CAPITALIZADA</t>
        </is>
      </c>
      <c r="F485" s="4" t="inlineStr">
        <is>
          <t>INFERIOR</t>
        </is>
      </c>
      <c r="G485" s="4" t="n">
        <v>1</v>
      </c>
      <c r="H485" s="5" t="n">
        <v>4010796906.838174</v>
      </c>
      <c r="I485" s="5" t="n">
        <v>4010880402.740061</v>
      </c>
      <c r="J485" s="5" t="n">
        <v>112729.54</v>
      </c>
      <c r="K485" s="4" t="inlineStr">
        <is>
          <t>S</t>
        </is>
      </c>
      <c r="L485" s="4" t="inlineStr">
        <is>
          <t>2025-05-06</t>
        </is>
      </c>
      <c r="M485" s="5" t="n">
        <v>112729.54</v>
      </c>
      <c r="N485" s="5">
        <f>J485-M485</f>
        <v/>
      </c>
      <c r="O485" s="6">
        <f>IF(F485="INFERIOR",N485/J485,"")</f>
        <v/>
      </c>
      <c r="P485" s="5">
        <f>IF(F485="INFERIOR",O485*MUS_parametros!$B$18,N485)</f>
        <v/>
      </c>
      <c r="Q485" s="4" t="inlineStr">
        <is>
          <t>Documento confere com o registro</t>
        </is>
      </c>
    </row>
    <row r="486">
      <c r="A486" s="4" t="inlineStr">
        <is>
          <t>IMB-0329828</t>
        </is>
      </c>
      <c r="B486" s="4" t="inlineStr">
        <is>
          <t>DESENVOLVIMENTO_CAMPOS</t>
        </is>
      </c>
      <c r="C486" s="4" t="inlineStr">
        <is>
          <t>1.2.03.04.001</t>
        </is>
      </c>
      <c r="D486" s="4" t="inlineStr">
        <is>
          <t>NORTE FAZENDA CARUACU</t>
        </is>
      </c>
      <c r="E486" s="4" t="inlineStr">
        <is>
          <t>PERFURACAO E COMPLETACAO</t>
        </is>
      </c>
      <c r="F486" s="4" t="inlineStr">
        <is>
          <t>INFERIOR</t>
        </is>
      </c>
      <c r="G486" s="4" t="n">
        <v>1</v>
      </c>
      <c r="H486" s="5" t="n">
        <v>4016529906.838174</v>
      </c>
      <c r="I486" s="5" t="n">
        <v>4016870926.280059</v>
      </c>
      <c r="J486" s="5" t="n">
        <v>896479.6800000001</v>
      </c>
      <c r="K486" s="4" t="inlineStr">
        <is>
          <t>S</t>
        </is>
      </c>
      <c r="L486" s="4" t="inlineStr">
        <is>
          <t>2025-06-15</t>
        </is>
      </c>
      <c r="M486" s="5" t="n">
        <v>896479.6800000001</v>
      </c>
      <c r="N486" s="5">
        <f>J486-M486</f>
        <v/>
      </c>
      <c r="O486" s="6">
        <f>IF(F486="INFERIOR",N486/J486,"")</f>
        <v/>
      </c>
      <c r="P486" s="5">
        <f>IF(F486="INFERIOR",O486*MUS_parametros!$B$18,N486)</f>
        <v/>
      </c>
      <c r="Q486" s="4" t="inlineStr">
        <is>
          <t>Documento confere com o registro</t>
        </is>
      </c>
    </row>
    <row r="487">
      <c r="A487" s="4" t="inlineStr">
        <is>
          <t>IMB-0330555</t>
        </is>
      </c>
      <c r="B487" s="4" t="inlineStr">
        <is>
          <t>ALMOXARIFADO_INVERSOES_FIXAS</t>
        </is>
      </c>
      <c r="C487" s="4" t="inlineStr">
        <is>
          <t>1.2.03.07.002</t>
        </is>
      </c>
      <c r="D487" s="4" t="inlineStr">
        <is>
          <t>BIRIBA</t>
        </is>
      </c>
      <c r="E487" s="4" t="inlineStr">
        <is>
          <t>HASTE DE BOMBEIO (LOTE)</t>
        </is>
      </c>
      <c r="F487" s="4" t="inlineStr">
        <is>
          <t>INFERIOR</t>
        </is>
      </c>
      <c r="G487" s="4" t="n">
        <v>1</v>
      </c>
      <c r="H487" s="5" t="n">
        <v>4022262906.838174</v>
      </c>
      <c r="I487" s="5" t="n">
        <v>4022263158.07006</v>
      </c>
      <c r="J487" s="5" t="n">
        <v>839.1900000000001</v>
      </c>
      <c r="K487" s="4" t="inlineStr">
        <is>
          <t>S</t>
        </is>
      </c>
      <c r="L487" s="4" t="inlineStr">
        <is>
          <t>2024-04-15</t>
        </is>
      </c>
      <c r="M487" s="5" t="n">
        <v>839.1900000000001</v>
      </c>
      <c r="N487" s="5">
        <f>J487-M487</f>
        <v/>
      </c>
      <c r="O487" s="6">
        <f>IF(F487="INFERIOR",N487/J487,"")</f>
        <v/>
      </c>
      <c r="P487" s="5">
        <f>IF(F487="INFERIOR",O487*MUS_parametros!$B$18,N487)</f>
        <v/>
      </c>
      <c r="Q487" s="4" t="inlineStr">
        <is>
          <t>Documento confere com o registro</t>
        </is>
      </c>
    </row>
    <row r="488">
      <c r="A488" s="4" t="inlineStr">
        <is>
          <t>IMB-0331307</t>
        </is>
      </c>
      <c r="B488" s="4" t="inlineStr">
        <is>
          <t>DESENVOLVIMENTO_CAMPOS</t>
        </is>
      </c>
      <c r="C488" s="4" t="inlineStr">
        <is>
          <t>1.2.03.04.001</t>
        </is>
      </c>
      <c r="D488" s="4" t="inlineStr">
        <is>
          <t>JACUIPE</t>
        </is>
      </c>
      <c r="E488" s="4" t="inlineStr">
        <is>
          <t>PERFURACAO E COMPLETACAO</t>
        </is>
      </c>
      <c r="F488" s="4" t="inlineStr">
        <is>
          <t>INFERIOR</t>
        </is>
      </c>
      <c r="G488" s="4" t="n">
        <v>1</v>
      </c>
      <c r="H488" s="5" t="n">
        <v>4027995906.838174</v>
      </c>
      <c r="I488" s="5" t="n">
        <v>4028171020.800057</v>
      </c>
      <c r="J488" s="5" t="n">
        <v>223921.41</v>
      </c>
      <c r="K488" s="4" t="inlineStr">
        <is>
          <t>S</t>
        </is>
      </c>
      <c r="L488" s="4" t="inlineStr">
        <is>
          <t>2023-10-15</t>
        </is>
      </c>
      <c r="M488" s="5" t="n">
        <v>223921.41</v>
      </c>
      <c r="N488" s="5">
        <f>J488-M488</f>
        <v/>
      </c>
      <c r="O488" s="6">
        <f>IF(F488="INFERIOR",N488/J488,"")</f>
        <v/>
      </c>
      <c r="P488" s="5">
        <f>IF(F488="INFERIOR",O488*MUS_parametros!$B$18,N488)</f>
        <v/>
      </c>
      <c r="Q488" s="4" t="inlineStr">
        <is>
          <t>Documento confere com o registro</t>
        </is>
      </c>
    </row>
    <row r="489">
      <c r="A489" s="4" t="inlineStr">
        <is>
          <t>IMB-0332331</t>
        </is>
      </c>
      <c r="B489" s="4" t="inlineStr">
        <is>
          <t>DESENVOLVIMENTO_CAMPOS</t>
        </is>
      </c>
      <c r="C489" s="4" t="inlineStr">
        <is>
          <t>1.2.03.04.002</t>
        </is>
      </c>
      <c r="D489" s="4" t="inlineStr">
        <is>
          <t>POT-CONC-09 (SINTETICO)</t>
        </is>
      </c>
      <c r="E489" s="4" t="inlineStr">
        <is>
          <t>WORKOVER / RECOMPLETACAO CAPITALIZADO</t>
        </is>
      </c>
      <c r="F489" s="4" t="inlineStr">
        <is>
          <t>INFERIOR</t>
        </is>
      </c>
      <c r="G489" s="4" t="n">
        <v>1</v>
      </c>
      <c r="H489" s="5" t="n">
        <v>4033728906.838174</v>
      </c>
      <c r="I489" s="5" t="n">
        <v>4033731212.860054</v>
      </c>
      <c r="J489" s="5" t="n">
        <v>13044.83</v>
      </c>
      <c r="K489" s="4" t="inlineStr">
        <is>
          <t>S</t>
        </is>
      </c>
      <c r="L489" s="4" t="inlineStr">
        <is>
          <t>2024-12-10</t>
        </is>
      </c>
      <c r="M489" s="5" t="n">
        <v>13044.83</v>
      </c>
      <c r="N489" s="5">
        <f>J489-M489</f>
        <v/>
      </c>
      <c r="O489" s="6">
        <f>IF(F489="INFERIOR",N489/J489,"")</f>
        <v/>
      </c>
      <c r="P489" s="5">
        <f>IF(F489="INFERIOR",O489*MUS_parametros!$B$18,N489)</f>
        <v/>
      </c>
      <c r="Q489" s="4" t="inlineStr">
        <is>
          <t>Documento confere com o registro</t>
        </is>
      </c>
    </row>
    <row r="490">
      <c r="A490" s="4" t="inlineStr">
        <is>
          <t>IMB-0333123</t>
        </is>
      </c>
      <c r="B490" s="4" t="inlineStr">
        <is>
          <t>DESENVOLVIMENTO_CAMPOS</t>
        </is>
      </c>
      <c r="C490" s="4" t="inlineStr">
        <is>
          <t>1.2.03.04.001</t>
        </is>
      </c>
      <c r="D490" s="4" t="inlineStr">
        <is>
          <t>RIO MOSSORO</t>
        </is>
      </c>
      <c r="E490" s="4" t="inlineStr">
        <is>
          <t>PERFURACAO E COMPLETACAO</t>
        </is>
      </c>
      <c r="F490" s="4" t="inlineStr">
        <is>
          <t>INFERIOR</t>
        </is>
      </c>
      <c r="G490" s="4" t="n">
        <v>1</v>
      </c>
      <c r="H490" s="5" t="n">
        <v>4039461906.838174</v>
      </c>
      <c r="I490" s="5" t="n">
        <v>4039482492.230056</v>
      </c>
      <c r="J490" s="5" t="n">
        <v>22854.27</v>
      </c>
      <c r="K490" s="4" t="inlineStr">
        <is>
          <t>S</t>
        </is>
      </c>
      <c r="L490" s="4" t="inlineStr">
        <is>
          <t>2021-04-11</t>
        </is>
      </c>
      <c r="M490" s="5" t="n">
        <v>22854.27</v>
      </c>
      <c r="N490" s="5">
        <f>J490-M490</f>
        <v/>
      </c>
      <c r="O490" s="6">
        <f>IF(F490="INFERIOR",N490/J490,"")</f>
        <v/>
      </c>
      <c r="P490" s="5">
        <f>IF(F490="INFERIOR",O490*MUS_parametros!$B$18,N490)</f>
        <v/>
      </c>
      <c r="Q490" s="4" t="inlineStr">
        <is>
          <t>Documento confere com o registro</t>
        </is>
      </c>
    </row>
    <row r="491">
      <c r="A491" s="4" t="inlineStr">
        <is>
          <t>IMB-0333759</t>
        </is>
      </c>
      <c r="B491" s="4" t="inlineStr">
        <is>
          <t>DESENVOLVIMENTO_CAMPOS</t>
        </is>
      </c>
      <c r="C491" s="4" t="inlineStr">
        <is>
          <t>1.2.03.04.001</t>
        </is>
      </c>
      <c r="D491" s="4" t="inlineStr">
        <is>
          <t>POT-CONC-07 (SINTETICO)</t>
        </is>
      </c>
      <c r="E491" s="4" t="inlineStr">
        <is>
          <t>PERFURACAO E COMPLETACAO</t>
        </is>
      </c>
      <c r="F491" s="4" t="inlineStr">
        <is>
          <t>INFERIOR</t>
        </is>
      </c>
      <c r="G491" s="4" t="n">
        <v>1</v>
      </c>
      <c r="H491" s="5" t="n">
        <v>4045194906.838174</v>
      </c>
      <c r="I491" s="5" t="n">
        <v>4045197060.280062</v>
      </c>
      <c r="J491" s="5" t="n">
        <v>194271.28</v>
      </c>
      <c r="K491" s="4" t="inlineStr">
        <is>
          <t>S</t>
        </is>
      </c>
      <c r="L491" s="4" t="inlineStr">
        <is>
          <t>2024-02-01</t>
        </is>
      </c>
      <c r="M491" s="5" t="n">
        <v>194271.28</v>
      </c>
      <c r="N491" s="5">
        <f>J491-M491</f>
        <v/>
      </c>
      <c r="O491" s="6">
        <f>IF(F491="INFERIOR",N491/J491,"")</f>
        <v/>
      </c>
      <c r="P491" s="5">
        <f>IF(F491="INFERIOR",O491*MUS_parametros!$B$18,N491)</f>
        <v/>
      </c>
      <c r="Q491" s="4" t="inlineStr">
        <is>
          <t>Documento confere com o registro</t>
        </is>
      </c>
    </row>
    <row r="492">
      <c r="A492" s="4" t="inlineStr">
        <is>
          <t>IMB-0334581</t>
        </is>
      </c>
      <c r="B492" s="4" t="inlineStr">
        <is>
          <t>DESENVOLVIMENTO_CAMPOS</t>
        </is>
      </c>
      <c r="C492" s="4" t="inlineStr">
        <is>
          <t>1.2.03.04.002</t>
        </is>
      </c>
      <c r="D492" s="4" t="inlineStr">
        <is>
          <t>POT-CONC-08 (SINTETICO)</t>
        </is>
      </c>
      <c r="E492" s="4" t="inlineStr">
        <is>
          <t>WORKOVER / RECOMPLETACAO CAPITALIZADO</t>
        </is>
      </c>
      <c r="F492" s="4" t="inlineStr">
        <is>
          <t>INFERIOR</t>
        </is>
      </c>
      <c r="G492" s="4" t="n">
        <v>1</v>
      </c>
      <c r="H492" s="5" t="n">
        <v>4050927906.838174</v>
      </c>
      <c r="I492" s="5" t="n">
        <v>4050933929.760058</v>
      </c>
      <c r="J492" s="5" t="n">
        <v>8238.59</v>
      </c>
      <c r="K492" s="4" t="inlineStr">
        <is>
          <t>S</t>
        </is>
      </c>
      <c r="L492" s="4" t="inlineStr">
        <is>
          <t>2025-05-20</t>
        </is>
      </c>
      <c r="M492" s="5" t="n">
        <v>8238.59</v>
      </c>
      <c r="N492" s="5">
        <f>J492-M492</f>
        <v/>
      </c>
      <c r="O492" s="6">
        <f>IF(F492="INFERIOR",N492/J492,"")</f>
        <v/>
      </c>
      <c r="P492" s="5">
        <f>IF(F492="INFERIOR",O492*MUS_parametros!$B$18,N492)</f>
        <v/>
      </c>
      <c r="Q492" s="4" t="inlineStr">
        <is>
          <t>Documento confere com o registro</t>
        </is>
      </c>
    </row>
    <row r="493">
      <c r="A493" s="4" t="inlineStr">
        <is>
          <t>IMB-0335405</t>
        </is>
      </c>
      <c r="B493" s="4" t="inlineStr">
        <is>
          <t>DESENVOLVIMENTO_CAMPOS</t>
        </is>
      </c>
      <c r="C493" s="4" t="inlineStr">
        <is>
          <t>1.2.03.04.002</t>
        </is>
      </c>
      <c r="D493" s="4" t="inlineStr">
        <is>
          <t>TARTARUGA</t>
        </is>
      </c>
      <c r="E493" s="4" t="inlineStr">
        <is>
          <t>WORKOVER / RECOMPLETACAO CAPITALIZADO</t>
        </is>
      </c>
      <c r="F493" s="4" t="inlineStr">
        <is>
          <t>INFERIOR</t>
        </is>
      </c>
      <c r="G493" s="4" t="n">
        <v>1</v>
      </c>
      <c r="H493" s="5" t="n">
        <v>4056660906.838174</v>
      </c>
      <c r="I493" s="5" t="n">
        <v>4056688010.950054</v>
      </c>
      <c r="J493" s="5" t="n">
        <v>136662.59</v>
      </c>
      <c r="K493" s="4" t="inlineStr">
        <is>
          <t>S</t>
        </is>
      </c>
      <c r="L493" s="4" t="inlineStr">
        <is>
          <t>2025-10-06</t>
        </is>
      </c>
      <c r="M493" s="5" t="n">
        <v>136662.59</v>
      </c>
      <c r="N493" s="5">
        <f>J493-M493</f>
        <v/>
      </c>
      <c r="O493" s="6">
        <f>IF(F493="INFERIOR",N493/J493,"")</f>
        <v/>
      </c>
      <c r="P493" s="5">
        <f>IF(F493="INFERIOR",O493*MUS_parametros!$B$18,N493)</f>
        <v/>
      </c>
      <c r="Q493" s="4" t="inlineStr">
        <is>
          <t>Documento confere com o registro</t>
        </is>
      </c>
    </row>
    <row r="494">
      <c r="A494" s="4" t="inlineStr">
        <is>
          <t>IMB-0336152</t>
        </is>
      </c>
      <c r="B494" s="4" t="inlineStr">
        <is>
          <t>DESENVOLVIMENTO_CAMPOS</t>
        </is>
      </c>
      <c r="C494" s="4" t="inlineStr">
        <is>
          <t>1.2.03.04.001</t>
        </is>
      </c>
      <c r="D494" s="4" t="inlineStr">
        <is>
          <t>TARTARUGA</t>
        </is>
      </c>
      <c r="E494" s="4" t="inlineStr">
        <is>
          <t>PERFURACAO E COMPLETACAO</t>
        </is>
      </c>
      <c r="F494" s="4" t="inlineStr">
        <is>
          <t>INFERIOR</t>
        </is>
      </c>
      <c r="G494" s="4" t="n">
        <v>1</v>
      </c>
      <c r="H494" s="5" t="n">
        <v>4062393906.838174</v>
      </c>
      <c r="I494" s="5" t="n">
        <v>4062768148.400055</v>
      </c>
      <c r="J494" s="5" t="n">
        <v>1456716.97</v>
      </c>
      <c r="K494" s="4" t="inlineStr">
        <is>
          <t>S</t>
        </is>
      </c>
      <c r="L494" s="4" t="inlineStr">
        <is>
          <t>2024-05-02</t>
        </is>
      </c>
      <c r="M494" s="5" t="n">
        <v>1456716.97</v>
      </c>
      <c r="N494" s="5">
        <f>J494-M494</f>
        <v/>
      </c>
      <c r="O494" s="6">
        <f>IF(F494="INFERIOR",N494/J494,"")</f>
        <v/>
      </c>
      <c r="P494" s="5">
        <f>IF(F494="INFERIOR",O494*MUS_parametros!$B$18,N494)</f>
        <v/>
      </c>
      <c r="Q494" s="4" t="inlineStr">
        <is>
          <t>Documento confere com o registro</t>
        </is>
      </c>
    </row>
    <row r="495">
      <c r="A495" s="4" t="inlineStr">
        <is>
          <t>IMB-0336856</t>
        </is>
      </c>
      <c r="B495" s="4" t="inlineStr">
        <is>
          <t>IMOBILIZADO_EM_ANDAMENTO</t>
        </is>
      </c>
      <c r="C495" s="4" t="inlineStr">
        <is>
          <t>1.2.03.02.002</t>
        </is>
      </c>
      <c r="D495" s="4" t="inlineStr">
        <is>
          <t>REMANSO</t>
        </is>
      </c>
      <c r="E495" s="4" t="inlineStr">
        <is>
          <t>ORDEM DE INVESTIMENTO EM ANDAMENTO</t>
        </is>
      </c>
      <c r="F495" s="4" t="inlineStr">
        <is>
          <t>INFERIOR</t>
        </is>
      </c>
      <c r="G495" s="4" t="n">
        <v>1</v>
      </c>
      <c r="H495" s="5" t="n">
        <v>4068126906.838174</v>
      </c>
      <c r="I495" s="5" t="n">
        <v>4068134662.810055</v>
      </c>
      <c r="J495" s="5" t="n">
        <v>17929.63</v>
      </c>
      <c r="K495" s="4" t="inlineStr">
        <is>
          <t>S</t>
        </is>
      </c>
      <c r="L495" s="4" t="inlineStr">
        <is>
          <t>2025-08-30</t>
        </is>
      </c>
      <c r="M495" s="5" t="n">
        <v>17929.63</v>
      </c>
      <c r="N495" s="5">
        <f>J495-M495</f>
        <v/>
      </c>
      <c r="O495" s="6">
        <f>IF(F495="INFERIOR",N495/J495,"")</f>
        <v/>
      </c>
      <c r="P495" s="5">
        <f>IF(F495="INFERIOR",O495*MUS_parametros!$B$18,N495)</f>
        <v/>
      </c>
      <c r="Q495" s="4" t="inlineStr">
        <is>
          <t>Documento confere com o registro</t>
        </is>
      </c>
    </row>
    <row r="496">
      <c r="A496" s="4" t="inlineStr">
        <is>
          <t>IMB-0337894</t>
        </is>
      </c>
      <c r="B496" s="4" t="inlineStr">
        <is>
          <t>DESENVOLVIMENTO_CAMPOS</t>
        </is>
      </c>
      <c r="C496" s="4" t="inlineStr">
        <is>
          <t>1.2.03.04.001</t>
        </is>
      </c>
      <c r="D496" s="4" t="inlineStr">
        <is>
          <t>SAO PEDRO</t>
        </is>
      </c>
      <c r="E496" s="4" t="inlineStr">
        <is>
          <t>PERFURACAO E COMPLETACAO</t>
        </is>
      </c>
      <c r="F496" s="4" t="inlineStr">
        <is>
          <t>INFERIOR</t>
        </is>
      </c>
      <c r="G496" s="4" t="n">
        <v>1</v>
      </c>
      <c r="H496" s="5" t="n">
        <v>4073859906.838174</v>
      </c>
      <c r="I496" s="5" t="n">
        <v>4073911191.670053</v>
      </c>
      <c r="J496" s="5" t="n">
        <v>171846.02</v>
      </c>
      <c r="K496" s="4" t="inlineStr">
        <is>
          <t>S</t>
        </is>
      </c>
      <c r="L496" s="4" t="inlineStr">
        <is>
          <t>2025-12-14</t>
        </is>
      </c>
      <c r="M496" s="5" t="n">
        <v>171846.02</v>
      </c>
      <c r="N496" s="5">
        <f>J496-M496</f>
        <v/>
      </c>
      <c r="O496" s="6">
        <f>IF(F496="INFERIOR",N496/J496,"")</f>
        <v/>
      </c>
      <c r="P496" s="5">
        <f>IF(F496="INFERIOR",O496*MUS_parametros!$B$18,N496)</f>
        <v/>
      </c>
      <c r="Q496" s="4" t="inlineStr">
        <is>
          <t>Documento confere com o registro</t>
        </is>
      </c>
    </row>
    <row r="497">
      <c r="A497" s="4" t="inlineStr">
        <is>
          <t>IMB-0338661</t>
        </is>
      </c>
      <c r="B497" s="4" t="inlineStr">
        <is>
          <t>DESENVOLVIMENTO_CAMPOS</t>
        </is>
      </c>
      <c r="C497" s="4" t="inlineStr">
        <is>
          <t>1.2.03.04.001</t>
        </is>
      </c>
      <c r="D497" s="4" t="inlineStr">
        <is>
          <t>NORTE FAZENDA CARUACU</t>
        </is>
      </c>
      <c r="E497" s="4" t="inlineStr">
        <is>
          <t>PERFURACAO E COMPLETACAO</t>
        </is>
      </c>
      <c r="F497" s="4" t="inlineStr">
        <is>
          <t>INFERIOR</t>
        </is>
      </c>
      <c r="G497" s="4" t="n">
        <v>1</v>
      </c>
      <c r="H497" s="5" t="n">
        <v>4079592906.838174</v>
      </c>
      <c r="I497" s="5" t="n">
        <v>4079620573.83005</v>
      </c>
      <c r="J497" s="5" t="n">
        <v>119956.86</v>
      </c>
      <c r="K497" s="4" t="inlineStr">
        <is>
          <t>S</t>
        </is>
      </c>
      <c r="L497" s="4" t="inlineStr">
        <is>
          <t>2025-10-25</t>
        </is>
      </c>
      <c r="M497" s="5" t="n">
        <v>119956.86</v>
      </c>
      <c r="N497" s="5">
        <f>J497-M497</f>
        <v/>
      </c>
      <c r="O497" s="6">
        <f>IF(F497="INFERIOR",N497/J497,"")</f>
        <v/>
      </c>
      <c r="P497" s="5">
        <f>IF(F497="INFERIOR",O497*MUS_parametros!$B$18,N497)</f>
        <v/>
      </c>
      <c r="Q497" s="4" t="inlineStr">
        <is>
          <t>Documento confere com o registro</t>
        </is>
      </c>
    </row>
    <row r="498">
      <c r="A498" s="4" t="inlineStr">
        <is>
          <t>IMB-0339450</t>
        </is>
      </c>
      <c r="B498" s="4" t="inlineStr">
        <is>
          <t>OUTROS</t>
        </is>
      </c>
      <c r="C498" s="4" t="inlineStr">
        <is>
          <t>1.2.03.09.005</t>
        </is>
      </c>
      <c r="D498" s="4" t="inlineStr">
        <is>
          <t>BIRIBA</t>
        </is>
      </c>
      <c r="E498" s="4" t="inlineStr">
        <is>
          <t>VEICULO LEVE</t>
        </is>
      </c>
      <c r="F498" s="4" t="inlineStr">
        <is>
          <t>INFERIOR</t>
        </is>
      </c>
      <c r="G498" s="4" t="n">
        <v>1</v>
      </c>
      <c r="H498" s="5" t="n">
        <v>4085325906.838174</v>
      </c>
      <c r="I498" s="5" t="n">
        <v>4085367156.62005</v>
      </c>
      <c r="J498" s="5" t="n">
        <v>133554.97</v>
      </c>
      <c r="K498" s="4" t="inlineStr">
        <is>
          <t>S</t>
        </is>
      </c>
      <c r="L498" s="4" t="inlineStr">
        <is>
          <t>2020-05-27</t>
        </is>
      </c>
      <c r="M498" s="5" t="n">
        <v>133554.97</v>
      </c>
      <c r="N498" s="5">
        <f>J498-M498</f>
        <v/>
      </c>
      <c r="O498" s="6">
        <f>IF(F498="INFERIOR",N498/J498,"")</f>
        <v/>
      </c>
      <c r="P498" s="5">
        <f>IF(F498="INFERIOR",O498*MUS_parametros!$B$18,N498)</f>
        <v/>
      </c>
      <c r="Q498" s="4" t="inlineStr">
        <is>
          <t>Documento confere com o registro</t>
        </is>
      </c>
    </row>
    <row r="499">
      <c r="A499" s="4" t="inlineStr">
        <is>
          <t>IMB-0340051</t>
        </is>
      </c>
      <c r="B499" s="4" t="inlineStr">
        <is>
          <t>MAQUINAS_EQUIPAMENTOS</t>
        </is>
      </c>
      <c r="C499" s="4" t="inlineStr">
        <is>
          <t>1.2.03.01.001</t>
        </is>
      </c>
      <c r="D499" s="4" t="inlineStr">
        <is>
          <t>POT-CONC-18 (SINTETICO)</t>
        </is>
      </c>
      <c r="E499" s="4" t="inlineStr">
        <is>
          <t>COMPONENTE DE SONDA PROPRIA (PERFURACAO/PRODUCAO)</t>
        </is>
      </c>
      <c r="F499" s="4" t="inlineStr">
        <is>
          <t>INFERIOR</t>
        </is>
      </c>
      <c r="G499" s="4" t="n">
        <v>1</v>
      </c>
      <c r="H499" s="5" t="n">
        <v>4091058906.838174</v>
      </c>
      <c r="I499" s="5" t="n">
        <v>4091202822.560049</v>
      </c>
      <c r="J499" s="5" t="n">
        <v>281922.33</v>
      </c>
      <c r="K499" s="4" t="inlineStr">
        <is>
          <t>S</t>
        </is>
      </c>
      <c r="L499" s="4" t="inlineStr">
        <is>
          <t>2021-11-02</t>
        </is>
      </c>
      <c r="M499" s="5" t="n">
        <v>281922.33</v>
      </c>
      <c r="N499" s="5">
        <f>J499-M499</f>
        <v/>
      </c>
      <c r="O499" s="6">
        <f>IF(F499="INFERIOR",N499/J499,"")</f>
        <v/>
      </c>
      <c r="P499" s="5">
        <f>IF(F499="INFERIOR",O499*MUS_parametros!$B$18,N499)</f>
        <v/>
      </c>
      <c r="Q499" s="4" t="inlineStr">
        <is>
          <t>Documento confere com o registro</t>
        </is>
      </c>
    </row>
    <row r="500">
      <c r="A500" s="4" t="inlineStr">
        <is>
          <t>IMB-0340536</t>
        </is>
      </c>
      <c r="B500" s="4" t="inlineStr">
        <is>
          <t>DESENVOLVIMENTO_CAMPOS</t>
        </is>
      </c>
      <c r="C500" s="4" t="inlineStr">
        <is>
          <t>1.2.03.04.001</t>
        </is>
      </c>
      <c r="D500" s="4" t="inlineStr">
        <is>
          <t>MATA DE SAO JOAO</t>
        </is>
      </c>
      <c r="E500" s="4" t="inlineStr">
        <is>
          <t>PERFURACAO E COMPLETACAO</t>
        </is>
      </c>
      <c r="F500" s="4" t="inlineStr">
        <is>
          <t>INFERIOR</t>
        </is>
      </c>
      <c r="G500" s="4" t="n">
        <v>1</v>
      </c>
      <c r="H500" s="5" t="n">
        <v>4096791906.838174</v>
      </c>
      <c r="I500" s="5" t="n">
        <v>4096855814.350054</v>
      </c>
      <c r="J500" s="5" t="n">
        <v>138236.3</v>
      </c>
      <c r="K500" s="4" t="inlineStr">
        <is>
          <t>S</t>
        </is>
      </c>
      <c r="L500" s="4" t="inlineStr">
        <is>
          <t>2024-04-08</t>
        </is>
      </c>
      <c r="M500" s="5" t="n">
        <v>138236.3</v>
      </c>
      <c r="N500" s="5">
        <f>J500-M500</f>
        <v/>
      </c>
      <c r="O500" s="6">
        <f>IF(F500="INFERIOR",N500/J500,"")</f>
        <v/>
      </c>
      <c r="P500" s="5">
        <f>IF(F500="INFERIOR",O500*MUS_parametros!$B$18,N500)</f>
        <v/>
      </c>
      <c r="Q500" s="4" t="inlineStr">
        <is>
          <t>Documento confere com o registro</t>
        </is>
      </c>
    </row>
    <row r="501">
      <c r="A501" s="4" t="inlineStr">
        <is>
          <t>IMB-0341334</t>
        </is>
      </c>
      <c r="B501" s="4" t="inlineStr">
        <is>
          <t>DESENVOLVIMENTO_CAMPOS</t>
        </is>
      </c>
      <c r="C501" s="4" t="inlineStr">
        <is>
          <t>1.2.03.04.001</t>
        </is>
      </c>
      <c r="D501" s="4" t="inlineStr">
        <is>
          <t>NORTE FAZENDA CARUACU</t>
        </is>
      </c>
      <c r="E501" s="4" t="inlineStr">
        <is>
          <t>PERFURACAO E COMPLETACAO</t>
        </is>
      </c>
      <c r="F501" s="4" t="inlineStr">
        <is>
          <t>INFERIOR</t>
        </is>
      </c>
      <c r="G501" s="4" t="n">
        <v>1</v>
      </c>
      <c r="H501" s="5" t="n">
        <v>4102524906.838174</v>
      </c>
      <c r="I501" s="5" t="n">
        <v>4102762070.740056</v>
      </c>
      <c r="J501" s="5" t="n">
        <v>361242.99</v>
      </c>
      <c r="K501" s="4" t="inlineStr">
        <is>
          <t>S</t>
        </is>
      </c>
      <c r="L501" s="4" t="inlineStr">
        <is>
          <t>2025-06-28</t>
        </is>
      </c>
      <c r="M501" s="5" t="n">
        <v>361242.99</v>
      </c>
      <c r="N501" s="5">
        <f>J501-M501</f>
        <v/>
      </c>
      <c r="O501" s="6">
        <f>IF(F501="INFERIOR",N501/J501,"")</f>
        <v/>
      </c>
      <c r="P501" s="5">
        <f>IF(F501="INFERIOR",O501*MUS_parametros!$B$18,N501)</f>
        <v/>
      </c>
      <c r="Q501" s="4" t="inlineStr">
        <is>
          <t>Documento confere com o registro</t>
        </is>
      </c>
    </row>
    <row r="502">
      <c r="A502" s="4" t="inlineStr">
        <is>
          <t>IMB-0342094</t>
        </is>
      </c>
      <c r="B502" s="4" t="inlineStr">
        <is>
          <t>MAQUINAS_EQUIPAMENTOS</t>
        </is>
      </c>
      <c r="C502" s="4" t="inlineStr">
        <is>
          <t>1.2.03.01.003</t>
        </is>
      </c>
      <c r="D502" s="4" t="inlineStr">
        <is>
          <t>MATA DE SAO JOAO</t>
        </is>
      </c>
      <c r="E502" s="4" t="inlineStr">
        <is>
          <t>COMPRESSOR/SEPARADOR/TANQUE/FACILITY</t>
        </is>
      </c>
      <c r="F502" s="4" t="inlineStr">
        <is>
          <t>INFERIOR</t>
        </is>
      </c>
      <c r="G502" s="4" t="n">
        <v>1</v>
      </c>
      <c r="H502" s="5" t="n">
        <v>4108257906.838174</v>
      </c>
      <c r="I502" s="5" t="n">
        <v>4108259853.270059</v>
      </c>
      <c r="J502" s="5" t="n">
        <v>17189.34</v>
      </c>
      <c r="K502" s="4" t="inlineStr">
        <is>
          <t>S</t>
        </is>
      </c>
      <c r="L502" s="4" t="inlineStr">
        <is>
          <t>2025-03-09</t>
        </is>
      </c>
      <c r="M502" s="5" t="n">
        <v>17189.34</v>
      </c>
      <c r="N502" s="5">
        <f>J502-M502</f>
        <v/>
      </c>
      <c r="O502" s="6">
        <f>IF(F502="INFERIOR",N502/J502,"")</f>
        <v/>
      </c>
      <c r="P502" s="5">
        <f>IF(F502="INFERIOR",O502*MUS_parametros!$B$18,N502)</f>
        <v/>
      </c>
      <c r="Q502" s="4" t="inlineStr">
        <is>
          <t>Documento confere com o registro</t>
        </is>
      </c>
    </row>
    <row r="503">
      <c r="A503" s="4" t="inlineStr">
        <is>
          <t>IMB-0342808</t>
        </is>
      </c>
      <c r="B503" s="4" t="inlineStr">
        <is>
          <t>DESENVOLVIMENTO_CAMPOS</t>
        </is>
      </c>
      <c r="C503" s="4" t="inlineStr">
        <is>
          <t>1.2.03.04.002</t>
        </is>
      </c>
      <c r="D503" s="4" t="inlineStr">
        <is>
          <t>POT-CONC-07 (SINTETICO)</t>
        </is>
      </c>
      <c r="E503" s="4" t="inlineStr">
        <is>
          <t>WORKOVER / RECOMPLETACAO CAPITALIZADO</t>
        </is>
      </c>
      <c r="F503" s="4" t="inlineStr">
        <is>
          <t>INFERIOR</t>
        </is>
      </c>
      <c r="G503" s="4" t="n">
        <v>1</v>
      </c>
      <c r="H503" s="5" t="n">
        <v>4113990906.838174</v>
      </c>
      <c r="I503" s="5" t="n">
        <v>4113992553.750061</v>
      </c>
      <c r="J503" s="5" t="n">
        <v>4287.09</v>
      </c>
      <c r="K503" s="4" t="inlineStr">
        <is>
          <t>S</t>
        </is>
      </c>
      <c r="L503" s="4" t="inlineStr">
        <is>
          <t>2024-01-05</t>
        </is>
      </c>
      <c r="M503" s="5" t="n">
        <v>4287.09</v>
      </c>
      <c r="N503" s="5">
        <f>J503-M503</f>
        <v/>
      </c>
      <c r="O503" s="6">
        <f>IF(F503="INFERIOR",N503/J503,"")</f>
        <v/>
      </c>
      <c r="P503" s="5">
        <f>IF(F503="INFERIOR",O503*MUS_parametros!$B$18,N503)</f>
        <v/>
      </c>
      <c r="Q503" s="4" t="inlineStr">
        <is>
          <t>Documento confere com o registro</t>
        </is>
      </c>
    </row>
    <row r="504">
      <c r="A504" s="4" t="inlineStr">
        <is>
          <t>IMB-0343262</t>
        </is>
      </c>
      <c r="B504" s="4" t="inlineStr">
        <is>
          <t>DESENVOLVIMENTO_CAMPOS</t>
        </is>
      </c>
      <c r="C504" s="4" t="inlineStr">
        <is>
          <t>1.2.03.04.001</t>
        </is>
      </c>
      <c r="D504" s="4" t="inlineStr">
        <is>
          <t>POT-CONC-17 (SINTETICO)</t>
        </is>
      </c>
      <c r="E504" s="4" t="inlineStr">
        <is>
          <t>PERFURACAO E COMPLETACAO</t>
        </is>
      </c>
      <c r="F504" s="4" t="inlineStr">
        <is>
          <t>INFERIOR</t>
        </is>
      </c>
      <c r="G504" s="4" t="n">
        <v>1</v>
      </c>
      <c r="H504" s="5" t="n">
        <v>4119723906.838174</v>
      </c>
      <c r="I504" s="5" t="n">
        <v>4119750163.970057</v>
      </c>
      <c r="J504" s="5" t="n">
        <v>248574.54</v>
      </c>
      <c r="K504" s="4" t="inlineStr">
        <is>
          <t>S</t>
        </is>
      </c>
      <c r="L504" s="4" t="inlineStr">
        <is>
          <t>2025-12-05</t>
        </is>
      </c>
      <c r="M504" s="5" t="n">
        <v>248574.54</v>
      </c>
      <c r="N504" s="5">
        <f>J504-M504</f>
        <v/>
      </c>
      <c r="O504" s="6">
        <f>IF(F504="INFERIOR",N504/J504,"")</f>
        <v/>
      </c>
      <c r="P504" s="5">
        <f>IF(F504="INFERIOR",O504*MUS_parametros!$B$18,N504)</f>
        <v/>
      </c>
      <c r="Q504" s="4" t="inlineStr">
        <is>
          <t>Documento confere com o registro</t>
        </is>
      </c>
    </row>
    <row r="505">
      <c r="A505" s="4" t="inlineStr">
        <is>
          <t>IMB-0343965</t>
        </is>
      </c>
      <c r="B505" s="4" t="inlineStr">
        <is>
          <t>DESENVOLVIMENTO_CAMPOS</t>
        </is>
      </c>
      <c r="C505" s="4" t="inlineStr">
        <is>
          <t>1.2.03.04.001</t>
        </is>
      </c>
      <c r="D505" s="4" t="inlineStr">
        <is>
          <t>POT-CONC-18 (SINTETICO)</t>
        </is>
      </c>
      <c r="E505" s="4" t="inlineStr">
        <is>
          <t>PERFURACAO E COMPLETACAO</t>
        </is>
      </c>
      <c r="F505" s="4" t="inlineStr">
        <is>
          <t>INFERIOR</t>
        </is>
      </c>
      <c r="G505" s="4" t="n">
        <v>1</v>
      </c>
      <c r="H505" s="5" t="n">
        <v>4125456906.838174</v>
      </c>
      <c r="I505" s="5" t="n">
        <v>4125493223.130062</v>
      </c>
      <c r="J505" s="5" t="n">
        <v>105340.43</v>
      </c>
      <c r="K505" s="4" t="inlineStr">
        <is>
          <t>S</t>
        </is>
      </c>
      <c r="L505" s="4" t="inlineStr">
        <is>
          <t>2024-04-29</t>
        </is>
      </c>
      <c r="M505" s="5" t="n">
        <v>105340.43</v>
      </c>
      <c r="N505" s="5">
        <f>J505-M505</f>
        <v/>
      </c>
      <c r="O505" s="6">
        <f>IF(F505="INFERIOR",N505/J505,"")</f>
        <v/>
      </c>
      <c r="P505" s="5">
        <f>IF(F505="INFERIOR",O505*MUS_parametros!$B$18,N505)</f>
        <v/>
      </c>
      <c r="Q505" s="4" t="inlineStr">
        <is>
          <t>Documento confere com o registro</t>
        </is>
      </c>
    </row>
    <row r="506">
      <c r="A506" s="4" t="inlineStr">
        <is>
          <t>IMB-0344521</t>
        </is>
      </c>
      <c r="B506" s="4" t="inlineStr">
        <is>
          <t>DESENVOLVIMENTO_CAMPOS</t>
        </is>
      </c>
      <c r="C506" s="4" t="inlineStr">
        <is>
          <t>1.2.03.04.001</t>
        </is>
      </c>
      <c r="D506" s="4" t="inlineStr">
        <is>
          <t>APRAIUS</t>
        </is>
      </c>
      <c r="E506" s="4" t="inlineStr">
        <is>
          <t>PERFURACAO E COMPLETACAO</t>
        </is>
      </c>
      <c r="F506" s="4" t="inlineStr">
        <is>
          <t>INFERIOR</t>
        </is>
      </c>
      <c r="G506" s="4" t="n">
        <v>1</v>
      </c>
      <c r="H506" s="5" t="n">
        <v>4131189906.838174</v>
      </c>
      <c r="I506" s="5" t="n">
        <v>4131217692.320062</v>
      </c>
      <c r="J506" s="5" t="n">
        <v>112639.35</v>
      </c>
      <c r="K506" s="4" t="inlineStr">
        <is>
          <t>S</t>
        </is>
      </c>
      <c r="L506" s="4" t="inlineStr">
        <is>
          <t>2025-08-08</t>
        </is>
      </c>
      <c r="M506" s="5" t="n">
        <v>112639.35</v>
      </c>
      <c r="N506" s="5">
        <f>J506-M506</f>
        <v/>
      </c>
      <c r="O506" s="6">
        <f>IF(F506="INFERIOR",N506/J506,"")</f>
        <v/>
      </c>
      <c r="P506" s="5">
        <f>IF(F506="INFERIOR",O506*MUS_parametros!$B$18,N506)</f>
        <v/>
      </c>
      <c r="Q506" s="4" t="inlineStr">
        <is>
          <t>Documento confere com o registro</t>
        </is>
      </c>
    </row>
    <row r="507">
      <c r="A507" s="4" t="inlineStr">
        <is>
          <t>IMB-0345056</t>
        </is>
      </c>
      <c r="B507" s="4" t="inlineStr">
        <is>
          <t>DESENVOLVIMENTO_CAMPOS</t>
        </is>
      </c>
      <c r="C507" s="4" t="inlineStr">
        <is>
          <t>1.2.03.04.001</t>
        </is>
      </c>
      <c r="D507" s="4" t="inlineStr">
        <is>
          <t>POT-CONC-11 (SINTETICO)</t>
        </is>
      </c>
      <c r="E507" s="4" t="inlineStr">
        <is>
          <t>PERFURACAO E COMPLETACAO</t>
        </is>
      </c>
      <c r="F507" s="4" t="inlineStr">
        <is>
          <t>INFERIOR</t>
        </is>
      </c>
      <c r="G507" s="4" t="n">
        <v>1</v>
      </c>
      <c r="H507" s="5" t="n">
        <v>4136922906.838174</v>
      </c>
      <c r="I507" s="5" t="n">
        <v>4137242942.610061</v>
      </c>
      <c r="J507" s="5" t="n">
        <v>559214.34</v>
      </c>
      <c r="K507" s="4" t="inlineStr">
        <is>
          <t>S</t>
        </is>
      </c>
      <c r="L507" s="4" t="inlineStr">
        <is>
          <t>2025-10-18</t>
        </is>
      </c>
      <c r="M507" s="5" t="n">
        <v>559214.34</v>
      </c>
      <c r="N507" s="5">
        <f>J507-M507</f>
        <v/>
      </c>
      <c r="O507" s="6">
        <f>IF(F507="INFERIOR",N507/J507,"")</f>
        <v/>
      </c>
      <c r="P507" s="5">
        <f>IF(F507="INFERIOR",O507*MUS_parametros!$B$18,N507)</f>
        <v/>
      </c>
      <c r="Q507" s="4" t="inlineStr">
        <is>
          <t>Documento confere com o registro</t>
        </is>
      </c>
    </row>
    <row r="508">
      <c r="A508" s="4" t="inlineStr">
        <is>
          <t>IMB-0345559</t>
        </is>
      </c>
      <c r="B508" s="4" t="inlineStr">
        <is>
          <t>DESENVOLVIMENTO_CAMPOS</t>
        </is>
      </c>
      <c r="C508" s="4" t="inlineStr">
        <is>
          <t>1.2.03.04.001</t>
        </is>
      </c>
      <c r="D508" s="4" t="inlineStr">
        <is>
          <t>FAZENDA ONCA</t>
        </is>
      </c>
      <c r="E508" s="4" t="inlineStr">
        <is>
          <t>PERFURACAO E COMPLETACAO</t>
        </is>
      </c>
      <c r="F508" s="4" t="inlineStr">
        <is>
          <t>INFERIOR</t>
        </is>
      </c>
      <c r="G508" s="4" t="n">
        <v>1</v>
      </c>
      <c r="H508" s="5" t="n">
        <v>4142655906.838174</v>
      </c>
      <c r="I508" s="5" t="n">
        <v>4142954111.830062</v>
      </c>
      <c r="J508" s="5" t="n">
        <v>365129.38</v>
      </c>
      <c r="K508" s="4" t="inlineStr">
        <is>
          <t>S</t>
        </is>
      </c>
      <c r="L508" s="4" t="inlineStr">
        <is>
          <t>2024-03-13</t>
        </is>
      </c>
      <c r="M508" s="5" t="n">
        <v>365129.38</v>
      </c>
      <c r="N508" s="5">
        <f>J508-M508</f>
        <v/>
      </c>
      <c r="O508" s="6">
        <f>IF(F508="INFERIOR",N508/J508,"")</f>
        <v/>
      </c>
      <c r="P508" s="5">
        <f>IF(F508="INFERIOR",O508*MUS_parametros!$B$18,N508)</f>
        <v/>
      </c>
      <c r="Q508" s="4" t="inlineStr">
        <is>
          <t>Documento confere com o registro</t>
        </is>
      </c>
    </row>
    <row r="509">
      <c r="A509" s="4" t="inlineStr">
        <is>
          <t>IMB-0345859</t>
        </is>
      </c>
      <c r="B509" s="4" t="inlineStr">
        <is>
          <t>DESENVOLVIMENTO_CAMPOS</t>
        </is>
      </c>
      <c r="C509" s="4" t="inlineStr">
        <is>
          <t>1.2.03.04.001</t>
        </is>
      </c>
      <c r="D509" s="4" t="inlineStr">
        <is>
          <t>TIE</t>
        </is>
      </c>
      <c r="E509" s="4" t="inlineStr">
        <is>
          <t>PERFURACAO E COMPLETACAO</t>
        </is>
      </c>
      <c r="F509" s="4" t="inlineStr">
        <is>
          <t>SUPERIOR (VC &gt;= I)</t>
        </is>
      </c>
      <c r="G509" s="4" t="n">
        <v>2</v>
      </c>
      <c r="H509" s="5" t="n">
        <v>4148388906.838174</v>
      </c>
      <c r="I509" s="5" t="n">
        <v>4154780343.890059</v>
      </c>
      <c r="J509" s="5" t="n">
        <v>10133472.19</v>
      </c>
      <c r="K509" s="4" t="inlineStr">
        <is>
          <t>S</t>
        </is>
      </c>
      <c r="L509" s="4" t="inlineStr">
        <is>
          <t>2025-12-05</t>
        </is>
      </c>
      <c r="M509" s="5" t="n">
        <v>10133472.19</v>
      </c>
      <c r="N509" s="5">
        <f>J509-M509</f>
        <v/>
      </c>
      <c r="O509" s="6">
        <f>IF(F509="INFERIOR",N509/J509,"")</f>
        <v/>
      </c>
      <c r="P509" s="5">
        <f>IF(F509="INFERIOR",O509*MUS_parametros!$B$18,N509)</f>
        <v/>
      </c>
      <c r="Q509" s="4" t="inlineStr">
        <is>
          <t>Documento confere com o registro</t>
        </is>
      </c>
    </row>
    <row r="510">
      <c r="A510" s="4" t="inlineStr">
        <is>
          <t>IMB-0346567</t>
        </is>
      </c>
      <c r="B510" s="4" t="inlineStr">
        <is>
          <t>MAQUINAS_EQUIPAMENTOS</t>
        </is>
      </c>
      <c r="C510" s="4" t="inlineStr">
        <is>
          <t>1.2.03.01.004</t>
        </is>
      </c>
      <c r="D510" s="4" t="inlineStr">
        <is>
          <t>UPGN GUAMARE</t>
        </is>
      </c>
      <c r="E510" s="4" t="inlineStr">
        <is>
          <t>MODULO DE PROCESSAMENTO UPGN III</t>
        </is>
      </c>
      <c r="F510" s="4" t="inlineStr">
        <is>
          <t>INFERIOR</t>
        </is>
      </c>
      <c r="G510" s="4" t="n">
        <v>1</v>
      </c>
      <c r="H510" s="5" t="n">
        <v>4159854906.838174</v>
      </c>
      <c r="I510" s="5" t="n">
        <v>4159909939.790056</v>
      </c>
      <c r="J510" s="5" t="n">
        <v>140707.85</v>
      </c>
      <c r="K510" s="4" t="inlineStr">
        <is>
          <t>S</t>
        </is>
      </c>
      <c r="L510" s="4" t="inlineStr">
        <is>
          <t>2025-09-30</t>
        </is>
      </c>
      <c r="M510" s="5" t="n">
        <v>140707.85</v>
      </c>
      <c r="N510" s="5">
        <f>J510-M510</f>
        <v/>
      </c>
      <c r="O510" s="6">
        <f>IF(F510="INFERIOR",N510/J510,"")</f>
        <v/>
      </c>
      <c r="P510" s="5">
        <f>IF(F510="INFERIOR",O510*MUS_parametros!$B$18,N510)</f>
        <v/>
      </c>
      <c r="Q510" s="4" t="inlineStr">
        <is>
          <t>Documento confere com o registro</t>
        </is>
      </c>
    </row>
    <row r="511">
      <c r="A511" s="4" t="inlineStr">
        <is>
          <t>IMB-0347367</t>
        </is>
      </c>
      <c r="B511" s="4" t="inlineStr">
        <is>
          <t>DIREITO_PRODUCAO_OLEO_GAS</t>
        </is>
      </c>
      <c r="C511" s="4" t="inlineStr">
        <is>
          <t>1.2.03.03.001</t>
        </is>
      </c>
      <c r="D511" s="4" t="inlineStr">
        <is>
          <t>RIO SUBAUMA</t>
        </is>
      </c>
      <c r="E511" s="4" t="inlineStr">
        <is>
          <t>CUSTO DE AQUISICAO DA CONCESSAO</t>
        </is>
      </c>
      <c r="F511" s="4" t="inlineStr">
        <is>
          <t>SUPERIOR (VC &gt;= I)</t>
        </is>
      </c>
      <c r="G511" s="4" t="n">
        <v>2</v>
      </c>
      <c r="H511" s="5" t="n">
        <v>4165587906.838174</v>
      </c>
      <c r="I511" s="5" t="n">
        <v>4172309406.09006</v>
      </c>
      <c r="J511" s="5" t="n">
        <v>6756001.3</v>
      </c>
      <c r="K511" s="4" t="inlineStr">
        <is>
          <t>S</t>
        </is>
      </c>
      <c r="L511" s="4" t="inlineStr">
        <is>
          <t>2021-12-23</t>
        </is>
      </c>
      <c r="M511" s="5" t="n">
        <v>6756001.3</v>
      </c>
      <c r="N511" s="5">
        <f>J511-M511</f>
        <v/>
      </c>
      <c r="O511" s="6">
        <f>IF(F511="INFERIOR",N511/J511,"")</f>
        <v/>
      </c>
      <c r="P511" s="5">
        <f>IF(F511="INFERIOR",O511*MUS_parametros!$B$18,N511)</f>
        <v/>
      </c>
      <c r="Q511" s="4" t="inlineStr">
        <is>
          <t>Documento confere com o registro</t>
        </is>
      </c>
    </row>
    <row r="512">
      <c r="A512" s="4" t="inlineStr">
        <is>
          <t>IMB-0348122</t>
        </is>
      </c>
      <c r="B512" s="4" t="inlineStr">
        <is>
          <t>DESENVOLVIMENTO_CAMPOS</t>
        </is>
      </c>
      <c r="C512" s="4" t="inlineStr">
        <is>
          <t>1.2.03.04.001</t>
        </is>
      </c>
      <c r="D512" s="4" t="inlineStr">
        <is>
          <t>ACAUA</t>
        </is>
      </c>
      <c r="E512" s="4" t="inlineStr">
        <is>
          <t>PERFURACAO E COMPLETACAO</t>
        </is>
      </c>
      <c r="F512" s="4" t="inlineStr">
        <is>
          <t>INFERIOR</t>
        </is>
      </c>
      <c r="G512" s="4" t="n">
        <v>1</v>
      </c>
      <c r="H512" s="5" t="n">
        <v>4177053906.838174</v>
      </c>
      <c r="I512" s="5" t="n">
        <v>4177082595.050061</v>
      </c>
      <c r="J512" s="5" t="n">
        <v>78564.94</v>
      </c>
      <c r="K512" s="4" t="inlineStr">
        <is>
          <t>S</t>
        </is>
      </c>
      <c r="L512" s="4" t="inlineStr">
        <is>
          <t>2025-12-18</t>
        </is>
      </c>
      <c r="M512" s="5" t="n">
        <v>78564.94</v>
      </c>
      <c r="N512" s="5">
        <f>J512-M512</f>
        <v/>
      </c>
      <c r="O512" s="6">
        <f>IF(F512="INFERIOR",N512/J512,"")</f>
        <v/>
      </c>
      <c r="P512" s="5">
        <f>IF(F512="INFERIOR",O512*MUS_parametros!$B$18,N512)</f>
        <v/>
      </c>
      <c r="Q512" s="4" t="inlineStr">
        <is>
          <t>Documento confere com o registro</t>
        </is>
      </c>
    </row>
    <row r="513">
      <c r="A513" s="4" t="inlineStr">
        <is>
          <t>IMB-0348976</t>
        </is>
      </c>
      <c r="B513" s="4" t="inlineStr">
        <is>
          <t>MAQUINAS_EQUIPAMENTOS</t>
        </is>
      </c>
      <c r="C513" s="4" t="inlineStr">
        <is>
          <t>1.2.03.01.005</t>
        </is>
      </c>
      <c r="D513" s="4" t="inlineStr">
        <is>
          <t>POT-CONC-01 (SINTETICO)</t>
        </is>
      </c>
      <c r="E513" s="4" t="inlineStr">
        <is>
          <t>VEICULO PESADO / CAMINHAO SONDA</t>
        </is>
      </c>
      <c r="F513" s="4" t="inlineStr">
        <is>
          <t>INFERIOR</t>
        </is>
      </c>
      <c r="G513" s="4" t="n">
        <v>1</v>
      </c>
      <c r="H513" s="5" t="n">
        <v>4182786906.838174</v>
      </c>
      <c r="I513" s="5" t="n">
        <v>4182812291.660055</v>
      </c>
      <c r="J513" s="5" t="n">
        <v>25917.23</v>
      </c>
      <c r="K513" s="4" t="inlineStr">
        <is>
          <t>S</t>
        </is>
      </c>
      <c r="L513" s="4" t="inlineStr">
        <is>
          <t>2012-10-16</t>
        </is>
      </c>
      <c r="M513" s="5" t="n">
        <v>25917.23</v>
      </c>
      <c r="N513" s="5">
        <f>J513-M513</f>
        <v/>
      </c>
      <c r="O513" s="6">
        <f>IF(F513="INFERIOR",N513/J513,"")</f>
        <v/>
      </c>
      <c r="P513" s="5">
        <f>IF(F513="INFERIOR",O513*MUS_parametros!$B$18,N513)</f>
        <v/>
      </c>
      <c r="Q513" s="4" t="inlineStr">
        <is>
          <t>Documento confere com o registro</t>
        </is>
      </c>
    </row>
    <row r="514">
      <c r="A514" s="4" t="inlineStr">
        <is>
          <t>IMB-0349897</t>
        </is>
      </c>
      <c r="B514" s="4" t="inlineStr">
        <is>
          <t>IMOBILIZADO_EM_ANDAMENTO</t>
        </is>
      </c>
      <c r="C514" s="4" t="inlineStr">
        <is>
          <t>1.2.03.02.001</t>
        </is>
      </c>
      <c r="D514" s="4" t="inlineStr">
        <is>
          <t>SABIA</t>
        </is>
      </c>
      <c r="E514" s="4" t="inlineStr">
        <is>
          <t>ORDEM DE INVESTIMENTO EM ANDAMENTO</t>
        </is>
      </c>
      <c r="F514" s="4" t="inlineStr">
        <is>
          <t>INFERIOR</t>
        </is>
      </c>
      <c r="G514" s="4" t="n">
        <v>1</v>
      </c>
      <c r="H514" s="5" t="n">
        <v>4188519906.838174</v>
      </c>
      <c r="I514" s="5" t="n">
        <v>4188523786.960053</v>
      </c>
      <c r="J514" s="5" t="n">
        <v>13943.78</v>
      </c>
      <c r="K514" s="4" t="inlineStr">
        <is>
          <t>S</t>
        </is>
      </c>
      <c r="L514" s="4" t="inlineStr">
        <is>
          <t>2025-08-22</t>
        </is>
      </c>
      <c r="M514" s="5" t="n">
        <v>13943.78</v>
      </c>
      <c r="N514" s="5">
        <f>J514-M514</f>
        <v/>
      </c>
      <c r="O514" s="6">
        <f>IF(F514="INFERIOR",N514/J514,"")</f>
        <v/>
      </c>
      <c r="P514" s="5">
        <f>IF(F514="INFERIOR",O514*MUS_parametros!$B$18,N514)</f>
        <v/>
      </c>
      <c r="Q514" s="4" t="inlineStr">
        <is>
          <t>Documento confere com o registro</t>
        </is>
      </c>
    </row>
    <row r="515">
      <c r="A515" s="4" t="inlineStr">
        <is>
          <t>IMB-0350681</t>
        </is>
      </c>
      <c r="B515" s="4" t="inlineStr">
        <is>
          <t>ALMOXARIFADO_INVERSOES_FIXAS</t>
        </is>
      </c>
      <c r="C515" s="4" t="inlineStr">
        <is>
          <t>1.2.03.07.001</t>
        </is>
      </c>
      <c r="D515" s="4" t="inlineStr">
        <is>
          <t>POT-CONC-19 (SINTETICO)</t>
        </is>
      </c>
      <c r="E515" s="4" t="inlineStr">
        <is>
          <t>TUBO DE REVESTIMENTO/PRODUCAO (LOTE)</t>
        </is>
      </c>
      <c r="F515" s="4" t="inlineStr">
        <is>
          <t>INFERIOR</t>
        </is>
      </c>
      <c r="G515" s="4" t="n">
        <v>1</v>
      </c>
      <c r="H515" s="5" t="n">
        <v>4194252906.838174</v>
      </c>
      <c r="I515" s="5" t="n">
        <v>4194253463.790054</v>
      </c>
      <c r="J515" s="5" t="n">
        <v>1385.7</v>
      </c>
      <c r="K515" s="4" t="inlineStr">
        <is>
          <t>S</t>
        </is>
      </c>
      <c r="L515" s="4" t="inlineStr">
        <is>
          <t>2023-11-01</t>
        </is>
      </c>
      <c r="M515" s="5" t="n">
        <v>1385.7</v>
      </c>
      <c r="N515" s="5">
        <f>J515-M515</f>
        <v/>
      </c>
      <c r="O515" s="6">
        <f>IF(F515="INFERIOR",N515/J515,"")</f>
        <v/>
      </c>
      <c r="P515" s="5">
        <f>IF(F515="INFERIOR",O515*MUS_parametros!$B$18,N515)</f>
        <v/>
      </c>
      <c r="Q515" s="4" t="inlineStr">
        <is>
          <t>Documento confere com o registro</t>
        </is>
      </c>
    </row>
    <row r="516">
      <c r="A516" s="4" t="inlineStr">
        <is>
          <t>IMB-0351322</t>
        </is>
      </c>
      <c r="B516" s="4" t="inlineStr">
        <is>
          <t>DESENVOLVIMENTO_CAMPOS</t>
        </is>
      </c>
      <c r="C516" s="4" t="inlineStr">
        <is>
          <t>1.2.03.04.002</t>
        </is>
      </c>
      <c r="D516" s="4" t="inlineStr">
        <is>
          <t>POT-CONC-07 (SINTETICO)</t>
        </is>
      </c>
      <c r="E516" s="4" t="inlineStr">
        <is>
          <t>WORKOVER / RECOMPLETACAO CAPITALIZADO</t>
        </is>
      </c>
      <c r="F516" s="4" t="inlineStr">
        <is>
          <t>INFERIOR</t>
        </is>
      </c>
      <c r="G516" s="4" t="n">
        <v>1</v>
      </c>
      <c r="H516" s="5" t="n">
        <v>4199985906.838174</v>
      </c>
      <c r="I516" s="5" t="n">
        <v>4199996143.960055</v>
      </c>
      <c r="J516" s="5" t="n">
        <v>24220.87</v>
      </c>
      <c r="K516" s="4" t="inlineStr">
        <is>
          <t>S</t>
        </is>
      </c>
      <c r="L516" s="4" t="inlineStr">
        <is>
          <t>2025-12-13</t>
        </is>
      </c>
      <c r="M516" s="5" t="n">
        <v>24220.87</v>
      </c>
      <c r="N516" s="5">
        <f>J516-M516</f>
        <v/>
      </c>
      <c r="O516" s="6">
        <f>IF(F516="INFERIOR",N516/J516,"")</f>
        <v/>
      </c>
      <c r="P516" s="5">
        <f>IF(F516="INFERIOR",O516*MUS_parametros!$B$18,N516)</f>
        <v/>
      </c>
      <c r="Q516" s="4" t="inlineStr">
        <is>
          <t>Documento confere com o registro</t>
        </is>
      </c>
    </row>
    <row r="517">
      <c r="A517" s="4" t="inlineStr">
        <is>
          <t>IMB-0351933</t>
        </is>
      </c>
      <c r="B517" s="4" t="inlineStr">
        <is>
          <t>MAQUINAS_EQUIPAMENTOS</t>
        </is>
      </c>
      <c r="C517" s="4" t="inlineStr">
        <is>
          <t>1.2.03.01.005</t>
        </is>
      </c>
      <c r="D517" s="4" t="inlineStr">
        <is>
          <t>POT-CONC-01 (SINTETICO)</t>
        </is>
      </c>
      <c r="E517" s="4" t="inlineStr">
        <is>
          <t>VEICULO PESADO / CAMINHAO SONDA</t>
        </is>
      </c>
      <c r="F517" s="4" t="inlineStr">
        <is>
          <t>INFERIOR</t>
        </is>
      </c>
      <c r="G517" s="4" t="n">
        <v>1</v>
      </c>
      <c r="H517" s="5" t="n">
        <v>4205718906.838174</v>
      </c>
      <c r="I517" s="5" t="n">
        <v>4205725382.380052</v>
      </c>
      <c r="J517" s="5" t="n">
        <v>9718.440000000001</v>
      </c>
      <c r="K517" s="4" t="inlineStr">
        <is>
          <t>S</t>
        </is>
      </c>
      <c r="L517" s="4" t="inlineStr">
        <is>
          <t>2016-04-14</t>
        </is>
      </c>
      <c r="M517" s="5" t="n">
        <v>9718.440000000001</v>
      </c>
      <c r="N517" s="5">
        <f>J517-M517</f>
        <v/>
      </c>
      <c r="O517" s="6">
        <f>IF(F517="INFERIOR",N517/J517,"")</f>
        <v/>
      </c>
      <c r="P517" s="5">
        <f>IF(F517="INFERIOR",O517*MUS_parametros!$B$18,N517)</f>
        <v/>
      </c>
      <c r="Q517" s="4" t="inlineStr">
        <is>
          <t>Documento confere com o registro</t>
        </is>
      </c>
    </row>
    <row r="518">
      <c r="A518" s="4" t="inlineStr">
        <is>
          <t>IMB-0352905</t>
        </is>
      </c>
      <c r="B518" s="4" t="inlineStr">
        <is>
          <t>DESENVOLVIMENTO_CAMPOS</t>
        </is>
      </c>
      <c r="C518" s="4" t="inlineStr">
        <is>
          <t>1.2.03.04.001</t>
        </is>
      </c>
      <c r="D518" s="4" t="inlineStr">
        <is>
          <t>TARTARUGA</t>
        </is>
      </c>
      <c r="E518" s="4" t="inlineStr">
        <is>
          <t>PERFURACAO E COMPLETACAO</t>
        </is>
      </c>
      <c r="F518" s="4" t="inlineStr">
        <is>
          <t>INFERIOR</t>
        </is>
      </c>
      <c r="G518" s="4" t="n">
        <v>1</v>
      </c>
      <c r="H518" s="5" t="n">
        <v>4211451906.838174</v>
      </c>
      <c r="I518" s="5" t="n">
        <v>4211536182.490047</v>
      </c>
      <c r="J518" s="5" t="n">
        <v>243323.82</v>
      </c>
      <c r="K518" s="4" t="inlineStr">
        <is>
          <t>S</t>
        </is>
      </c>
      <c r="L518" s="4" t="inlineStr">
        <is>
          <t>2025-09-23</t>
        </is>
      </c>
      <c r="M518" s="5" t="n">
        <v>243323.82</v>
      </c>
      <c r="N518" s="5">
        <f>J518-M518</f>
        <v/>
      </c>
      <c r="O518" s="6">
        <f>IF(F518="INFERIOR",N518/J518,"")</f>
        <v/>
      </c>
      <c r="P518" s="5">
        <f>IF(F518="INFERIOR",O518*MUS_parametros!$B$18,N518)</f>
        <v/>
      </c>
      <c r="Q518" s="4" t="inlineStr">
        <is>
          <t>Documento confere com o registro</t>
        </is>
      </c>
    </row>
    <row r="519">
      <c r="A519" s="4" t="inlineStr">
        <is>
          <t>IMB-0353801</t>
        </is>
      </c>
      <c r="B519" s="4" t="inlineStr">
        <is>
          <t>MAQUINAS_EQUIPAMENTOS</t>
        </is>
      </c>
      <c r="C519" s="4" t="inlineStr">
        <is>
          <t>1.2.03.01.004</t>
        </is>
      </c>
      <c r="D519" s="4" t="inlineStr">
        <is>
          <t>UPGN GUAMARE</t>
        </is>
      </c>
      <c r="E519" s="4" t="inlineStr">
        <is>
          <t>ARMAZENAMENTO DE LIQUIDOS</t>
        </is>
      </c>
      <c r="F519" s="4" t="inlineStr">
        <is>
          <t>INFERIOR</t>
        </is>
      </c>
      <c r="G519" s="4" t="n">
        <v>1</v>
      </c>
      <c r="H519" s="5" t="n">
        <v>4217184906.838174</v>
      </c>
      <c r="I519" s="5" t="n">
        <v>4217782186.990048</v>
      </c>
      <c r="J519" s="5" t="n">
        <v>1113173.81</v>
      </c>
      <c r="K519" s="4" t="inlineStr">
        <is>
          <t>S</t>
        </is>
      </c>
      <c r="L519" s="4" t="inlineStr">
        <is>
          <t>2025-09-30</t>
        </is>
      </c>
      <c r="M519" s="5" t="n">
        <v>1113173.81</v>
      </c>
      <c r="N519" s="5">
        <f>J519-M519</f>
        <v/>
      </c>
      <c r="O519" s="6">
        <f>IF(F519="INFERIOR",N519/J519,"")</f>
        <v/>
      </c>
      <c r="P519" s="5">
        <f>IF(F519="INFERIOR",O519*MUS_parametros!$B$18,N519)</f>
        <v/>
      </c>
      <c r="Q519" s="4" t="inlineStr">
        <is>
          <t>Documento confere com o registro</t>
        </is>
      </c>
    </row>
    <row r="520">
      <c r="A520" s="4" t="inlineStr">
        <is>
          <t>IMB-0354423</t>
        </is>
      </c>
      <c r="B520" s="4" t="inlineStr">
        <is>
          <t>MAQUINAS_EQUIPAMENTOS</t>
        </is>
      </c>
      <c r="C520" s="4" t="inlineStr">
        <is>
          <t>1.2.03.01.002</t>
        </is>
      </c>
      <c r="D520" s="4" t="inlineStr">
        <is>
          <t>BREJINHO</t>
        </is>
      </c>
      <c r="E520" s="4" t="inlineStr">
        <is>
          <t>UNIDADE DE BOMBEIO MECANICO</t>
        </is>
      </c>
      <c r="F520" s="4" t="inlineStr">
        <is>
          <t>INFERIOR</t>
        </is>
      </c>
      <c r="G520" s="4" t="n">
        <v>1</v>
      </c>
      <c r="H520" s="5" t="n">
        <v>4222917906.838174</v>
      </c>
      <c r="I520" s="5" t="n">
        <v>4222936082.360045</v>
      </c>
      <c r="J520" s="5" t="n">
        <v>24027.97</v>
      </c>
      <c r="K520" s="4" t="inlineStr">
        <is>
          <t>S</t>
        </is>
      </c>
      <c r="L520" s="4" t="inlineStr">
        <is>
          <t>2019-11-11</t>
        </is>
      </c>
      <c r="M520" s="5" t="n">
        <v>24027.97</v>
      </c>
      <c r="N520" s="5">
        <f>J520-M520</f>
        <v/>
      </c>
      <c r="O520" s="6">
        <f>IF(F520="INFERIOR",N520/J520,"")</f>
        <v/>
      </c>
      <c r="P520" s="5">
        <f>IF(F520="INFERIOR",O520*MUS_parametros!$B$18,N520)</f>
        <v/>
      </c>
      <c r="Q520" s="4" t="inlineStr">
        <is>
          <t>Documento confere com o registro</t>
        </is>
      </c>
    </row>
    <row r="521">
      <c r="A521" s="4" t="inlineStr">
        <is>
          <t>IMB-0355226</t>
        </is>
      </c>
      <c r="B521" s="4" t="inlineStr">
        <is>
          <t>DESENVOLVIMENTO_CAMPOS</t>
        </is>
      </c>
      <c r="C521" s="4" t="inlineStr">
        <is>
          <t>1.2.03.04.001</t>
        </is>
      </c>
      <c r="D521" s="4" t="inlineStr">
        <is>
          <t>JACUIPE</t>
        </is>
      </c>
      <c r="E521" s="4" t="inlineStr">
        <is>
          <t>PERFURACAO E COMPLETACAO</t>
        </is>
      </c>
      <c r="F521" s="4" t="inlineStr">
        <is>
          <t>INFERIOR</t>
        </is>
      </c>
      <c r="G521" s="4" t="n">
        <v>1</v>
      </c>
      <c r="H521" s="5" t="n">
        <v>4228650906.838174</v>
      </c>
      <c r="I521" s="5" t="n">
        <v>4228742608.160041</v>
      </c>
      <c r="J521" s="5" t="n">
        <v>125971.68</v>
      </c>
      <c r="K521" s="4" t="inlineStr">
        <is>
          <t>S</t>
        </is>
      </c>
      <c r="L521" s="4" t="inlineStr">
        <is>
          <t>2023-11-26</t>
        </is>
      </c>
      <c r="M521" s="5" t="n">
        <v>125971.68</v>
      </c>
      <c r="N521" s="5">
        <f>J521-M521</f>
        <v/>
      </c>
      <c r="O521" s="6">
        <f>IF(F521="INFERIOR",N521/J521,"")</f>
        <v/>
      </c>
      <c r="P521" s="5">
        <f>IF(F521="INFERIOR",O521*MUS_parametros!$B$18,N521)</f>
        <v/>
      </c>
      <c r="Q521" s="4" t="inlineStr">
        <is>
          <t>Documento confere com o registro</t>
        </is>
      </c>
    </row>
    <row r="522">
      <c r="A522" s="4" t="inlineStr">
        <is>
          <t>IMB-0355985</t>
        </is>
      </c>
      <c r="B522" s="4" t="inlineStr">
        <is>
          <t>DESENVOLVIMENTO_CAMPOS</t>
        </is>
      </c>
      <c r="C522" s="4" t="inlineStr">
        <is>
          <t>1.2.03.04.005</t>
        </is>
      </c>
      <c r="D522" s="4" t="inlineStr">
        <is>
          <t>CANABRAVA</t>
        </is>
      </c>
      <c r="E522" s="4" t="inlineStr">
        <is>
          <t>CONVERSAO EM POCO INJETOR</t>
        </is>
      </c>
      <c r="F522" s="4" t="inlineStr">
        <is>
          <t>INFERIOR</t>
        </is>
      </c>
      <c r="G522" s="4" t="n">
        <v>1</v>
      </c>
      <c r="H522" s="5" t="n">
        <v>4234383906.838174</v>
      </c>
      <c r="I522" s="5" t="n">
        <v>4234399636.220032</v>
      </c>
      <c r="J522" s="5" t="n">
        <v>30168.78</v>
      </c>
      <c r="K522" s="4" t="inlineStr">
        <is>
          <t>S</t>
        </is>
      </c>
      <c r="L522" s="4" t="inlineStr">
        <is>
          <t>2025-03-04</t>
        </is>
      </c>
      <c r="M522" s="5" t="n">
        <v>30168.78</v>
      </c>
      <c r="N522" s="5">
        <f>J522-M522</f>
        <v/>
      </c>
      <c r="O522" s="6">
        <f>IF(F522="INFERIOR",N522/J522,"")</f>
        <v/>
      </c>
      <c r="P522" s="5">
        <f>IF(F522="INFERIOR",O522*MUS_parametros!$B$18,N522)</f>
        <v/>
      </c>
      <c r="Q522" s="4" t="inlineStr">
        <is>
          <t>Documento confere com o registro</t>
        </is>
      </c>
    </row>
    <row r="523">
      <c r="A523" s="4" t="inlineStr">
        <is>
          <t>IMB-0356789</t>
        </is>
      </c>
      <c r="B523" s="4" t="inlineStr">
        <is>
          <t>DESENVOLVIMENTO_CAMPOS</t>
        </is>
      </c>
      <c r="C523" s="4" t="inlineStr">
        <is>
          <t>1.2.03.04.002</t>
        </is>
      </c>
      <c r="D523" s="4" t="inlineStr">
        <is>
          <t>CASSARONGONGO</t>
        </is>
      </c>
      <c r="E523" s="4" t="inlineStr">
        <is>
          <t>WORKOVER / RECOMPLETACAO CAPITALIZADO</t>
        </is>
      </c>
      <c r="F523" s="4" t="inlineStr">
        <is>
          <t>INFERIOR</t>
        </is>
      </c>
      <c r="G523" s="4" t="n">
        <v>1</v>
      </c>
      <c r="H523" s="5" t="n">
        <v>4240116906.838174</v>
      </c>
      <c r="I523" s="5" t="n">
        <v>4240139498.860031</v>
      </c>
      <c r="J523" s="5" t="n">
        <v>35647.35</v>
      </c>
      <c r="K523" s="4" t="inlineStr">
        <is>
          <t>S</t>
        </is>
      </c>
      <c r="L523" s="4" t="inlineStr">
        <is>
          <t>2025-07-21</t>
        </is>
      </c>
      <c r="M523" s="5" t="n">
        <v>35647.35</v>
      </c>
      <c r="N523" s="5">
        <f>J523-M523</f>
        <v/>
      </c>
      <c r="O523" s="6">
        <f>IF(F523="INFERIOR",N523/J523,"")</f>
        <v/>
      </c>
      <c r="P523" s="5">
        <f>IF(F523="INFERIOR",O523*MUS_parametros!$B$18,N523)</f>
        <v/>
      </c>
      <c r="Q523" s="4" t="inlineStr">
        <is>
          <t>Documento confere com o registro</t>
        </is>
      </c>
    </row>
    <row r="524">
      <c r="A524" s="4" t="inlineStr">
        <is>
          <t>IMB-0357558</t>
        </is>
      </c>
      <c r="B524" s="4" t="inlineStr">
        <is>
          <t>DESENVOLVIMENTO_CAMPOS</t>
        </is>
      </c>
      <c r="C524" s="4" t="inlineStr">
        <is>
          <t>1.2.03.04.004</t>
        </is>
      </c>
      <c r="D524" s="4" t="inlineStr">
        <is>
          <t>POT-CONC-01 (SINTETICO)</t>
        </is>
      </c>
      <c r="E524" s="4" t="inlineStr">
        <is>
          <t>LINHA DE SURGENCIA E MANIFOLD</t>
        </is>
      </c>
      <c r="F524" s="4" t="inlineStr">
        <is>
          <t>INFERIOR</t>
        </is>
      </c>
      <c r="G524" s="4" t="n">
        <v>1</v>
      </c>
      <c r="H524" s="5" t="n">
        <v>4245849906.838174</v>
      </c>
      <c r="I524" s="5" t="n">
        <v>4245854246.600032</v>
      </c>
      <c r="J524" s="5" t="n">
        <v>4860</v>
      </c>
      <c r="K524" s="4" t="inlineStr">
        <is>
          <t>S</t>
        </is>
      </c>
      <c r="L524" s="4" t="inlineStr">
        <is>
          <t>2024-06-27</t>
        </is>
      </c>
      <c r="M524" s="5" t="n">
        <v>4860</v>
      </c>
      <c r="N524" s="5">
        <f>J524-M524</f>
        <v/>
      </c>
      <c r="O524" s="6">
        <f>IF(F524="INFERIOR",N524/J524,"")</f>
        <v/>
      </c>
      <c r="P524" s="5">
        <f>IF(F524="INFERIOR",O524*MUS_parametros!$B$18,N524)</f>
        <v/>
      </c>
      <c r="Q524" s="4" t="inlineStr">
        <is>
          <t>Documento confere com o registro</t>
        </is>
      </c>
    </row>
    <row r="525">
      <c r="A525" s="4" t="inlineStr">
        <is>
          <t>IMB-0358115</t>
        </is>
      </c>
      <c r="B525" s="4" t="inlineStr">
        <is>
          <t>DESENVOLVIMENTO_CAMPOS</t>
        </is>
      </c>
      <c r="C525" s="4" t="inlineStr">
        <is>
          <t>1.2.03.04.002</t>
        </is>
      </c>
      <c r="D525" s="4" t="inlineStr">
        <is>
          <t>FAZENDA ONCA</t>
        </is>
      </c>
      <c r="E525" s="4" t="inlineStr">
        <is>
          <t>FRATURAMENTO / ESTIMULACAO CAPITALIZADA</t>
        </is>
      </c>
      <c r="F525" s="4" t="inlineStr">
        <is>
          <t>INFERIOR</t>
        </is>
      </c>
      <c r="G525" s="4" t="n">
        <v>1</v>
      </c>
      <c r="H525" s="5" t="n">
        <v>4251582906.838174</v>
      </c>
      <c r="I525" s="5" t="n">
        <v>4251586999.900037</v>
      </c>
      <c r="J525" s="5" t="n">
        <v>24070.53</v>
      </c>
      <c r="K525" s="4" t="inlineStr">
        <is>
          <t>S</t>
        </is>
      </c>
      <c r="L525" s="4" t="inlineStr">
        <is>
          <t>2023-01-18</t>
        </is>
      </c>
      <c r="M525" s="5" t="n">
        <v>24070.53</v>
      </c>
      <c r="N525" s="5">
        <f>J525-M525</f>
        <v/>
      </c>
      <c r="O525" s="6">
        <f>IF(F525="INFERIOR",N525/J525,"")</f>
        <v/>
      </c>
      <c r="P525" s="5">
        <f>IF(F525="INFERIOR",O525*MUS_parametros!$B$18,N525)</f>
        <v/>
      </c>
      <c r="Q525" s="4" t="inlineStr">
        <is>
          <t>Documento confere com o registro</t>
        </is>
      </c>
    </row>
    <row r="526">
      <c r="A526" s="4" t="inlineStr">
        <is>
          <t>IMB-0358567</t>
        </is>
      </c>
      <c r="B526" s="4" t="inlineStr">
        <is>
          <t>DESENVOLVIMENTO_CAMPOS</t>
        </is>
      </c>
      <c r="C526" s="4" t="inlineStr">
        <is>
          <t>1.2.03.04.001</t>
        </is>
      </c>
      <c r="D526" s="4" t="inlineStr">
        <is>
          <t>TARTARUGA</t>
        </is>
      </c>
      <c r="E526" s="4" t="inlineStr">
        <is>
          <t>PERFURACAO E COMPLETACAO</t>
        </is>
      </c>
      <c r="F526" s="4" t="inlineStr">
        <is>
          <t>SUPERIOR (VC &gt;= I)</t>
        </is>
      </c>
      <c r="G526" s="4" t="n">
        <v>1</v>
      </c>
      <c r="H526" s="5" t="n">
        <v>4257315906.838174</v>
      </c>
      <c r="I526" s="5" t="n">
        <v>4262094930.440035</v>
      </c>
      <c r="J526" s="5" t="n">
        <v>8650479.609999999</v>
      </c>
      <c r="K526" s="4" t="inlineStr">
        <is>
          <t>S</t>
        </is>
      </c>
      <c r="L526" s="4" t="inlineStr">
        <is>
          <t>2025-11-14</t>
        </is>
      </c>
      <c r="M526" s="5" t="n">
        <v>8650479.609999999</v>
      </c>
      <c r="N526" s="5">
        <f>J526-M526</f>
        <v/>
      </c>
      <c r="O526" s="6">
        <f>IF(F526="INFERIOR",N526/J526,"")</f>
        <v/>
      </c>
      <c r="P526" s="5">
        <f>IF(F526="INFERIOR",O526*MUS_parametros!$B$18,N526)</f>
        <v/>
      </c>
      <c r="Q526" s="4" t="inlineStr">
        <is>
          <t>Documento confere com o registro</t>
        </is>
      </c>
    </row>
    <row r="527">
      <c r="A527" s="4" t="inlineStr">
        <is>
          <t>IMB-0358663</t>
        </is>
      </c>
      <c r="B527" s="4" t="inlineStr">
        <is>
          <t>MAQUINAS_EQUIPAMENTOS</t>
        </is>
      </c>
      <c r="C527" s="4" t="inlineStr">
        <is>
          <t>1.2.03.01.004</t>
        </is>
      </c>
      <c r="D527" s="4" t="inlineStr">
        <is>
          <t>UPGN GUAMARE</t>
        </is>
      </c>
      <c r="E527" s="4" t="inlineStr">
        <is>
          <t>MODULO DE PROCESSAMENTO UPGN III</t>
        </is>
      </c>
      <c r="F527" s="4" t="inlineStr">
        <is>
          <t>INFERIOR</t>
        </is>
      </c>
      <c r="G527" s="4" t="n">
        <v>1</v>
      </c>
      <c r="H527" s="5" t="n">
        <v>4263048906.838174</v>
      </c>
      <c r="I527" s="5" t="n">
        <v>4263055776.070034</v>
      </c>
      <c r="J527" s="5" t="n">
        <v>12208.8</v>
      </c>
      <c r="K527" s="4" t="inlineStr">
        <is>
          <t>S</t>
        </is>
      </c>
      <c r="L527" s="4" t="inlineStr">
        <is>
          <t>2025-09-30</t>
        </is>
      </c>
      <c r="M527" s="5" t="n">
        <v>12208.8</v>
      </c>
      <c r="N527" s="5">
        <f>J527-M527</f>
        <v/>
      </c>
      <c r="O527" s="6">
        <f>IF(F527="INFERIOR",N527/J527,"")</f>
        <v/>
      </c>
      <c r="P527" s="5">
        <f>IF(F527="INFERIOR",O527*MUS_parametros!$B$18,N527)</f>
        <v/>
      </c>
      <c r="Q527" s="4" t="inlineStr">
        <is>
          <t>Documento confere com o registro</t>
        </is>
      </c>
    </row>
    <row r="528">
      <c r="A528" s="4" t="inlineStr">
        <is>
          <t>IMB-0359539</t>
        </is>
      </c>
      <c r="B528" s="4" t="inlineStr">
        <is>
          <t>DESENVOLVIMENTO_CAMPOS</t>
        </is>
      </c>
      <c r="C528" s="4" t="inlineStr">
        <is>
          <t>1.2.03.04.001</t>
        </is>
      </c>
      <c r="D528" s="4" t="inlineStr">
        <is>
          <t>JURITI</t>
        </is>
      </c>
      <c r="E528" s="4" t="inlineStr">
        <is>
          <t>PERFURACAO E COMPLETACAO</t>
        </is>
      </c>
      <c r="F528" s="4" t="inlineStr">
        <is>
          <t>INFERIOR</t>
        </is>
      </c>
      <c r="G528" s="4" t="n">
        <v>1</v>
      </c>
      <c r="H528" s="5" t="n">
        <v>4268781906.838174</v>
      </c>
      <c r="I528" s="5" t="n">
        <v>4269486041.050037</v>
      </c>
      <c r="J528" s="5" t="n">
        <v>761023.02</v>
      </c>
      <c r="K528" s="4" t="inlineStr">
        <is>
          <t>S</t>
        </is>
      </c>
      <c r="L528" s="4" t="inlineStr">
        <is>
          <t>2025-04-22</t>
        </is>
      </c>
      <c r="M528" s="5" t="n">
        <v>761023.02</v>
      </c>
      <c r="N528" s="5">
        <f>J528-M528</f>
        <v/>
      </c>
      <c r="O528" s="6">
        <f>IF(F528="INFERIOR",N528/J528,"")</f>
        <v/>
      </c>
      <c r="P528" s="5">
        <f>IF(F528="INFERIOR",O528*MUS_parametros!$B$18,N528)</f>
        <v/>
      </c>
      <c r="Q528" s="4" t="inlineStr">
        <is>
          <t>Documento confere com o registro</t>
        </is>
      </c>
    </row>
    <row r="529">
      <c r="A529" s="4" t="inlineStr">
        <is>
          <t>IMB-0360268</t>
        </is>
      </c>
      <c r="B529" s="4" t="inlineStr">
        <is>
          <t>ALMOXARIFADO_INVERSOES_FIXAS</t>
        </is>
      </c>
      <c r="C529" s="4" t="inlineStr">
        <is>
          <t>1.2.03.07.001</t>
        </is>
      </c>
      <c r="D529" s="4" t="inlineStr">
        <is>
          <t>ACAJA-BURIZINHO</t>
        </is>
      </c>
      <c r="E529" s="4" t="inlineStr">
        <is>
          <t>TUBO DE REVESTIMENTO/PRODUCAO (LOTE)</t>
        </is>
      </c>
      <c r="F529" s="4" t="inlineStr">
        <is>
          <t>INFERIOR</t>
        </is>
      </c>
      <c r="G529" s="4" t="n">
        <v>1</v>
      </c>
      <c r="H529" s="5" t="n">
        <v>4274514906.838174</v>
      </c>
      <c r="I529" s="5" t="n">
        <v>4274518388.360036</v>
      </c>
      <c r="J529" s="5" t="n">
        <v>11323.19</v>
      </c>
      <c r="K529" s="4" t="inlineStr">
        <is>
          <t>S</t>
        </is>
      </c>
      <c r="L529" s="4" t="inlineStr">
        <is>
          <t>2024-07-08</t>
        </is>
      </c>
      <c r="M529" s="5" t="n">
        <v>11323.19</v>
      </c>
      <c r="N529" s="5">
        <f>J529-M529</f>
        <v/>
      </c>
      <c r="O529" s="6">
        <f>IF(F529="INFERIOR",N529/J529,"")</f>
        <v/>
      </c>
      <c r="P529" s="5">
        <f>IF(F529="INFERIOR",O529*MUS_parametros!$B$18,N529)</f>
        <v/>
      </c>
      <c r="Q529" s="4" t="inlineStr">
        <is>
          <t>Documento confere com o registro</t>
        </is>
      </c>
    </row>
    <row r="530">
      <c r="A530" s="4" t="inlineStr">
        <is>
          <t>IMB-0360929</t>
        </is>
      </c>
      <c r="B530" s="4" t="inlineStr">
        <is>
          <t>DESENVOLVIMENTO_CAMPOS</t>
        </is>
      </c>
      <c r="C530" s="4" t="inlineStr">
        <is>
          <t>1.2.03.04.001</t>
        </is>
      </c>
      <c r="D530" s="4" t="inlineStr">
        <is>
          <t>JACUIPE</t>
        </is>
      </c>
      <c r="E530" s="4" t="inlineStr">
        <is>
          <t>PERFURACAO E COMPLETACAO</t>
        </is>
      </c>
      <c r="F530" s="4" t="inlineStr">
        <is>
          <t>INFERIOR</t>
        </is>
      </c>
      <c r="G530" s="4" t="n">
        <v>1</v>
      </c>
      <c r="H530" s="5" t="n">
        <v>4280247906.838174</v>
      </c>
      <c r="I530" s="5" t="n">
        <v>4280645170.330037</v>
      </c>
      <c r="J530" s="5" t="n">
        <v>1296942</v>
      </c>
      <c r="K530" s="4" t="inlineStr">
        <is>
          <t>S</t>
        </is>
      </c>
      <c r="L530" s="4" t="inlineStr">
        <is>
          <t>2025-08-21</t>
        </is>
      </c>
      <c r="M530" s="5" t="n">
        <v>1296942</v>
      </c>
      <c r="N530" s="5">
        <f>J530-M530</f>
        <v/>
      </c>
      <c r="O530" s="6">
        <f>IF(F530="INFERIOR",N530/J530,"")</f>
        <v/>
      </c>
      <c r="P530" s="5">
        <f>IF(F530="INFERIOR",O530*MUS_parametros!$B$18,N530)</f>
        <v/>
      </c>
      <c r="Q530" s="4" t="inlineStr">
        <is>
          <t>Documento confere com o registro</t>
        </is>
      </c>
    </row>
    <row r="531">
      <c r="A531" s="4" t="inlineStr">
        <is>
          <t>IMB-0361843</t>
        </is>
      </c>
      <c r="B531" s="4" t="inlineStr">
        <is>
          <t>OUTROS</t>
        </is>
      </c>
      <c r="C531" s="4" t="inlineStr">
        <is>
          <t>1.2.03.09.005</t>
        </is>
      </c>
      <c r="D531" s="4" t="inlineStr">
        <is>
          <t>JACUIPE</t>
        </is>
      </c>
      <c r="E531" s="4" t="inlineStr">
        <is>
          <t>VEICULO LEVE</t>
        </is>
      </c>
      <c r="F531" s="4" t="inlineStr">
        <is>
          <t>INFERIOR</t>
        </is>
      </c>
      <c r="G531" s="4" t="n">
        <v>1</v>
      </c>
      <c r="H531" s="5" t="n">
        <v>4285980906.838174</v>
      </c>
      <c r="I531" s="5" t="n">
        <v>4286012372.560031</v>
      </c>
      <c r="J531" s="5" t="n">
        <v>34489.85</v>
      </c>
      <c r="K531" s="4" t="inlineStr">
        <is>
          <t>S</t>
        </is>
      </c>
      <c r="L531" s="4" t="inlineStr">
        <is>
          <t>2018-08-20</t>
        </is>
      </c>
      <c r="M531" s="5" t="n">
        <v>34489.85</v>
      </c>
      <c r="N531" s="5">
        <f>J531-M531</f>
        <v/>
      </c>
      <c r="O531" s="6">
        <f>IF(F531="INFERIOR",N531/J531,"")</f>
        <v/>
      </c>
      <c r="P531" s="5">
        <f>IF(F531="INFERIOR",O531*MUS_parametros!$B$18,N531)</f>
        <v/>
      </c>
      <c r="Q531" s="4" t="inlineStr">
        <is>
          <t>Documento confere com o registro</t>
        </is>
      </c>
    </row>
    <row r="532">
      <c r="A532" s="4" t="inlineStr">
        <is>
          <t>IMB-0362410</t>
        </is>
      </c>
      <c r="B532" s="4" t="inlineStr">
        <is>
          <t>DESENVOLVIMENTO_CAMPOS</t>
        </is>
      </c>
      <c r="C532" s="4" t="inlineStr">
        <is>
          <t>1.2.03.04.001</t>
        </is>
      </c>
      <c r="D532" s="4" t="inlineStr">
        <is>
          <t>POT-CONC-20 (SINTETICO)</t>
        </is>
      </c>
      <c r="E532" s="4" t="inlineStr">
        <is>
          <t>PERFURACAO E COMPLETACAO</t>
        </is>
      </c>
      <c r="F532" s="4" t="inlineStr">
        <is>
          <t>INFERIOR</t>
        </is>
      </c>
      <c r="G532" s="4" t="n">
        <v>1</v>
      </c>
      <c r="H532" s="5" t="n">
        <v>4291713906.838174</v>
      </c>
      <c r="I532" s="5" t="n">
        <v>4292018746.120033</v>
      </c>
      <c r="J532" s="5" t="n">
        <v>410992.26</v>
      </c>
      <c r="K532" s="4" t="inlineStr">
        <is>
          <t>S</t>
        </is>
      </c>
      <c r="L532" s="4" t="inlineStr">
        <is>
          <t>2023-05-06</t>
        </is>
      </c>
      <c r="M532" s="5" t="n">
        <v>410992.26</v>
      </c>
      <c r="N532" s="5">
        <f>J532-M532</f>
        <v/>
      </c>
      <c r="O532" s="6">
        <f>IF(F532="INFERIOR",N532/J532,"")</f>
        <v/>
      </c>
      <c r="P532" s="5">
        <f>IF(F532="INFERIOR",O532*MUS_parametros!$B$18,N532)</f>
        <v/>
      </c>
      <c r="Q532" s="4" t="inlineStr">
        <is>
          <t>Documento confere com o registro</t>
        </is>
      </c>
    </row>
    <row r="533">
      <c r="A533" s="4" t="inlineStr">
        <is>
          <t>IMB-0363079</t>
        </is>
      </c>
      <c r="B533" s="4" t="inlineStr">
        <is>
          <t>DESENVOLVIMENTO_CAMPOS</t>
        </is>
      </c>
      <c r="C533" s="4" t="inlineStr">
        <is>
          <t>1.2.03.04.001</t>
        </is>
      </c>
      <c r="D533" s="4" t="inlineStr">
        <is>
          <t>POT-CONC-19 (SINTETICO)</t>
        </is>
      </c>
      <c r="E533" s="4" t="inlineStr">
        <is>
          <t>PERFURACAO E COMPLETACAO</t>
        </is>
      </c>
      <c r="F533" s="4" t="inlineStr">
        <is>
          <t>INFERIOR</t>
        </is>
      </c>
      <c r="G533" s="4" t="n">
        <v>1</v>
      </c>
      <c r="H533" s="5" t="n">
        <v>4297446906.838175</v>
      </c>
      <c r="I533" s="5" t="n">
        <v>4297534546.860024</v>
      </c>
      <c r="J533" s="5" t="n">
        <v>355462.44</v>
      </c>
      <c r="K533" s="4" t="inlineStr">
        <is>
          <t>S</t>
        </is>
      </c>
      <c r="L533" s="4" t="inlineStr">
        <is>
          <t>2024-04-15</t>
        </is>
      </c>
      <c r="M533" s="5" t="n">
        <v>355462.44</v>
      </c>
      <c r="N533" s="5">
        <f>J533-M533</f>
        <v/>
      </c>
      <c r="O533" s="6">
        <f>IF(F533="INFERIOR",N533/J533,"")</f>
        <v/>
      </c>
      <c r="P533" s="5">
        <f>IF(F533="INFERIOR",O533*MUS_parametros!$B$18,N533)</f>
        <v/>
      </c>
      <c r="Q533" s="4" t="inlineStr">
        <is>
          <t>Documento confere com o registro</t>
        </is>
      </c>
    </row>
    <row r="534">
      <c r="A534" s="4" t="inlineStr">
        <is>
          <t>IMB-0363954</t>
        </is>
      </c>
      <c r="B534" s="4" t="inlineStr">
        <is>
          <t>DESENVOLVIMENTO_CAMPOS</t>
        </is>
      </c>
      <c r="C534" s="4" t="inlineStr">
        <is>
          <t>1.2.03.04.002</t>
        </is>
      </c>
      <c r="D534" s="4" t="inlineStr">
        <is>
          <t>TARTARUGA</t>
        </is>
      </c>
      <c r="E534" s="4" t="inlineStr">
        <is>
          <t>WORKOVER / RECOMPLETACAO CAPITALIZADO</t>
        </is>
      </c>
      <c r="F534" s="4" t="inlineStr">
        <is>
          <t>INFERIOR</t>
        </is>
      </c>
      <c r="G534" s="4" t="n">
        <v>1</v>
      </c>
      <c r="H534" s="5" t="n">
        <v>4303179906.838175</v>
      </c>
      <c r="I534" s="5" t="n">
        <v>4303245607.740024</v>
      </c>
      <c r="J534" s="5" t="n">
        <v>259001.87</v>
      </c>
      <c r="K534" s="4" t="inlineStr">
        <is>
          <t>S</t>
        </is>
      </c>
      <c r="L534" s="4" t="inlineStr">
        <is>
          <t>2025-12-19</t>
        </is>
      </c>
      <c r="M534" s="5" t="n">
        <v>259001.87</v>
      </c>
      <c r="N534" s="5">
        <f>J534-M534</f>
        <v/>
      </c>
      <c r="O534" s="6">
        <f>IF(F534="INFERIOR",N534/J534,"")</f>
        <v/>
      </c>
      <c r="P534" s="5">
        <f>IF(F534="INFERIOR",O534*MUS_parametros!$B$18,N534)</f>
        <v/>
      </c>
      <c r="Q534" s="4" t="inlineStr">
        <is>
          <t>Documento confere com o registro</t>
        </is>
      </c>
    </row>
    <row r="535">
      <c r="A535" s="4" t="inlineStr">
        <is>
          <t>IMB-0364499</t>
        </is>
      </c>
      <c r="B535" s="4" t="inlineStr">
        <is>
          <t>DESENVOLVIMENTO_CAMPOS</t>
        </is>
      </c>
      <c r="C535" s="4" t="inlineStr">
        <is>
          <t>1.2.03.04.001</t>
        </is>
      </c>
      <c r="D535" s="4" t="inlineStr">
        <is>
          <t>POT-CONC-10 (SINTETICO)</t>
        </is>
      </c>
      <c r="E535" s="4" t="inlineStr">
        <is>
          <t>PERFURACAO E COMPLETACAO</t>
        </is>
      </c>
      <c r="F535" s="4" t="inlineStr">
        <is>
          <t>INFERIOR</t>
        </is>
      </c>
      <c r="G535" s="4" t="n">
        <v>1</v>
      </c>
      <c r="H535" s="5" t="n">
        <v>4308912906.838175</v>
      </c>
      <c r="I535" s="5" t="n">
        <v>4309032879.920017</v>
      </c>
      <c r="J535" s="5" t="n">
        <v>128217.15</v>
      </c>
      <c r="K535" s="4" t="inlineStr">
        <is>
          <t>S</t>
        </is>
      </c>
      <c r="L535" s="4" t="inlineStr">
        <is>
          <t>2024-12-06</t>
        </is>
      </c>
      <c r="M535" s="5" t="n">
        <v>128217.15</v>
      </c>
      <c r="N535" s="5">
        <f>J535-M535</f>
        <v/>
      </c>
      <c r="O535" s="6">
        <f>IF(F535="INFERIOR",N535/J535,"")</f>
        <v/>
      </c>
      <c r="P535" s="5">
        <f>IF(F535="INFERIOR",O535*MUS_parametros!$B$18,N535)</f>
        <v/>
      </c>
      <c r="Q535" s="4" t="inlineStr">
        <is>
          <t>Documento confere com o registro</t>
        </is>
      </c>
    </row>
    <row r="536">
      <c r="A536" s="4" t="inlineStr">
        <is>
          <t>IMB-0365488</t>
        </is>
      </c>
      <c r="B536" s="4" t="inlineStr">
        <is>
          <t>DESENVOLVIMENTO_CAMPOS</t>
        </is>
      </c>
      <c r="C536" s="4" t="inlineStr">
        <is>
          <t>1.2.03.04.003</t>
        </is>
      </c>
      <c r="D536" s="4" t="inlineStr">
        <is>
          <t>JACUIPE</t>
        </is>
      </c>
      <c r="E536" s="4" t="inlineStr">
        <is>
          <t>COLUNA DE PRODUCAO E HASTES</t>
        </is>
      </c>
      <c r="F536" s="4" t="inlineStr">
        <is>
          <t>INFERIOR</t>
        </is>
      </c>
      <c r="G536" s="4" t="n">
        <v>1</v>
      </c>
      <c r="H536" s="5" t="n">
        <v>4314645906.838175</v>
      </c>
      <c r="I536" s="5" t="n">
        <v>4314646083.090024</v>
      </c>
      <c r="J536" s="5" t="n">
        <v>189.51</v>
      </c>
      <c r="K536" s="4" t="inlineStr">
        <is>
          <t>S</t>
        </is>
      </c>
      <c r="L536" s="4" t="inlineStr">
        <is>
          <t>2025-04-08</t>
        </is>
      </c>
      <c r="M536" s="5" t="n">
        <v>189.51</v>
      </c>
      <c r="N536" s="5">
        <f>J536-M536</f>
        <v/>
      </c>
      <c r="O536" s="6">
        <f>IF(F536="INFERIOR",N536/J536,"")</f>
        <v/>
      </c>
      <c r="P536" s="5">
        <f>IF(F536="INFERIOR",O536*MUS_parametros!$B$18,N536)</f>
        <v/>
      </c>
      <c r="Q536" s="4" t="inlineStr">
        <is>
          <t>Documento confere com o registro</t>
        </is>
      </c>
    </row>
    <row r="537">
      <c r="A537" s="4" t="inlineStr">
        <is>
          <t>IMB-0366080</t>
        </is>
      </c>
      <c r="B537" s="4" t="inlineStr">
        <is>
          <t>DESENVOLVIMENTO_CAMPOS</t>
        </is>
      </c>
      <c r="C537" s="4" t="inlineStr">
        <is>
          <t>1.2.03.04.001</t>
        </is>
      </c>
      <c r="D537" s="4" t="inlineStr">
        <is>
          <t>POT-CONC-13 (SINTETICO)</t>
        </is>
      </c>
      <c r="E537" s="4" t="inlineStr">
        <is>
          <t>PERFURACAO E COMPLETACAO</t>
        </is>
      </c>
      <c r="F537" s="4" t="inlineStr">
        <is>
          <t>INFERIOR</t>
        </is>
      </c>
      <c r="G537" s="4" t="n">
        <v>1</v>
      </c>
      <c r="H537" s="5" t="n">
        <v>4320378906.838175</v>
      </c>
      <c r="I537" s="5" t="n">
        <v>4320506394.500033</v>
      </c>
      <c r="J537" s="5" t="n">
        <v>131943.86</v>
      </c>
      <c r="K537" s="4" t="inlineStr">
        <is>
          <t>S</t>
        </is>
      </c>
      <c r="L537" s="4" t="inlineStr">
        <is>
          <t>2025-07-31</t>
        </is>
      </c>
      <c r="M537" s="5" t="n">
        <v>131943.86</v>
      </c>
      <c r="N537" s="5">
        <f>J537-M537</f>
        <v/>
      </c>
      <c r="O537" s="6">
        <f>IF(F537="INFERIOR",N537/J537,"")</f>
        <v/>
      </c>
      <c r="P537" s="5">
        <f>IF(F537="INFERIOR",O537*MUS_parametros!$B$18,N537)</f>
        <v/>
      </c>
      <c r="Q537" s="4" t="inlineStr">
        <is>
          <t>Documento confere com o registro</t>
        </is>
      </c>
    </row>
    <row r="538">
      <c r="A538" s="4" t="inlineStr">
        <is>
          <t>IMB-0366723</t>
        </is>
      </c>
      <c r="B538" s="4" t="inlineStr">
        <is>
          <t>DESENVOLVIMENTO_CAMPOS</t>
        </is>
      </c>
      <c r="C538" s="4" t="inlineStr">
        <is>
          <t>1.2.03.04.004</t>
        </is>
      </c>
      <c r="D538" s="4" t="inlineStr">
        <is>
          <t>POT-CONC-05 (SINTETICO)</t>
        </is>
      </c>
      <c r="E538" s="4" t="inlineStr">
        <is>
          <t>LINHA DE SURGENCIA E MANIFOLD</t>
        </is>
      </c>
      <c r="F538" s="4" t="inlineStr">
        <is>
          <t>INFERIOR</t>
        </is>
      </c>
      <c r="G538" s="4" t="n">
        <v>1</v>
      </c>
      <c r="H538" s="5" t="n">
        <v>4326111906.838175</v>
      </c>
      <c r="I538" s="5" t="n">
        <v>4326112030.110031</v>
      </c>
      <c r="J538" s="5" t="n">
        <v>5458.56</v>
      </c>
      <c r="K538" s="4" t="inlineStr">
        <is>
          <t>S</t>
        </is>
      </c>
      <c r="L538" s="4" t="inlineStr">
        <is>
          <t>2024-10-28</t>
        </is>
      </c>
      <c r="M538" s="5" t="n">
        <v>5458.56</v>
      </c>
      <c r="N538" s="5">
        <f>J538-M538</f>
        <v/>
      </c>
      <c r="O538" s="6">
        <f>IF(F538="INFERIOR",N538/J538,"")</f>
        <v/>
      </c>
      <c r="P538" s="5">
        <f>IF(F538="INFERIOR",O538*MUS_parametros!$B$18,N538)</f>
        <v/>
      </c>
      <c r="Q538" s="4" t="inlineStr">
        <is>
          <t>Documento confere com o registro</t>
        </is>
      </c>
    </row>
    <row r="539">
      <c r="A539" s="4" t="inlineStr">
        <is>
          <t>IMB-0367313</t>
        </is>
      </c>
      <c r="B539" s="4" t="inlineStr">
        <is>
          <t>DIREITO_PRODUCAO_OLEO_GAS</t>
        </is>
      </c>
      <c r="C539" s="4" t="inlineStr">
        <is>
          <t>1.2.03.03.004</t>
        </is>
      </c>
      <c r="D539" s="4" t="inlineStr">
        <is>
          <t>POT-CONC-01 (SINTETICO)</t>
        </is>
      </c>
      <c r="E539" s="4" t="inlineStr">
        <is>
          <t>CUSTO DE AQUISICAO DA CONCESSAO</t>
        </is>
      </c>
      <c r="F539" s="4" t="inlineStr">
        <is>
          <t>SUPERIOR (VC &gt;= I)</t>
        </is>
      </c>
      <c r="G539" s="4" t="n">
        <v>14</v>
      </c>
      <c r="H539" s="5" t="n">
        <v>4331844906.838175</v>
      </c>
      <c r="I539" s="5" t="n">
        <v>4409255038.31003</v>
      </c>
      <c r="J539" s="5" t="n">
        <v>78494581.12</v>
      </c>
      <c r="K539" s="4" t="inlineStr">
        <is>
          <t>S</t>
        </is>
      </c>
      <c r="L539" s="4" t="inlineStr">
        <is>
          <t>2019-12-09</t>
        </is>
      </c>
      <c r="M539" s="5" t="n">
        <v>78494581.12</v>
      </c>
      <c r="N539" s="5">
        <f>J539-M539</f>
        <v/>
      </c>
      <c r="O539" s="6">
        <f>IF(F539="INFERIOR",N539/J539,"")</f>
        <v/>
      </c>
      <c r="P539" s="5">
        <f>IF(F539="INFERIOR",O539*MUS_parametros!$B$18,N539)</f>
        <v/>
      </c>
      <c r="Q539" s="4" t="inlineStr">
        <is>
          <t>Documento confere com o registro</t>
        </is>
      </c>
    </row>
    <row r="540">
      <c r="A540" s="4" t="inlineStr">
        <is>
          <t>IMB-0367757</t>
        </is>
      </c>
      <c r="B540" s="4" t="inlineStr">
        <is>
          <t>ALMOXARIFADO_INVERSOES_FIXAS</t>
        </is>
      </c>
      <c r="C540" s="4" t="inlineStr">
        <is>
          <t>1.2.03.07.001</t>
        </is>
      </c>
      <c r="D540" s="4" t="inlineStr">
        <is>
          <t>POT-CONC-20 (SINTETICO)</t>
        </is>
      </c>
      <c r="E540" s="4" t="inlineStr">
        <is>
          <t>TUBO DE REVESTIMENTO/PRODUCAO (LOTE)</t>
        </is>
      </c>
      <c r="F540" s="4" t="inlineStr">
        <is>
          <t>INFERIOR</t>
        </is>
      </c>
      <c r="G540" s="4" t="n">
        <v>1</v>
      </c>
      <c r="H540" s="5" t="n">
        <v>4412106906.838175</v>
      </c>
      <c r="I540" s="5" t="n">
        <v>4412138400.190033</v>
      </c>
      <c r="J540" s="5" t="n">
        <v>31870.25</v>
      </c>
      <c r="K540" s="4" t="inlineStr">
        <is>
          <t>S</t>
        </is>
      </c>
      <c r="L540" s="4" t="inlineStr">
        <is>
          <t>2024-08-08</t>
        </is>
      </c>
      <c r="M540" s="5" t="n">
        <v>31870.25</v>
      </c>
      <c r="N540" s="5">
        <f>J540-M540</f>
        <v/>
      </c>
      <c r="O540" s="6">
        <f>IF(F540="INFERIOR",N540/J540,"")</f>
        <v/>
      </c>
      <c r="P540" s="5">
        <f>IF(F540="INFERIOR",O540*MUS_parametros!$B$18,N540)</f>
        <v/>
      </c>
      <c r="Q540" s="4" t="inlineStr">
        <is>
          <t>Documento confere com o registro</t>
        </is>
      </c>
    </row>
    <row r="541">
      <c r="A541" s="4" t="inlineStr">
        <is>
          <t>IMB-0368177</t>
        </is>
      </c>
      <c r="B541" s="4" t="inlineStr">
        <is>
          <t>DESENVOLVIMENTO_CAMPOS</t>
        </is>
      </c>
      <c r="C541" s="4" t="inlineStr">
        <is>
          <t>1.2.03.04.001</t>
        </is>
      </c>
      <c r="D541" s="4" t="inlineStr">
        <is>
          <t>MATA DE SAO JOAO</t>
        </is>
      </c>
      <c r="E541" s="4" t="inlineStr">
        <is>
          <t>PERFURACAO E COMPLETACAO</t>
        </is>
      </c>
      <c r="F541" s="4" t="inlineStr">
        <is>
          <t>INFERIOR</t>
        </is>
      </c>
      <c r="G541" s="4" t="n">
        <v>1</v>
      </c>
      <c r="H541" s="5" t="n">
        <v>4417839906.838175</v>
      </c>
      <c r="I541" s="5" t="n">
        <v>4417877185.420039</v>
      </c>
      <c r="J541" s="5" t="n">
        <v>56086.55</v>
      </c>
      <c r="K541" s="4" t="inlineStr">
        <is>
          <t>S</t>
        </is>
      </c>
      <c r="L541" s="4" t="inlineStr">
        <is>
          <t>2025-09-29</t>
        </is>
      </c>
      <c r="M541" s="5" t="n">
        <v>56086.55</v>
      </c>
      <c r="N541" s="5">
        <f>J541-M541</f>
        <v/>
      </c>
      <c r="O541" s="6">
        <f>IF(F541="INFERIOR",N541/J541,"")</f>
        <v/>
      </c>
      <c r="P541" s="5">
        <f>IF(F541="INFERIOR",O541*MUS_parametros!$B$18,N541)</f>
        <v/>
      </c>
      <c r="Q541" s="4" t="inlineStr">
        <is>
          <t>Documento confere com o registro</t>
        </is>
      </c>
    </row>
    <row r="542">
      <c r="A542" s="4" t="inlineStr">
        <is>
          <t>IMB-0368710</t>
        </is>
      </c>
      <c r="B542" s="4" t="inlineStr">
        <is>
          <t>DESENVOLVIMENTO_CAMPOS</t>
        </is>
      </c>
      <c r="C542" s="4" t="inlineStr">
        <is>
          <t>1.2.03.04.001</t>
        </is>
      </c>
      <c r="D542" s="4" t="inlineStr">
        <is>
          <t>POT-CONC-12 (SINTETICO)</t>
        </is>
      </c>
      <c r="E542" s="4" t="inlineStr">
        <is>
          <t>PERFURACAO E COMPLETACAO</t>
        </is>
      </c>
      <c r="F542" s="4" t="inlineStr">
        <is>
          <t>INFERIOR</t>
        </is>
      </c>
      <c r="G542" s="4" t="n">
        <v>1</v>
      </c>
      <c r="H542" s="5" t="n">
        <v>4423572906.838175</v>
      </c>
      <c r="I542" s="5" t="n">
        <v>4423643828.980034</v>
      </c>
      <c r="J542" s="5" t="n">
        <v>189738.77</v>
      </c>
      <c r="K542" s="4" t="inlineStr">
        <is>
          <t>S</t>
        </is>
      </c>
      <c r="L542" s="4" t="inlineStr">
        <is>
          <t>2025-12-27</t>
        </is>
      </c>
      <c r="M542" s="5" t="n">
        <v>189738.77</v>
      </c>
      <c r="N542" s="5">
        <f>J542-M542</f>
        <v/>
      </c>
      <c r="O542" s="6">
        <f>IF(F542="INFERIOR",N542/J542,"")</f>
        <v/>
      </c>
      <c r="P542" s="5">
        <f>IF(F542="INFERIOR",O542*MUS_parametros!$B$18,N542)</f>
        <v/>
      </c>
      <c r="Q542" s="4" t="inlineStr">
        <is>
          <t>Documento confere com o registro</t>
        </is>
      </c>
    </row>
    <row r="543">
      <c r="A543" s="4" t="inlineStr">
        <is>
          <t>IMB-0368720</t>
        </is>
      </c>
      <c r="B543" s="4" t="inlineStr">
        <is>
          <t>DIREITO_PRODUCAO_OLEO_GAS</t>
        </is>
      </c>
      <c r="C543" s="4" t="inlineStr">
        <is>
          <t>1.2.03.03.004</t>
        </is>
      </c>
      <c r="D543" s="4" t="inlineStr">
        <is>
          <t>POT-CONC-13 (SINTETICO)</t>
        </is>
      </c>
      <c r="E543" s="4" t="inlineStr">
        <is>
          <t>CUSTO DE AQUISICAO DA CONCESSAO</t>
        </is>
      </c>
      <c r="F543" s="4" t="inlineStr">
        <is>
          <t>SUPERIOR (VC &gt;= I)</t>
        </is>
      </c>
      <c r="G543" s="4" t="n">
        <v>1</v>
      </c>
      <c r="H543" s="5" t="n">
        <v>4429305906.838175</v>
      </c>
      <c r="I543" s="5" t="n">
        <v>4432541282.370035</v>
      </c>
      <c r="J543" s="5" t="n">
        <v>8885729.720000001</v>
      </c>
      <c r="K543" s="4" t="inlineStr">
        <is>
          <t>S</t>
        </is>
      </c>
      <c r="L543" s="4" t="inlineStr">
        <is>
          <t>2019-12-09</t>
        </is>
      </c>
      <c r="M543" s="5" t="n">
        <v>8885729.720000001</v>
      </c>
      <c r="N543" s="5">
        <f>J543-M543</f>
        <v/>
      </c>
      <c r="O543" s="6">
        <f>IF(F543="INFERIOR",N543/J543,"")</f>
        <v/>
      </c>
      <c r="P543" s="5">
        <f>IF(F543="INFERIOR",O543*MUS_parametros!$B$18,N543)</f>
        <v/>
      </c>
      <c r="Q543" s="4" t="inlineStr">
        <is>
          <t>Documento confere com o registro</t>
        </is>
      </c>
    </row>
    <row r="544">
      <c r="A544" s="4" t="inlineStr">
        <is>
          <t>IMB-0369138</t>
        </is>
      </c>
      <c r="B544" s="4" t="inlineStr">
        <is>
          <t>DESENVOLVIMENTO_CAMPOS</t>
        </is>
      </c>
      <c r="C544" s="4" t="inlineStr">
        <is>
          <t>1.2.03.04.001</t>
        </is>
      </c>
      <c r="D544" s="4" t="inlineStr">
        <is>
          <t>MATA DE SAO JOAO</t>
        </is>
      </c>
      <c r="E544" s="4" t="inlineStr">
        <is>
          <t>PERFURACAO E COMPLETACAO</t>
        </is>
      </c>
      <c r="F544" s="4" t="inlineStr">
        <is>
          <t>INFERIOR</t>
        </is>
      </c>
      <c r="G544" s="4" t="n">
        <v>1</v>
      </c>
      <c r="H544" s="5" t="n">
        <v>4435038906.838175</v>
      </c>
      <c r="I544" s="5" t="n">
        <v>4435090745.120033</v>
      </c>
      <c r="J544" s="5" t="n">
        <v>103961.62</v>
      </c>
      <c r="K544" s="4" t="inlineStr">
        <is>
          <t>S</t>
        </is>
      </c>
      <c r="L544" s="4" t="inlineStr">
        <is>
          <t>2024-08-03</t>
        </is>
      </c>
      <c r="M544" s="5" t="n">
        <v>103961.62</v>
      </c>
      <c r="N544" s="5">
        <f>J544-M544</f>
        <v/>
      </c>
      <c r="O544" s="6">
        <f>IF(F544="INFERIOR",N544/J544,"")</f>
        <v/>
      </c>
      <c r="P544" s="5">
        <f>IF(F544="INFERIOR",O544*MUS_parametros!$B$18,N544)</f>
        <v/>
      </c>
      <c r="Q544" s="4" t="inlineStr">
        <is>
          <t>Documento confere com o registro</t>
        </is>
      </c>
    </row>
    <row r="545">
      <c r="A545" s="4" t="inlineStr">
        <is>
          <t>IMB-0369857</t>
        </is>
      </c>
      <c r="B545" s="4" t="inlineStr">
        <is>
          <t>DESENVOLVIMENTO_CAMPOS</t>
        </is>
      </c>
      <c r="C545" s="4" t="inlineStr">
        <is>
          <t>1.2.03.04.001</t>
        </is>
      </c>
      <c r="D545" s="4" t="inlineStr">
        <is>
          <t>LAGOA DO PAULO SUL</t>
        </is>
      </c>
      <c r="E545" s="4" t="inlineStr">
        <is>
          <t>PERFURACAO E COMPLETACAO</t>
        </is>
      </c>
      <c r="F545" s="4" t="inlineStr">
        <is>
          <t>INFERIOR</t>
        </is>
      </c>
      <c r="G545" s="4" t="n">
        <v>1</v>
      </c>
      <c r="H545" s="5" t="n">
        <v>4440771906.838175</v>
      </c>
      <c r="I545" s="5" t="n">
        <v>4440812585.850037</v>
      </c>
      <c r="J545" s="5" t="n">
        <v>605923.27</v>
      </c>
      <c r="K545" s="4" t="inlineStr">
        <is>
          <t>S</t>
        </is>
      </c>
      <c r="L545" s="4" t="inlineStr">
        <is>
          <t>2025-01-29</t>
        </is>
      </c>
      <c r="M545" s="5" t="n">
        <v>605923.27</v>
      </c>
      <c r="N545" s="5">
        <f>J545-M545</f>
        <v/>
      </c>
      <c r="O545" s="6">
        <f>IF(F545="INFERIOR",N545/J545,"")</f>
        <v/>
      </c>
      <c r="P545" s="5">
        <f>IF(F545="INFERIOR",O545*MUS_parametros!$B$18,N545)</f>
        <v/>
      </c>
      <c r="Q545" s="4" t="inlineStr">
        <is>
          <t>Documento confere com o registro</t>
        </is>
      </c>
    </row>
    <row r="546">
      <c r="A546" s="4" t="inlineStr">
        <is>
          <t>IMB-0370574</t>
        </is>
      </c>
      <c r="B546" s="4" t="inlineStr">
        <is>
          <t>DESENVOLVIMENTO_CAMPOS</t>
        </is>
      </c>
      <c r="C546" s="4" t="inlineStr">
        <is>
          <t>1.2.03.04.001</t>
        </is>
      </c>
      <c r="D546" s="4" t="inlineStr">
        <is>
          <t>POT-CONC-01 (SINTETICO)</t>
        </is>
      </c>
      <c r="E546" s="4" t="inlineStr">
        <is>
          <t>PERFURACAO E COMPLETACAO</t>
        </is>
      </c>
      <c r="F546" s="4" t="inlineStr">
        <is>
          <t>INFERIOR</t>
        </is>
      </c>
      <c r="G546" s="4" t="n">
        <v>1</v>
      </c>
      <c r="H546" s="5" t="n">
        <v>4446504906.838175</v>
      </c>
      <c r="I546" s="5" t="n">
        <v>4446622973.730022</v>
      </c>
      <c r="J546" s="5" t="n">
        <v>162731.6</v>
      </c>
      <c r="K546" s="4" t="inlineStr">
        <is>
          <t>S</t>
        </is>
      </c>
      <c r="L546" s="4" t="inlineStr">
        <is>
          <t>2025-07-18</t>
        </is>
      </c>
      <c r="M546" s="5" t="n">
        <v>162731.6</v>
      </c>
      <c r="N546" s="5">
        <f>J546-M546</f>
        <v/>
      </c>
      <c r="O546" s="6">
        <f>IF(F546="INFERIOR",N546/J546,"")</f>
        <v/>
      </c>
      <c r="P546" s="5">
        <f>IF(F546="INFERIOR",O546*MUS_parametros!$B$18,N546)</f>
        <v/>
      </c>
      <c r="Q546" s="4" t="inlineStr">
        <is>
          <t>Documento confere com o registro</t>
        </is>
      </c>
    </row>
    <row r="547">
      <c r="A547" s="4" t="inlineStr">
        <is>
          <t>IMB-0371161</t>
        </is>
      </c>
      <c r="B547" s="4" t="inlineStr">
        <is>
          <t>DESENVOLVIMENTO_CAMPOS</t>
        </is>
      </c>
      <c r="C547" s="4" t="inlineStr">
        <is>
          <t>1.2.03.04.005</t>
        </is>
      </c>
      <c r="D547" s="4" t="inlineStr">
        <is>
          <t>TARTARUGA</t>
        </is>
      </c>
      <c r="E547" s="4" t="inlineStr">
        <is>
          <t>CONVERSAO EM POCO INJETOR</t>
        </is>
      </c>
      <c r="F547" s="4" t="inlineStr">
        <is>
          <t>INFERIOR</t>
        </is>
      </c>
      <c r="G547" s="4" t="n">
        <v>1</v>
      </c>
      <c r="H547" s="5" t="n">
        <v>4452237906.838175</v>
      </c>
      <c r="I547" s="5" t="n">
        <v>4452287605.46003</v>
      </c>
      <c r="J547" s="5" t="n">
        <v>799205.1800000001</v>
      </c>
      <c r="K547" s="4" t="inlineStr">
        <is>
          <t>S</t>
        </is>
      </c>
      <c r="L547" s="4" t="inlineStr">
        <is>
          <t>2025-11-29</t>
        </is>
      </c>
      <c r="M547" s="5" t="n">
        <v>799205.1800000001</v>
      </c>
      <c r="N547" s="5">
        <f>J547-M547</f>
        <v/>
      </c>
      <c r="O547" s="6">
        <f>IF(F547="INFERIOR",N547/J547,"")</f>
        <v/>
      </c>
      <c r="P547" s="5">
        <f>IF(F547="INFERIOR",O547*MUS_parametros!$B$18,N547)</f>
        <v/>
      </c>
      <c r="Q547" s="4" t="inlineStr">
        <is>
          <t>Documento confere com o registro</t>
        </is>
      </c>
    </row>
    <row r="548">
      <c r="A548" s="4" t="inlineStr">
        <is>
          <t>IMB-0372177</t>
        </is>
      </c>
      <c r="B548" s="4" t="inlineStr">
        <is>
          <t>DESENVOLVIMENTO_CAMPOS</t>
        </is>
      </c>
      <c r="C548" s="4" t="inlineStr">
        <is>
          <t>1.2.03.04.001</t>
        </is>
      </c>
      <c r="D548" s="4" t="inlineStr">
        <is>
          <t>JACUIPE</t>
        </is>
      </c>
      <c r="E548" s="4" t="inlineStr">
        <is>
          <t>PERFURACAO E COMPLETACAO</t>
        </is>
      </c>
      <c r="F548" s="4" t="inlineStr">
        <is>
          <t>INFERIOR</t>
        </is>
      </c>
      <c r="G548" s="4" t="n">
        <v>1</v>
      </c>
      <c r="H548" s="5" t="n">
        <v>4457970906.838175</v>
      </c>
      <c r="I548" s="5" t="n">
        <v>4458032560.320033</v>
      </c>
      <c r="J548" s="5" t="n">
        <v>104626.52</v>
      </c>
      <c r="K548" s="4" t="inlineStr">
        <is>
          <t>S</t>
        </is>
      </c>
      <c r="L548" s="4" t="inlineStr">
        <is>
          <t>2025-01-20</t>
        </is>
      </c>
      <c r="M548" s="5" t="n">
        <v>104626.52</v>
      </c>
      <c r="N548" s="5">
        <f>J548-M548</f>
        <v/>
      </c>
      <c r="O548" s="6">
        <f>IF(F548="INFERIOR",N548/J548,"")</f>
        <v/>
      </c>
      <c r="P548" s="5">
        <f>IF(F548="INFERIOR",O548*MUS_parametros!$B$18,N548)</f>
        <v/>
      </c>
      <c r="Q548" s="4" t="inlineStr">
        <is>
          <t>Documento confere com o registro</t>
        </is>
      </c>
    </row>
    <row r="549">
      <c r="A549" s="4" t="inlineStr">
        <is>
          <t>IMB-0372876</t>
        </is>
      </c>
      <c r="B549" s="4" t="inlineStr">
        <is>
          <t>DESENVOLVIMENTO_CAMPOS</t>
        </is>
      </c>
      <c r="C549" s="4" t="inlineStr">
        <is>
          <t>1.2.03.04.001</t>
        </is>
      </c>
      <c r="D549" s="4" t="inlineStr">
        <is>
          <t>JACUIPE</t>
        </is>
      </c>
      <c r="E549" s="4" t="inlineStr">
        <is>
          <t>PERFURACAO E COMPLETACAO</t>
        </is>
      </c>
      <c r="F549" s="4" t="inlineStr">
        <is>
          <t>INFERIOR</t>
        </is>
      </c>
      <c r="G549" s="4" t="n">
        <v>1</v>
      </c>
      <c r="H549" s="5" t="n">
        <v>4463703906.838175</v>
      </c>
      <c r="I549" s="5" t="n">
        <v>4463717309.000026</v>
      </c>
      <c r="J549" s="5" t="n">
        <v>14615.85</v>
      </c>
      <c r="K549" s="4" t="inlineStr">
        <is>
          <t>S</t>
        </is>
      </c>
      <c r="L549" s="4" t="inlineStr">
        <is>
          <t>2023-09-22</t>
        </is>
      </c>
      <c r="M549" s="5" t="n">
        <v>14615.85</v>
      </c>
      <c r="N549" s="5">
        <f>J549-M549</f>
        <v/>
      </c>
      <c r="O549" s="6">
        <f>IF(F549="INFERIOR",N549/J549,"")</f>
        <v/>
      </c>
      <c r="P549" s="5">
        <f>IF(F549="INFERIOR",O549*MUS_parametros!$B$18,N549)</f>
        <v/>
      </c>
      <c r="Q549" s="4" t="inlineStr">
        <is>
          <t>Documento confere com o registro</t>
        </is>
      </c>
    </row>
    <row r="550">
      <c r="A550" s="4" t="inlineStr">
        <is>
          <t>IMB-0373372</t>
        </is>
      </c>
      <c r="B550" s="4" t="inlineStr">
        <is>
          <t>DIREITO_PRODUCAO_OLEO_GAS</t>
        </is>
      </c>
      <c r="C550" s="4" t="inlineStr">
        <is>
          <t>1.2.03.03.003</t>
        </is>
      </c>
      <c r="D550" s="4" t="inlineStr">
        <is>
          <t>RIO PIPIRI</t>
        </is>
      </c>
      <c r="E550" s="4" t="inlineStr">
        <is>
          <t>CUSTO DE AQUISICAO DA CONCESSAO</t>
        </is>
      </c>
      <c r="F550" s="4" t="inlineStr">
        <is>
          <t>SUPERIOR (VC &gt;= I)</t>
        </is>
      </c>
      <c r="G550" s="4" t="n">
        <v>4</v>
      </c>
      <c r="H550" s="5" t="n">
        <v>4469436906.838175</v>
      </c>
      <c r="I550" s="5" t="n">
        <v>4490510969.800031</v>
      </c>
      <c r="J550" s="5" t="n">
        <v>24349342.89</v>
      </c>
      <c r="K550" s="4" t="inlineStr">
        <is>
          <t>S</t>
        </is>
      </c>
      <c r="L550" s="4" t="inlineStr">
        <is>
          <t>2021-12-07</t>
        </is>
      </c>
      <c r="M550" s="5" t="n">
        <v>24349342.89</v>
      </c>
      <c r="N550" s="5">
        <f>J550-M550</f>
        <v/>
      </c>
      <c r="O550" s="6">
        <f>IF(F550="INFERIOR",N550/J550,"")</f>
        <v/>
      </c>
      <c r="P550" s="5">
        <f>IF(F550="INFERIOR",O550*MUS_parametros!$B$18,N550)</f>
        <v/>
      </c>
      <c r="Q550" s="4" t="inlineStr">
        <is>
          <t>Documento confere com o registro</t>
        </is>
      </c>
    </row>
    <row r="551">
      <c r="A551" s="4" t="inlineStr">
        <is>
          <t>IMB-0373735</t>
        </is>
      </c>
      <c r="B551" s="4" t="inlineStr">
        <is>
          <t>MAQUINAS_EQUIPAMENTOS</t>
        </is>
      </c>
      <c r="C551" s="4" t="inlineStr">
        <is>
          <t>1.2.03.01.004</t>
        </is>
      </c>
      <c r="D551" s="4" t="inlineStr">
        <is>
          <t>UPGN GUAMARE</t>
        </is>
      </c>
      <c r="E551" s="4" t="inlineStr">
        <is>
          <t>GASODUTO DE INTERLIGACAO (TRECHO)</t>
        </is>
      </c>
      <c r="F551" s="4" t="inlineStr">
        <is>
          <t>INFERIOR</t>
        </is>
      </c>
      <c r="G551" s="4" t="n">
        <v>1</v>
      </c>
      <c r="H551" s="5" t="n">
        <v>4492368906.838175</v>
      </c>
      <c r="I551" s="5" t="n">
        <v>4492504433.970033</v>
      </c>
      <c r="J551" s="5" t="n">
        <v>255509.67</v>
      </c>
      <c r="K551" s="4" t="inlineStr">
        <is>
          <t>S</t>
        </is>
      </c>
      <c r="L551" s="4" t="inlineStr">
        <is>
          <t>2025-09-30</t>
        </is>
      </c>
      <c r="M551" s="5" t="n">
        <v>255509.67</v>
      </c>
      <c r="N551" s="5">
        <f>J551-M551</f>
        <v/>
      </c>
      <c r="O551" s="6">
        <f>IF(F551="INFERIOR",N551/J551,"")</f>
        <v/>
      </c>
      <c r="P551" s="5">
        <f>IF(F551="INFERIOR",O551*MUS_parametros!$B$18,N551)</f>
        <v/>
      </c>
      <c r="Q551" s="4" t="inlineStr">
        <is>
          <t>Documento confere com o registro</t>
        </is>
      </c>
    </row>
    <row r="552">
      <c r="A552" s="4" t="inlineStr">
        <is>
          <t>IMB-0374436</t>
        </is>
      </c>
      <c r="B552" s="4" t="inlineStr">
        <is>
          <t>DESENVOLVIMENTO_CAMPOS</t>
        </is>
      </c>
      <c r="C552" s="4" t="inlineStr">
        <is>
          <t>1.2.03.04.001</t>
        </is>
      </c>
      <c r="D552" s="4" t="inlineStr">
        <is>
          <t>TARTARUGA</t>
        </is>
      </c>
      <c r="E552" s="4" t="inlineStr">
        <is>
          <t>PERFURACAO E COMPLETACAO</t>
        </is>
      </c>
      <c r="F552" s="4" t="inlineStr">
        <is>
          <t>INFERIOR</t>
        </is>
      </c>
      <c r="G552" s="4" t="n">
        <v>1</v>
      </c>
      <c r="H552" s="5" t="n">
        <v>4498101906.838175</v>
      </c>
      <c r="I552" s="5" t="n">
        <v>4498829215.780036</v>
      </c>
      <c r="J552" s="5" t="n">
        <v>1211723.59</v>
      </c>
      <c r="K552" s="4" t="inlineStr">
        <is>
          <t>S</t>
        </is>
      </c>
      <c r="L552" s="4" t="inlineStr">
        <is>
          <t>2025-12-13</t>
        </is>
      </c>
      <c r="M552" s="5" t="n">
        <v>1211723.59</v>
      </c>
      <c r="N552" s="5">
        <f>J552-M552</f>
        <v/>
      </c>
      <c r="O552" s="6">
        <f>IF(F552="INFERIOR",N552/J552,"")</f>
        <v/>
      </c>
      <c r="P552" s="5">
        <f>IF(F552="INFERIOR",O552*MUS_parametros!$B$18,N552)</f>
        <v/>
      </c>
      <c r="Q552" s="4" t="inlineStr">
        <is>
          <t>Documento confere com o registro</t>
        </is>
      </c>
    </row>
    <row r="553">
      <c r="A553" s="4" t="inlineStr">
        <is>
          <t>IMB-0375133</t>
        </is>
      </c>
      <c r="B553" s="4" t="inlineStr">
        <is>
          <t>MAQUINAS_EQUIPAMENTOS</t>
        </is>
      </c>
      <c r="C553" s="4" t="inlineStr">
        <is>
          <t>1.2.03.01.004</t>
        </is>
      </c>
      <c r="D553" s="4" t="inlineStr">
        <is>
          <t>UPGN GUAMARE</t>
        </is>
      </c>
      <c r="E553" s="4" t="inlineStr">
        <is>
          <t>MODULO DE PROCESSAMENTO UPGN III</t>
        </is>
      </c>
      <c r="F553" s="4" t="inlineStr">
        <is>
          <t>INFERIOR</t>
        </is>
      </c>
      <c r="G553" s="4" t="n">
        <v>1</v>
      </c>
      <c r="H553" s="5" t="n">
        <v>4503834906.838175</v>
      </c>
      <c r="I553" s="5" t="n">
        <v>4503906034.650036</v>
      </c>
      <c r="J553" s="5" t="n">
        <v>84606.46000000001</v>
      </c>
      <c r="K553" s="4" t="inlineStr">
        <is>
          <t>S</t>
        </is>
      </c>
      <c r="L553" s="4" t="inlineStr">
        <is>
          <t>2025-09-30</t>
        </is>
      </c>
      <c r="M553" s="5" t="n">
        <v>84606.46000000001</v>
      </c>
      <c r="N553" s="5">
        <f>J553-M553</f>
        <v/>
      </c>
      <c r="O553" s="6">
        <f>IF(F553="INFERIOR",N553/J553,"")</f>
        <v/>
      </c>
      <c r="P553" s="5">
        <f>IF(F553="INFERIOR",O553*MUS_parametros!$B$18,N553)</f>
        <v/>
      </c>
      <c r="Q553" s="4" t="inlineStr">
        <is>
          <t>Documento confere com o registro</t>
        </is>
      </c>
    </row>
    <row r="554">
      <c r="A554" s="4" t="inlineStr">
        <is>
          <t>IMB-0375580</t>
        </is>
      </c>
      <c r="B554" s="4" t="inlineStr">
        <is>
          <t>DIREITO_PRODUCAO_OLEO_GAS</t>
        </is>
      </c>
      <c r="C554" s="4" t="inlineStr">
        <is>
          <t>1.2.03.03.004</t>
        </is>
      </c>
      <c r="D554" s="4" t="inlineStr">
        <is>
          <t>POT-CONC-14 (SINTETICO)</t>
        </is>
      </c>
      <c r="E554" s="4" t="inlineStr">
        <is>
          <t>CUSTO DE AQUISICAO DA CONCESSAO</t>
        </is>
      </c>
      <c r="F554" s="4" t="inlineStr">
        <is>
          <t>SUPERIOR (VC &gt;= I)</t>
        </is>
      </c>
      <c r="G554" s="4" t="n">
        <v>1</v>
      </c>
      <c r="H554" s="5" t="n">
        <v>4509567906.838175</v>
      </c>
      <c r="I554" s="5" t="n">
        <v>4512178421.030037</v>
      </c>
      <c r="J554" s="5" t="n">
        <v>5800808.28</v>
      </c>
      <c r="K554" s="4" t="inlineStr">
        <is>
          <t>S</t>
        </is>
      </c>
      <c r="L554" s="4" t="inlineStr">
        <is>
          <t>2019-12-09</t>
        </is>
      </c>
      <c r="M554" s="5" t="n">
        <v>5800808.28</v>
      </c>
      <c r="N554" s="5">
        <f>J554-M554</f>
        <v/>
      </c>
      <c r="O554" s="6">
        <f>IF(F554="INFERIOR",N554/J554,"")</f>
        <v/>
      </c>
      <c r="P554" s="5">
        <f>IF(F554="INFERIOR",O554*MUS_parametros!$B$18,N554)</f>
        <v/>
      </c>
      <c r="Q554" s="4" t="inlineStr">
        <is>
          <t>Documento confere com o registro</t>
        </is>
      </c>
    </row>
    <row r="555">
      <c r="A555" s="4" t="inlineStr">
        <is>
          <t>IMB-0375819</t>
        </is>
      </c>
      <c r="B555" s="4" t="inlineStr">
        <is>
          <t>DESENVOLVIMENTO_CAMPOS</t>
        </is>
      </c>
      <c r="C555" s="4" t="inlineStr">
        <is>
          <t>1.2.03.04.001</t>
        </is>
      </c>
      <c r="D555" s="4" t="inlineStr">
        <is>
          <t>MATA DE SAO JOAO</t>
        </is>
      </c>
      <c r="E555" s="4" t="inlineStr">
        <is>
          <t>PERFURACAO E COMPLETACAO</t>
        </is>
      </c>
      <c r="F555" s="4" t="inlineStr">
        <is>
          <t>INFERIOR</t>
        </is>
      </c>
      <c r="G555" s="4" t="n">
        <v>1</v>
      </c>
      <c r="H555" s="5" t="n">
        <v>4515300906.838175</v>
      </c>
      <c r="I555" s="5" t="n">
        <v>4515377867.390036</v>
      </c>
      <c r="J555" s="5" t="n">
        <v>130434.71</v>
      </c>
      <c r="K555" s="4" t="inlineStr">
        <is>
          <t>S</t>
        </is>
      </c>
      <c r="L555" s="4" t="inlineStr">
        <is>
          <t>2025-12-24</t>
        </is>
      </c>
      <c r="M555" s="5" t="n">
        <v>130434.71</v>
      </c>
      <c r="N555" s="5">
        <f>J555-M555</f>
        <v/>
      </c>
      <c r="O555" s="6">
        <f>IF(F555="INFERIOR",N555/J555,"")</f>
        <v/>
      </c>
      <c r="P555" s="5">
        <f>IF(F555="INFERIOR",O555*MUS_parametros!$B$18,N555)</f>
        <v/>
      </c>
      <c r="Q555" s="4" t="inlineStr">
        <is>
          <t>Documento confere com o registro</t>
        </is>
      </c>
    </row>
    <row r="556">
      <c r="A556" s="4" t="inlineStr">
        <is>
          <t>IMB-0376711</t>
        </is>
      </c>
      <c r="B556" s="4" t="inlineStr">
        <is>
          <t>MAQUINAS_EQUIPAMENTOS</t>
        </is>
      </c>
      <c r="C556" s="4" t="inlineStr">
        <is>
          <t>1.2.03.01.003</t>
        </is>
      </c>
      <c r="D556" s="4" t="inlineStr">
        <is>
          <t>SUSSUARANA</t>
        </is>
      </c>
      <c r="E556" s="4" t="inlineStr">
        <is>
          <t>COMPRESSOR/SEPARADOR/TANQUE/FACILITY</t>
        </is>
      </c>
      <c r="F556" s="4" t="inlineStr">
        <is>
          <t>INFERIOR</t>
        </is>
      </c>
      <c r="G556" s="4" t="n">
        <v>1</v>
      </c>
      <c r="H556" s="5" t="n">
        <v>4521033906.838175</v>
      </c>
      <c r="I556" s="5" t="n">
        <v>4521035924.480032</v>
      </c>
      <c r="J556" s="5" t="n">
        <v>6453.79</v>
      </c>
      <c r="K556" s="4" t="inlineStr">
        <is>
          <t>S</t>
        </is>
      </c>
      <c r="L556" s="4" t="inlineStr">
        <is>
          <t>2021-01-22</t>
        </is>
      </c>
      <c r="M556" s="5" t="n">
        <v>6453.79</v>
      </c>
      <c r="N556" s="5">
        <f>J556-M556</f>
        <v/>
      </c>
      <c r="O556" s="6">
        <f>IF(F556="INFERIOR",N556/J556,"")</f>
        <v/>
      </c>
      <c r="P556" s="5">
        <f>IF(F556="INFERIOR",O556*MUS_parametros!$B$18,N556)</f>
        <v/>
      </c>
      <c r="Q556" s="4" t="inlineStr">
        <is>
          <t>Documento confere com o registro</t>
        </is>
      </c>
    </row>
    <row r="557">
      <c r="A557" s="4" t="inlineStr">
        <is>
          <t>IMB-0377540</t>
        </is>
      </c>
      <c r="B557" s="4" t="inlineStr">
        <is>
          <t>DESENVOLVIMENTO_CAMPOS</t>
        </is>
      </c>
      <c r="C557" s="4" t="inlineStr">
        <is>
          <t>1.2.03.04.001</t>
        </is>
      </c>
      <c r="D557" s="4" t="inlineStr">
        <is>
          <t>FAZENDA BELEM</t>
        </is>
      </c>
      <c r="E557" s="4" t="inlineStr">
        <is>
          <t>PERFURACAO E COMPLETACAO</t>
        </is>
      </c>
      <c r="F557" s="4" t="inlineStr">
        <is>
          <t>INFERIOR</t>
        </is>
      </c>
      <c r="G557" s="4" t="n">
        <v>1</v>
      </c>
      <c r="H557" s="5" t="n">
        <v>4526766906.838175</v>
      </c>
      <c r="I557" s="5" t="n">
        <v>4526780183.890034</v>
      </c>
      <c r="J557" s="5" t="n">
        <v>41018.66</v>
      </c>
      <c r="K557" s="4" t="inlineStr">
        <is>
          <t>S</t>
        </is>
      </c>
      <c r="L557" s="4" t="inlineStr">
        <is>
          <t>2024-12-08</t>
        </is>
      </c>
      <c r="M557" s="5" t="n">
        <v>41018.66</v>
      </c>
      <c r="N557" s="5">
        <f>J557-M557</f>
        <v/>
      </c>
      <c r="O557" s="6">
        <f>IF(F557="INFERIOR",N557/J557,"")</f>
        <v/>
      </c>
      <c r="P557" s="5">
        <f>IF(F557="INFERIOR",O557*MUS_parametros!$B$18,N557)</f>
        <v/>
      </c>
      <c r="Q557" s="4" t="inlineStr">
        <is>
          <t>Documento confere com o registro</t>
        </is>
      </c>
    </row>
    <row r="558">
      <c r="A558" s="4" t="inlineStr">
        <is>
          <t>IMB-0377665</t>
        </is>
      </c>
      <c r="B558" s="4" t="inlineStr">
        <is>
          <t>ALMOXARIFADO_INVERSOES_FIXAS</t>
        </is>
      </c>
      <c r="C558" s="4" t="inlineStr">
        <is>
          <t>1.2.03.07.001</t>
        </is>
      </c>
      <c r="D558" s="4" t="inlineStr">
        <is>
          <t>TARTARUGA</t>
        </is>
      </c>
      <c r="E558" s="4" t="inlineStr">
        <is>
          <t>TUBO DE REVESTIMENTO/PRODUCAO (LOTE)</t>
        </is>
      </c>
      <c r="F558" s="4" t="inlineStr">
        <is>
          <t>INFERIOR</t>
        </is>
      </c>
      <c r="G558" s="4" t="n">
        <v>1</v>
      </c>
      <c r="H558" s="5" t="n">
        <v>4532499906.838175</v>
      </c>
      <c r="I558" s="5" t="n">
        <v>4532508806.690035</v>
      </c>
      <c r="J558" s="5" t="n">
        <v>13660.27</v>
      </c>
      <c r="K558" s="4" t="inlineStr">
        <is>
          <t>S</t>
        </is>
      </c>
      <c r="L558" s="4" t="inlineStr">
        <is>
          <t>2023-09-01</t>
        </is>
      </c>
      <c r="M558" s="5" t="n">
        <v>13660.27</v>
      </c>
      <c r="N558" s="5">
        <f>J558-M558</f>
        <v/>
      </c>
      <c r="O558" s="6">
        <f>IF(F558="INFERIOR",N558/J558,"")</f>
        <v/>
      </c>
      <c r="P558" s="5">
        <f>IF(F558="INFERIOR",O558*MUS_parametros!$B$18,N558)</f>
        <v/>
      </c>
      <c r="Q558" s="4" t="inlineStr">
        <is>
          <t>Documento confere com o registro</t>
        </is>
      </c>
    </row>
    <row r="559">
      <c r="A559" s="4" t="inlineStr">
        <is>
          <t>IMB-0378704</t>
        </is>
      </c>
      <c r="B559" s="4" t="inlineStr">
        <is>
          <t>MAQUINAS_EQUIPAMENTOS</t>
        </is>
      </c>
      <c r="C559" s="4" t="inlineStr">
        <is>
          <t>1.2.03.01.004</t>
        </is>
      </c>
      <c r="D559" s="4" t="inlineStr">
        <is>
          <t>UPGN GUAMARE</t>
        </is>
      </c>
      <c r="E559" s="4" t="inlineStr">
        <is>
          <t>COMPRESSAO E RECEBIMENTO</t>
        </is>
      </c>
      <c r="F559" s="4" t="inlineStr">
        <is>
          <t>INFERIOR</t>
        </is>
      </c>
      <c r="G559" s="4" t="n">
        <v>1</v>
      </c>
      <c r="H559" s="5" t="n">
        <v>4538232906.838175</v>
      </c>
      <c r="I559" s="5" t="n">
        <v>4538287431.720043</v>
      </c>
      <c r="J559" s="5" t="n">
        <v>112248.7</v>
      </c>
      <c r="K559" s="4" t="inlineStr">
        <is>
          <t>S</t>
        </is>
      </c>
      <c r="L559" s="4" t="inlineStr">
        <is>
          <t>2025-09-30</t>
        </is>
      </c>
      <c r="M559" s="5" t="n">
        <v>112248.7</v>
      </c>
      <c r="N559" s="5">
        <f>J559-M559</f>
        <v/>
      </c>
      <c r="O559" s="6">
        <f>IF(F559="INFERIOR",N559/J559,"")</f>
        <v/>
      </c>
      <c r="P559" s="5">
        <f>IF(F559="INFERIOR",O559*MUS_parametros!$B$18,N559)</f>
        <v/>
      </c>
      <c r="Q559" s="4" t="inlineStr">
        <is>
          <t>Documento confere com o registro</t>
        </is>
      </c>
    </row>
    <row r="560">
      <c r="A560" s="4" t="inlineStr">
        <is>
          <t>IMB-0379313</t>
        </is>
      </c>
      <c r="B560" s="4" t="inlineStr">
        <is>
          <t>MAQUINAS_EQUIPAMENTOS</t>
        </is>
      </c>
      <c r="C560" s="4" t="inlineStr">
        <is>
          <t>1.2.03.01.001</t>
        </is>
      </c>
      <c r="D560" s="4" t="inlineStr">
        <is>
          <t>REMANSO</t>
        </is>
      </c>
      <c r="E560" s="4" t="inlineStr">
        <is>
          <t>COMPONENTE DE SONDA PROPRIA (PERFURACAO/PRODUCAO)</t>
        </is>
      </c>
      <c r="F560" s="4" t="inlineStr">
        <is>
          <t>INFERIOR</t>
        </is>
      </c>
      <c r="G560" s="4" t="n">
        <v>1</v>
      </c>
      <c r="H560" s="5" t="n">
        <v>4543965906.838175</v>
      </c>
      <c r="I560" s="5" t="n">
        <v>4544570642.690049</v>
      </c>
      <c r="J560" s="5" t="n">
        <v>1436248</v>
      </c>
      <c r="K560" s="4" t="inlineStr">
        <is>
          <t>S</t>
        </is>
      </c>
      <c r="L560" s="4" t="inlineStr">
        <is>
          <t>2024-01-29</t>
        </is>
      </c>
      <c r="M560" s="5" t="n">
        <v>1436248</v>
      </c>
      <c r="N560" s="5">
        <f>J560-M560</f>
        <v/>
      </c>
      <c r="O560" s="6">
        <f>IF(F560="INFERIOR",N560/J560,"")</f>
        <v/>
      </c>
      <c r="P560" s="5">
        <f>IF(F560="INFERIOR",O560*MUS_parametros!$B$18,N560)</f>
        <v/>
      </c>
      <c r="Q560" s="4" t="inlineStr">
        <is>
          <t>Documento confere com o registro</t>
        </is>
      </c>
    </row>
    <row r="561">
      <c r="A561" s="4" t="inlineStr">
        <is>
          <t>IMB-0379787</t>
        </is>
      </c>
      <c r="B561" s="4" t="inlineStr">
        <is>
          <t>DIREITO_PRODUCAO_OLEO_GAS</t>
        </is>
      </c>
      <c r="C561" s="4" t="inlineStr">
        <is>
          <t>1.2.03.03.004</t>
        </is>
      </c>
      <c r="D561" s="4" t="inlineStr">
        <is>
          <t>POT-CONC-17 (SINTETICO)</t>
        </is>
      </c>
      <c r="E561" s="4" t="inlineStr">
        <is>
          <t>CUSTO DE AQUISICAO DA CONCESSAO</t>
        </is>
      </c>
      <c r="F561" s="4" t="inlineStr">
        <is>
          <t>SUPERIOR (VC &gt;= I)</t>
        </is>
      </c>
      <c r="G561" s="4" t="n">
        <v>3</v>
      </c>
      <c r="H561" s="5" t="n">
        <v>4549698906.838175</v>
      </c>
      <c r="I561" s="5" t="n">
        <v>4564744995.710052</v>
      </c>
      <c r="J561" s="5" t="n">
        <v>16772007.15</v>
      </c>
      <c r="K561" s="4" t="inlineStr">
        <is>
          <t>S</t>
        </is>
      </c>
      <c r="L561" s="4" t="inlineStr">
        <is>
          <t>2019-12-09</t>
        </is>
      </c>
      <c r="M561" s="5" t="n">
        <v>16772007.15</v>
      </c>
      <c r="N561" s="5">
        <f>J561-M561</f>
        <v/>
      </c>
      <c r="O561" s="6">
        <f>IF(F561="INFERIOR",N561/J561,"")</f>
        <v/>
      </c>
      <c r="P561" s="5">
        <f>IF(F561="INFERIOR",O561*MUS_parametros!$B$18,N561)</f>
        <v/>
      </c>
      <c r="Q561" s="4" t="inlineStr">
        <is>
          <t>Documento confere com o registro</t>
        </is>
      </c>
    </row>
    <row r="562">
      <c r="A562" s="4" t="inlineStr">
        <is>
          <t>IMB-0380117</t>
        </is>
      </c>
      <c r="B562" s="4" t="inlineStr">
        <is>
          <t>DESENVOLVIMENTO_CAMPOS</t>
        </is>
      </c>
      <c r="C562" s="4" t="inlineStr">
        <is>
          <t>1.2.03.04.001</t>
        </is>
      </c>
      <c r="D562" s="4" t="inlineStr">
        <is>
          <t>SAO PEDRO</t>
        </is>
      </c>
      <c r="E562" s="4" t="inlineStr">
        <is>
          <t>PERFURACAO E COMPLETACAO</t>
        </is>
      </c>
      <c r="F562" s="4" t="inlineStr">
        <is>
          <t>INFERIOR</t>
        </is>
      </c>
      <c r="G562" s="4" t="n">
        <v>1</v>
      </c>
      <c r="H562" s="5" t="n">
        <v>4566897906.838175</v>
      </c>
      <c r="I562" s="5" t="n">
        <v>4566917363.430053</v>
      </c>
      <c r="J562" s="5" t="n">
        <v>266107.18</v>
      </c>
      <c r="K562" s="4" t="inlineStr">
        <is>
          <t>S</t>
        </is>
      </c>
      <c r="L562" s="4" t="inlineStr">
        <is>
          <t>2023-11-29</t>
        </is>
      </c>
      <c r="M562" s="5" t="n">
        <v>266107.18</v>
      </c>
      <c r="N562" s="5">
        <f>J562-M562</f>
        <v/>
      </c>
      <c r="O562" s="6">
        <f>IF(F562="INFERIOR",N562/J562,"")</f>
        <v/>
      </c>
      <c r="P562" s="5">
        <f>IF(F562="INFERIOR",O562*MUS_parametros!$B$18,N562)</f>
        <v/>
      </c>
      <c r="Q562" s="4" t="inlineStr">
        <is>
          <t>Documento confere com o registro</t>
        </is>
      </c>
    </row>
    <row r="563">
      <c r="A563" s="4" t="inlineStr">
        <is>
          <t>IMB-0380567</t>
        </is>
      </c>
      <c r="B563" s="4" t="inlineStr">
        <is>
          <t>ALMOXARIFADO_INVERSOES_FIXAS</t>
        </is>
      </c>
      <c r="C563" s="4" t="inlineStr">
        <is>
          <t>1.2.03.07.001</t>
        </is>
      </c>
      <c r="D563" s="4" t="inlineStr">
        <is>
          <t>POT-CONC-15 (SINTETICO)</t>
        </is>
      </c>
      <c r="E563" s="4" t="inlineStr">
        <is>
          <t>TUBO DE REVESTIMENTO/PRODUCAO (LOTE)</t>
        </is>
      </c>
      <c r="F563" s="4" t="inlineStr">
        <is>
          <t>INFERIOR</t>
        </is>
      </c>
      <c r="G563" s="4" t="n">
        <v>1</v>
      </c>
      <c r="H563" s="5" t="n">
        <v>4572630906.838175</v>
      </c>
      <c r="I563" s="5" t="n">
        <v>4572648946.400049</v>
      </c>
      <c r="J563" s="5" t="n">
        <v>21166.84</v>
      </c>
      <c r="K563" s="4" t="inlineStr">
        <is>
          <t>S</t>
        </is>
      </c>
      <c r="L563" s="4" t="inlineStr">
        <is>
          <t>2025-10-13</t>
        </is>
      </c>
      <c r="M563" s="5" t="n">
        <v>21166.84</v>
      </c>
      <c r="N563" s="5">
        <f>J563-M563</f>
        <v/>
      </c>
      <c r="O563" s="6">
        <f>IF(F563="INFERIOR",N563/J563,"")</f>
        <v/>
      </c>
      <c r="P563" s="5">
        <f>IF(F563="INFERIOR",O563*MUS_parametros!$B$18,N563)</f>
        <v/>
      </c>
      <c r="Q563" s="4" t="inlineStr">
        <is>
          <t>Documento confere com o registro</t>
        </is>
      </c>
    </row>
    <row r="564">
      <c r="A564" s="4" t="inlineStr">
        <is>
          <t>IMB-0381369</t>
        </is>
      </c>
      <c r="B564" s="4" t="inlineStr">
        <is>
          <t>DESENVOLVIMENTO_CAMPOS</t>
        </is>
      </c>
      <c r="C564" s="4" t="inlineStr">
        <is>
          <t>1.2.03.04.001</t>
        </is>
      </c>
      <c r="D564" s="4" t="inlineStr">
        <is>
          <t>JACUIPE</t>
        </is>
      </c>
      <c r="E564" s="4" t="inlineStr">
        <is>
          <t>PERFURACAO E COMPLETACAO</t>
        </is>
      </c>
      <c r="F564" s="4" t="inlineStr">
        <is>
          <t>INFERIOR</t>
        </is>
      </c>
      <c r="G564" s="4" t="n">
        <v>1</v>
      </c>
      <c r="H564" s="5" t="n">
        <v>4578363906.838175</v>
      </c>
      <c r="I564" s="5" t="n">
        <v>4578557959.980047</v>
      </c>
      <c r="J564" s="5" t="n">
        <v>359740.91</v>
      </c>
      <c r="K564" s="4" t="inlineStr">
        <is>
          <t>S</t>
        </is>
      </c>
      <c r="L564" s="4" t="inlineStr">
        <is>
          <t>2025-02-03</t>
        </is>
      </c>
      <c r="M564" s="5" t="n">
        <v>359740.91</v>
      </c>
      <c r="N564" s="5">
        <f>J564-M564</f>
        <v/>
      </c>
      <c r="O564" s="6">
        <f>IF(F564="INFERIOR",N564/J564,"")</f>
        <v/>
      </c>
      <c r="P564" s="5">
        <f>IF(F564="INFERIOR",O564*MUS_parametros!$B$18,N564)</f>
        <v/>
      </c>
      <c r="Q564" s="4" t="inlineStr">
        <is>
          <t>Documento confere com o registro</t>
        </is>
      </c>
    </row>
    <row r="565">
      <c r="A565" s="4" t="inlineStr">
        <is>
          <t>IMB-0381952</t>
        </is>
      </c>
      <c r="B565" s="4" t="inlineStr">
        <is>
          <t>MAQUINAS_EQUIPAMENTOS</t>
        </is>
      </c>
      <c r="C565" s="4" t="inlineStr">
        <is>
          <t>1.2.03.01.002</t>
        </is>
      </c>
      <c r="D565" s="4" t="inlineStr">
        <is>
          <t>POT-CONC-12 (SINTETICO)</t>
        </is>
      </c>
      <c r="E565" s="4" t="inlineStr">
        <is>
          <t>UNIDADE DE BOMBEIO MECANICO</t>
        </is>
      </c>
      <c r="F565" s="4" t="inlineStr">
        <is>
          <t>INFERIOR</t>
        </is>
      </c>
      <c r="G565" s="4" t="n">
        <v>1</v>
      </c>
      <c r="H565" s="5" t="n">
        <v>4584096906.838175</v>
      </c>
      <c r="I565" s="5" t="n">
        <v>4584100585.620044</v>
      </c>
      <c r="J565" s="5" t="n">
        <v>17480.45</v>
      </c>
      <c r="K565" s="4" t="inlineStr">
        <is>
          <t>S</t>
        </is>
      </c>
      <c r="L565" s="4" t="inlineStr">
        <is>
          <t>2020-06-07</t>
        </is>
      </c>
      <c r="M565" s="5" t="n">
        <v>17480.45</v>
      </c>
      <c r="N565" s="5">
        <f>J565-M565</f>
        <v/>
      </c>
      <c r="O565" s="6">
        <f>IF(F565="INFERIOR",N565/J565,"")</f>
        <v/>
      </c>
      <c r="P565" s="5">
        <f>IF(F565="INFERIOR",O565*MUS_parametros!$B$18,N565)</f>
        <v/>
      </c>
      <c r="Q565" s="4" t="inlineStr">
        <is>
          <t>Documento confere com o registro</t>
        </is>
      </c>
    </row>
    <row r="566">
      <c r="A566" s="4" t="inlineStr">
        <is>
          <t>IMB-0382284</t>
        </is>
      </c>
      <c r="B566" s="4" t="inlineStr">
        <is>
          <t>DIREITO_PRODUCAO_OLEO_GAS</t>
        </is>
      </c>
      <c r="C566" s="4" t="inlineStr">
        <is>
          <t>1.2.03.03.001</t>
        </is>
      </c>
      <c r="D566" s="4" t="inlineStr">
        <is>
          <t>RIO DOS OVOS</t>
        </is>
      </c>
      <c r="E566" s="4" t="inlineStr">
        <is>
          <t>CUSTO DE AQUISICAO DA CONCESSAO</t>
        </is>
      </c>
      <c r="F566" s="4" t="inlineStr">
        <is>
          <t>INFERIOR</t>
        </is>
      </c>
      <c r="G566" s="4" t="n">
        <v>1</v>
      </c>
      <c r="H566" s="5" t="n">
        <v>4589829906.838175</v>
      </c>
      <c r="I566" s="5" t="n">
        <v>4589918163.470037</v>
      </c>
      <c r="J566" s="5" t="n">
        <v>4053798.21</v>
      </c>
      <c r="K566" s="4" t="inlineStr">
        <is>
          <t>S</t>
        </is>
      </c>
      <c r="L566" s="4" t="inlineStr">
        <is>
          <t>2021-12-23</t>
        </is>
      </c>
      <c r="M566" s="5" t="n">
        <v>4053798.21</v>
      </c>
      <c r="N566" s="5">
        <f>J566-M566</f>
        <v/>
      </c>
      <c r="O566" s="6">
        <f>IF(F566="INFERIOR",N566/J566,"")</f>
        <v/>
      </c>
      <c r="P566" s="5">
        <f>IF(F566="INFERIOR",O566*MUS_parametros!$B$18,N566)</f>
        <v/>
      </c>
      <c r="Q566" s="4" t="inlineStr">
        <is>
          <t>Documento confere com o registro</t>
        </is>
      </c>
    </row>
    <row r="567">
      <c r="A567" s="4" t="inlineStr">
        <is>
          <t>IMB-0383202</t>
        </is>
      </c>
      <c r="B567" s="4" t="inlineStr">
        <is>
          <t>DESENVOLVIMENTO_CAMPOS</t>
        </is>
      </c>
      <c r="C567" s="4" t="inlineStr">
        <is>
          <t>1.2.03.04.001</t>
        </is>
      </c>
      <c r="D567" s="4" t="inlineStr">
        <is>
          <t>TARTARUGA</t>
        </is>
      </c>
      <c r="E567" s="4" t="inlineStr">
        <is>
          <t>PERFURACAO E COMPLETACAO</t>
        </is>
      </c>
      <c r="F567" s="4" t="inlineStr">
        <is>
          <t>INFERIOR</t>
        </is>
      </c>
      <c r="G567" s="4" t="n">
        <v>1</v>
      </c>
      <c r="H567" s="5" t="n">
        <v>4595562906.838175</v>
      </c>
      <c r="I567" s="5" t="n">
        <v>4596201836.210043</v>
      </c>
      <c r="J567" s="5" t="n">
        <v>815605.14</v>
      </c>
      <c r="K567" s="4" t="inlineStr">
        <is>
          <t>S</t>
        </is>
      </c>
      <c r="L567" s="4" t="inlineStr">
        <is>
          <t>2025-04-12</t>
        </is>
      </c>
      <c r="M567" s="5" t="n">
        <v>815605.14</v>
      </c>
      <c r="N567" s="5">
        <f>J567-M567</f>
        <v/>
      </c>
      <c r="O567" s="6">
        <f>IF(F567="INFERIOR",N567/J567,"")</f>
        <v/>
      </c>
      <c r="P567" s="5">
        <f>IF(F567="INFERIOR",O567*MUS_parametros!$B$18,N567)</f>
        <v/>
      </c>
      <c r="Q567" s="4" t="inlineStr">
        <is>
          <t>Documento confere com o registro</t>
        </is>
      </c>
    </row>
    <row r="568">
      <c r="A568" s="4" t="inlineStr">
        <is>
          <t>IMB-0383896</t>
        </is>
      </c>
      <c r="B568" s="4" t="inlineStr">
        <is>
          <t>DESENVOLVIMENTO_CAMPOS</t>
        </is>
      </c>
      <c r="C568" s="4" t="inlineStr">
        <is>
          <t>1.2.03.04.001</t>
        </is>
      </c>
      <c r="D568" s="4" t="inlineStr">
        <is>
          <t>REMANSO</t>
        </is>
      </c>
      <c r="E568" s="4" t="inlineStr">
        <is>
          <t>PERFURACAO E COMPLETACAO</t>
        </is>
      </c>
      <c r="F568" s="4" t="inlineStr">
        <is>
          <t>INFERIOR</t>
        </is>
      </c>
      <c r="G568" s="4" t="n">
        <v>1</v>
      </c>
      <c r="H568" s="5" t="n">
        <v>4601295906.838175</v>
      </c>
      <c r="I568" s="5" t="n">
        <v>4601311783.830048</v>
      </c>
      <c r="J568" s="5" t="n">
        <v>115261.41</v>
      </c>
      <c r="K568" s="4" t="inlineStr">
        <is>
          <t>S</t>
        </is>
      </c>
      <c r="L568" s="4" t="inlineStr">
        <is>
          <t>2025-10-22</t>
        </is>
      </c>
      <c r="M568" s="5" t="n">
        <v>115261.41</v>
      </c>
      <c r="N568" s="5">
        <f>J568-M568</f>
        <v/>
      </c>
      <c r="O568" s="6">
        <f>IF(F568="INFERIOR",N568/J568,"")</f>
        <v/>
      </c>
      <c r="P568" s="5">
        <f>IF(F568="INFERIOR",O568*MUS_parametros!$B$18,N568)</f>
        <v/>
      </c>
      <c r="Q568" s="4" t="inlineStr">
        <is>
          <t>Documento confere com o registro</t>
        </is>
      </c>
    </row>
    <row r="569">
      <c r="A569" s="4" t="inlineStr">
        <is>
          <t>IMB-0384776</t>
        </is>
      </c>
      <c r="B569" s="4" t="inlineStr">
        <is>
          <t>DESENVOLVIMENTO_CAMPOS</t>
        </is>
      </c>
      <c r="C569" s="4" t="inlineStr">
        <is>
          <t>1.2.03.04.001</t>
        </is>
      </c>
      <c r="D569" s="4" t="inlineStr">
        <is>
          <t>POT-CONC-01 (SINTETICO)</t>
        </is>
      </c>
      <c r="E569" s="4" t="inlineStr">
        <is>
          <t>PERFURACAO E COMPLETACAO</t>
        </is>
      </c>
      <c r="F569" s="4" t="inlineStr">
        <is>
          <t>INFERIOR</t>
        </is>
      </c>
      <c r="G569" s="4" t="n">
        <v>1</v>
      </c>
      <c r="H569" s="5" t="n">
        <v>4607028906.838175</v>
      </c>
      <c r="I569" s="5" t="n">
        <v>4607072774.500044</v>
      </c>
      <c r="J569" s="5" t="n">
        <v>98702.57000000001</v>
      </c>
      <c r="K569" s="4" t="inlineStr">
        <is>
          <t>S</t>
        </is>
      </c>
      <c r="L569" s="4" t="inlineStr">
        <is>
          <t>2024-05-25</t>
        </is>
      </c>
      <c r="M569" s="5" t="n">
        <v>98702.57000000001</v>
      </c>
      <c r="N569" s="5">
        <f>J569-M569</f>
        <v/>
      </c>
      <c r="O569" s="6">
        <f>IF(F569="INFERIOR",N569/J569,"")</f>
        <v/>
      </c>
      <c r="P569" s="5">
        <f>IF(F569="INFERIOR",O569*MUS_parametros!$B$18,N569)</f>
        <v/>
      </c>
      <c r="Q569" s="4" t="inlineStr">
        <is>
          <t>Documento confere com o registro</t>
        </is>
      </c>
    </row>
    <row r="570">
      <c r="A570" s="4" t="inlineStr">
        <is>
          <t>IMB-0385534</t>
        </is>
      </c>
      <c r="B570" s="4" t="inlineStr">
        <is>
          <t>ALMOXARIFADO_INVERSOES_FIXAS</t>
        </is>
      </c>
      <c r="C570" s="4" t="inlineStr">
        <is>
          <t>1.2.03.07.001</t>
        </is>
      </c>
      <c r="D570" s="4" t="inlineStr">
        <is>
          <t>RIO PIPIRI</t>
        </is>
      </c>
      <c r="E570" s="4" t="inlineStr">
        <is>
          <t>TUBO DE REVESTIMENTO/PRODUCAO (LOTE)</t>
        </is>
      </c>
      <c r="F570" s="4" t="inlineStr">
        <is>
          <t>INFERIOR</t>
        </is>
      </c>
      <c r="G570" s="4" t="n">
        <v>1</v>
      </c>
      <c r="H570" s="5" t="n">
        <v>4612761906.838175</v>
      </c>
      <c r="I570" s="5" t="n">
        <v>4612763810.43005</v>
      </c>
      <c r="J570" s="5" t="n">
        <v>3763.34</v>
      </c>
      <c r="K570" s="4" t="inlineStr">
        <is>
          <t>S</t>
        </is>
      </c>
      <c r="L570" s="4" t="inlineStr">
        <is>
          <t>2025-08-29</t>
        </is>
      </c>
      <c r="M570" s="5" t="n">
        <v>3763.34</v>
      </c>
      <c r="N570" s="5">
        <f>J570-M570</f>
        <v/>
      </c>
      <c r="O570" s="6">
        <f>IF(F570="INFERIOR",N570/J570,"")</f>
        <v/>
      </c>
      <c r="P570" s="5">
        <f>IF(F570="INFERIOR",O570*MUS_parametros!$B$18,N570)</f>
        <v/>
      </c>
      <c r="Q570" s="4" t="inlineStr">
        <is>
          <t>Documento confere com o registro</t>
        </is>
      </c>
    </row>
    <row r="571">
      <c r="A571" s="4" t="inlineStr">
        <is>
          <t>IMB-0386297</t>
        </is>
      </c>
      <c r="B571" s="4" t="inlineStr">
        <is>
          <t>DESENVOLVIMENTO_CAMPOS</t>
        </is>
      </c>
      <c r="C571" s="4" t="inlineStr">
        <is>
          <t>1.2.03.04.002</t>
        </is>
      </c>
      <c r="D571" s="4" t="inlineStr">
        <is>
          <t>FAZENDA CURRAL</t>
        </is>
      </c>
      <c r="E571" s="4" t="inlineStr">
        <is>
          <t>WORKOVER / RECOMPLETACAO CAPITALIZADO</t>
        </is>
      </c>
      <c r="F571" s="4" t="inlineStr">
        <is>
          <t>INFERIOR</t>
        </is>
      </c>
      <c r="G571" s="4" t="n">
        <v>1</v>
      </c>
      <c r="H571" s="5" t="n">
        <v>4618494906.838175</v>
      </c>
      <c r="I571" s="5" t="n">
        <v>4618495256.960049</v>
      </c>
      <c r="J571" s="5" t="n">
        <v>31514.61</v>
      </c>
      <c r="K571" s="4" t="inlineStr">
        <is>
          <t>S</t>
        </is>
      </c>
      <c r="L571" s="4" t="inlineStr">
        <is>
          <t>2024-12-09</t>
        </is>
      </c>
      <c r="M571" s="5" t="n">
        <v>31514.61</v>
      </c>
      <c r="N571" s="5">
        <f>J571-M571</f>
        <v/>
      </c>
      <c r="O571" s="6">
        <f>IF(F571="INFERIOR",N571/J571,"")</f>
        <v/>
      </c>
      <c r="P571" s="5">
        <f>IF(F571="INFERIOR",O571*MUS_parametros!$B$18,N571)</f>
        <v/>
      </c>
      <c r="Q571" s="4" t="inlineStr">
        <is>
          <t>Documento confere com o registro</t>
        </is>
      </c>
    </row>
    <row r="572">
      <c r="A572" s="4" t="inlineStr">
        <is>
          <t>IMB-0387219</t>
        </is>
      </c>
      <c r="B572" s="4" t="inlineStr">
        <is>
          <t>DESENVOLVIMENTO_CAMPOS</t>
        </is>
      </c>
      <c r="C572" s="4" t="inlineStr">
        <is>
          <t>1.2.03.04.002</t>
        </is>
      </c>
      <c r="D572" s="4" t="inlineStr">
        <is>
          <t>POT-CONC-19 (SINTETICO)</t>
        </is>
      </c>
      <c r="E572" s="4" t="inlineStr">
        <is>
          <t>WORKOVER / RECOMPLETACAO CAPITALIZADO</t>
        </is>
      </c>
      <c r="F572" s="4" t="inlineStr">
        <is>
          <t>INFERIOR</t>
        </is>
      </c>
      <c r="G572" s="4" t="n">
        <v>1</v>
      </c>
      <c r="H572" s="5" t="n">
        <v>4624227906.838175</v>
      </c>
      <c r="I572" s="5" t="n">
        <v>4624227996.990045</v>
      </c>
      <c r="J572" s="5" t="n">
        <v>1806.23</v>
      </c>
      <c r="K572" s="4" t="inlineStr">
        <is>
          <t>S</t>
        </is>
      </c>
      <c r="L572" s="4" t="inlineStr">
        <is>
          <t>2023-02-09</t>
        </is>
      </c>
      <c r="M572" s="5" t="n">
        <v>1806.23</v>
      </c>
      <c r="N572" s="5">
        <f>J572-M572</f>
        <v/>
      </c>
      <c r="O572" s="6">
        <f>IF(F572="INFERIOR",N572/J572,"")</f>
        <v/>
      </c>
      <c r="P572" s="5">
        <f>IF(F572="INFERIOR",O572*MUS_parametros!$B$18,N572)</f>
        <v/>
      </c>
      <c r="Q572" s="4" t="inlineStr">
        <is>
          <t>Documento confere com o registro</t>
        </is>
      </c>
    </row>
    <row r="573">
      <c r="A573" s="4" t="inlineStr">
        <is>
          <t>IMB-0388043</t>
        </is>
      </c>
      <c r="B573" s="4" t="inlineStr">
        <is>
          <t>DESENVOLVIMENTO_CAMPOS</t>
        </is>
      </c>
      <c r="C573" s="4" t="inlineStr">
        <is>
          <t>1.2.03.04.001</t>
        </is>
      </c>
      <c r="D573" s="4" t="inlineStr">
        <is>
          <t>RIO MOSSORO</t>
        </is>
      </c>
      <c r="E573" s="4" t="inlineStr">
        <is>
          <t>PERFURACAO E COMPLETACAO</t>
        </is>
      </c>
      <c r="F573" s="4" t="inlineStr">
        <is>
          <t>INFERIOR</t>
        </is>
      </c>
      <c r="G573" s="4" t="n">
        <v>1</v>
      </c>
      <c r="H573" s="5" t="n">
        <v>4629960906.838175</v>
      </c>
      <c r="I573" s="5" t="n">
        <v>4630073061.380039</v>
      </c>
      <c r="J573" s="5" t="n">
        <v>281932.48</v>
      </c>
      <c r="K573" s="4" t="inlineStr">
        <is>
          <t>S</t>
        </is>
      </c>
      <c r="L573" s="4" t="inlineStr">
        <is>
          <t>2025-09-17</t>
        </is>
      </c>
      <c r="M573" s="5" t="n">
        <v>281932.48</v>
      </c>
      <c r="N573" s="5">
        <f>J573-M573</f>
        <v/>
      </c>
      <c r="O573" s="6">
        <f>IF(F573="INFERIOR",N573/J573,"")</f>
        <v/>
      </c>
      <c r="P573" s="5">
        <f>IF(F573="INFERIOR",O573*MUS_parametros!$B$18,N573)</f>
        <v/>
      </c>
      <c r="Q573" s="4" t="inlineStr">
        <is>
          <t>Documento confere com o registro</t>
        </is>
      </c>
    </row>
    <row r="574">
      <c r="A574" s="4" t="inlineStr">
        <is>
          <t>IMB-0389045</t>
        </is>
      </c>
      <c r="B574" s="4" t="inlineStr">
        <is>
          <t>MAQUINAS_EQUIPAMENTOS</t>
        </is>
      </c>
      <c r="C574" s="4" t="inlineStr">
        <is>
          <t>1.2.03.01.003</t>
        </is>
      </c>
      <c r="D574" s="4" t="inlineStr">
        <is>
          <t>POT-CONC-11 (SINTETICO)</t>
        </is>
      </c>
      <c r="E574" s="4" t="inlineStr">
        <is>
          <t>COMPRESSOR/SEPARADOR/TANQUE/FACILITY</t>
        </is>
      </c>
      <c r="F574" s="4" t="inlineStr">
        <is>
          <t>INFERIOR</t>
        </is>
      </c>
      <c r="G574" s="4" t="n">
        <v>1</v>
      </c>
      <c r="H574" s="5" t="n">
        <v>4635693906.838175</v>
      </c>
      <c r="I574" s="5" t="n">
        <v>4635791152.390033</v>
      </c>
      <c r="J574" s="5" t="n">
        <v>198664.4</v>
      </c>
      <c r="K574" s="4" t="inlineStr">
        <is>
          <t>S</t>
        </is>
      </c>
      <c r="L574" s="4" t="inlineStr">
        <is>
          <t>2020-03-29</t>
        </is>
      </c>
      <c r="M574" s="5" t="n">
        <v>198664.4</v>
      </c>
      <c r="N574" s="5">
        <f>J574-M574</f>
        <v/>
      </c>
      <c r="O574" s="6">
        <f>IF(F574="INFERIOR",N574/J574,"")</f>
        <v/>
      </c>
      <c r="P574" s="5">
        <f>IF(F574="INFERIOR",O574*MUS_parametros!$B$18,N574)</f>
        <v/>
      </c>
      <c r="Q574" s="4" t="inlineStr">
        <is>
          <t>Documento confere com o registro</t>
        </is>
      </c>
    </row>
    <row r="575">
      <c r="A575" s="4" t="inlineStr">
        <is>
          <t>IMB-0389720</t>
        </is>
      </c>
      <c r="B575" s="4" t="inlineStr">
        <is>
          <t>OUTROS</t>
        </is>
      </c>
      <c r="C575" s="4" t="inlineStr">
        <is>
          <t>1.2.03.09.005</t>
        </is>
      </c>
      <c r="D575" s="4" t="inlineStr">
        <is>
          <t>RIACHO SAO PEDRO</t>
        </is>
      </c>
      <c r="E575" s="4" t="inlineStr">
        <is>
          <t>VEICULO LEVE</t>
        </is>
      </c>
      <c r="F575" s="4" t="inlineStr">
        <is>
          <t>INFERIOR</t>
        </is>
      </c>
      <c r="G575" s="4" t="n">
        <v>1</v>
      </c>
      <c r="H575" s="5" t="n">
        <v>4641426906.838175</v>
      </c>
      <c r="I575" s="5" t="n">
        <v>4641461561.060034</v>
      </c>
      <c r="J575" s="5" t="n">
        <v>36107.38</v>
      </c>
      <c r="K575" s="4" t="inlineStr">
        <is>
          <t>S</t>
        </is>
      </c>
      <c r="L575" s="4" t="inlineStr">
        <is>
          <t>2018-07-23</t>
        </is>
      </c>
      <c r="M575" s="5" t="n">
        <v>36107.38</v>
      </c>
      <c r="N575" s="5">
        <f>J575-M575</f>
        <v/>
      </c>
      <c r="O575" s="6">
        <f>IF(F575="INFERIOR",N575/J575,"")</f>
        <v/>
      </c>
      <c r="P575" s="5">
        <f>IF(F575="INFERIOR",O575*MUS_parametros!$B$18,N575)</f>
        <v/>
      </c>
      <c r="Q575" s="4" t="inlineStr">
        <is>
          <t>Documento confere com o registro</t>
        </is>
      </c>
    </row>
    <row r="576">
      <c r="A576" s="4" t="inlineStr">
        <is>
          <t>IMB-0390710</t>
        </is>
      </c>
      <c r="B576" s="4" t="inlineStr">
        <is>
          <t>MAQUINAS_EQUIPAMENTOS</t>
        </is>
      </c>
      <c r="C576" s="4" t="inlineStr">
        <is>
          <t>1.2.03.01.004</t>
        </is>
      </c>
      <c r="D576" s="4" t="inlineStr">
        <is>
          <t>UPGN GUAMARE</t>
        </is>
      </c>
      <c r="E576" s="4" t="inlineStr">
        <is>
          <t>ARMAZENAMENTO DE LIQUIDOS</t>
        </is>
      </c>
      <c r="F576" s="4" t="inlineStr">
        <is>
          <t>INFERIOR</t>
        </is>
      </c>
      <c r="G576" s="4" t="n">
        <v>1</v>
      </c>
      <c r="H576" s="5" t="n">
        <v>4647159906.838175</v>
      </c>
      <c r="I576" s="5" t="n">
        <v>4647173143.190031</v>
      </c>
      <c r="J576" s="5" t="n">
        <v>14835.25</v>
      </c>
      <c r="K576" s="4" t="inlineStr">
        <is>
          <t>S</t>
        </is>
      </c>
      <c r="L576" s="4" t="inlineStr">
        <is>
          <t>2025-09-30</t>
        </is>
      </c>
      <c r="M576" s="5" t="n">
        <v>14835.25</v>
      </c>
      <c r="N576" s="5">
        <f>J576-M576</f>
        <v/>
      </c>
      <c r="O576" s="6">
        <f>IF(F576="INFERIOR",N576/J576,"")</f>
        <v/>
      </c>
      <c r="P576" s="5">
        <f>IF(F576="INFERIOR",O576*MUS_parametros!$B$18,N576)</f>
        <v/>
      </c>
      <c r="Q576" s="4" t="inlineStr">
        <is>
          <t>Documento confere com o registro</t>
        </is>
      </c>
    </row>
    <row r="577">
      <c r="A577" s="4" t="inlineStr">
        <is>
          <t>IMB-0391600</t>
        </is>
      </c>
      <c r="B577" s="4" t="inlineStr">
        <is>
          <t>DESENVOLVIMENTO_CAMPOS</t>
        </is>
      </c>
      <c r="C577" s="4" t="inlineStr">
        <is>
          <t>1.2.03.04.001</t>
        </is>
      </c>
      <c r="D577" s="4" t="inlineStr">
        <is>
          <t>FAZENDA CURRAL</t>
        </is>
      </c>
      <c r="E577" s="4" t="inlineStr">
        <is>
          <t>PERFURACAO E COMPLETACAO</t>
        </is>
      </c>
      <c r="F577" s="4" t="inlineStr">
        <is>
          <t>INFERIOR</t>
        </is>
      </c>
      <c r="G577" s="4" t="n">
        <v>1</v>
      </c>
      <c r="H577" s="5" t="n">
        <v>4652892906.838175</v>
      </c>
      <c r="I577" s="5" t="n">
        <v>4652925444.100035</v>
      </c>
      <c r="J577" s="5" t="n">
        <v>108186.77</v>
      </c>
      <c r="K577" s="4" t="inlineStr">
        <is>
          <t>S</t>
        </is>
      </c>
      <c r="L577" s="4" t="inlineStr">
        <is>
          <t>2025-12-19</t>
        </is>
      </c>
      <c r="M577" s="5" t="n">
        <v>108186.77</v>
      </c>
      <c r="N577" s="5">
        <f>J577-M577</f>
        <v/>
      </c>
      <c r="O577" s="6">
        <f>IF(F577="INFERIOR",N577/J577,"")</f>
        <v/>
      </c>
      <c r="P577" s="5">
        <f>IF(F577="INFERIOR",O577*MUS_parametros!$B$18,N577)</f>
        <v/>
      </c>
      <c r="Q577" s="4" t="inlineStr">
        <is>
          <t>Documento confere com o registro</t>
        </is>
      </c>
    </row>
    <row r="578">
      <c r="A578" s="4" t="inlineStr">
        <is>
          <t>IMB-0392452</t>
        </is>
      </c>
      <c r="B578" s="4" t="inlineStr">
        <is>
          <t>ALMOXARIFADO_INVERSOES_FIXAS</t>
        </is>
      </c>
      <c r="C578" s="4" t="inlineStr">
        <is>
          <t>1.2.03.07.002</t>
        </is>
      </c>
      <c r="D578" s="4" t="inlineStr">
        <is>
          <t>REMANSO</t>
        </is>
      </c>
      <c r="E578" s="4" t="inlineStr">
        <is>
          <t>BOMBA DE FUNDO EM ESTOQUE</t>
        </is>
      </c>
      <c r="F578" s="4" t="inlineStr">
        <is>
          <t>INFERIOR</t>
        </is>
      </c>
      <c r="G578" s="4" t="n">
        <v>1</v>
      </c>
      <c r="H578" s="5" t="n">
        <v>4658625906.838175</v>
      </c>
      <c r="I578" s="5" t="n">
        <v>4658629606.790039</v>
      </c>
      <c r="J578" s="5" t="n">
        <v>5204.63</v>
      </c>
      <c r="K578" s="4" t="inlineStr">
        <is>
          <t>S</t>
        </is>
      </c>
      <c r="L578" s="4" t="inlineStr">
        <is>
          <t>2025-03-21</t>
        </is>
      </c>
      <c r="M578" s="5" t="n">
        <v>5204.63</v>
      </c>
      <c r="N578" s="5">
        <f>J578-M578</f>
        <v/>
      </c>
      <c r="O578" s="6">
        <f>IF(F578="INFERIOR",N578/J578,"")</f>
        <v/>
      </c>
      <c r="P578" s="5">
        <f>IF(F578="INFERIOR",O578*MUS_parametros!$B$18,N578)</f>
        <v/>
      </c>
      <c r="Q578" s="4" t="inlineStr">
        <is>
          <t>Documento confere com o registro</t>
        </is>
      </c>
    </row>
    <row r="579">
      <c r="A579" s="4" t="inlineStr">
        <is>
          <t>IMB-0393446</t>
        </is>
      </c>
      <c r="B579" s="4" t="inlineStr">
        <is>
          <t>DESENVOLVIMENTO_CAMPOS</t>
        </is>
      </c>
      <c r="C579" s="4" t="inlineStr">
        <is>
          <t>1.2.03.04.001</t>
        </is>
      </c>
      <c r="D579" s="4" t="inlineStr">
        <is>
          <t>FAZENDA BELEM</t>
        </is>
      </c>
      <c r="E579" s="4" t="inlineStr">
        <is>
          <t>PERFURACAO E COMPLETACAO</t>
        </is>
      </c>
      <c r="F579" s="4" t="inlineStr">
        <is>
          <t>INFERIOR</t>
        </is>
      </c>
      <c r="G579" s="4" t="n">
        <v>1</v>
      </c>
      <c r="H579" s="5" t="n">
        <v>4664358906.838175</v>
      </c>
      <c r="I579" s="5" t="n">
        <v>4664489518.140035</v>
      </c>
      <c r="J579" s="5" t="n">
        <v>399335.37</v>
      </c>
      <c r="K579" s="4" t="inlineStr">
        <is>
          <t>S</t>
        </is>
      </c>
      <c r="L579" s="4" t="inlineStr">
        <is>
          <t>2025-09-18</t>
        </is>
      </c>
      <c r="M579" s="5" t="n">
        <v>399335.37</v>
      </c>
      <c r="N579" s="5">
        <f>J579-M579</f>
        <v/>
      </c>
      <c r="O579" s="6">
        <f>IF(F579="INFERIOR",N579/J579,"")</f>
        <v/>
      </c>
      <c r="P579" s="5">
        <f>IF(F579="INFERIOR",O579*MUS_parametros!$B$18,N579)</f>
        <v/>
      </c>
      <c r="Q579" s="4" t="inlineStr">
        <is>
          <t>Documento confere com o registro</t>
        </is>
      </c>
    </row>
    <row r="580">
      <c r="A580" s="4" t="inlineStr">
        <is>
          <t>IMB-0394384</t>
        </is>
      </c>
      <c r="B580" s="4" t="inlineStr">
        <is>
          <t>ALMOXARIFADO_INVERSOES_FIXAS</t>
        </is>
      </c>
      <c r="C580" s="4" t="inlineStr">
        <is>
          <t>1.2.03.07.001</t>
        </is>
      </c>
      <c r="D580" s="4" t="inlineStr">
        <is>
          <t>JACUIPE</t>
        </is>
      </c>
      <c r="E580" s="4" t="inlineStr">
        <is>
          <t>TUBO DE REVESTIMENTO/PRODUCAO (LOTE)</t>
        </is>
      </c>
      <c r="F580" s="4" t="inlineStr">
        <is>
          <t>INFERIOR</t>
        </is>
      </c>
      <c r="G580" s="4" t="n">
        <v>1</v>
      </c>
      <c r="H580" s="5" t="n">
        <v>4670091906.838175</v>
      </c>
      <c r="I580" s="5" t="n">
        <v>4670096952.350024</v>
      </c>
      <c r="J580" s="5" t="n">
        <v>7439.86</v>
      </c>
      <c r="K580" s="4" t="inlineStr">
        <is>
          <t>S</t>
        </is>
      </c>
      <c r="L580" s="4" t="inlineStr">
        <is>
          <t>2023-08-06</t>
        </is>
      </c>
      <c r="M580" s="5" t="n">
        <v>7439.86</v>
      </c>
      <c r="N580" s="5">
        <f>J580-M580</f>
        <v/>
      </c>
      <c r="O580" s="6">
        <f>IF(F580="INFERIOR",N580/J580,"")</f>
        <v/>
      </c>
      <c r="P580" s="5">
        <f>IF(F580="INFERIOR",O580*MUS_parametros!$B$18,N580)</f>
        <v/>
      </c>
      <c r="Q580" s="4" t="inlineStr">
        <is>
          <t>Documento confere com o registro</t>
        </is>
      </c>
    </row>
    <row r="581">
      <c r="A581" s="4" t="inlineStr">
        <is>
          <t>IMB-0395044</t>
        </is>
      </c>
      <c r="B581" s="4" t="inlineStr">
        <is>
          <t>DIREITO_PRODUCAO_OLEO_GAS</t>
        </is>
      </c>
      <c r="C581" s="4" t="inlineStr">
        <is>
          <t>1.2.03.03.005</t>
        </is>
      </c>
      <c r="D581" s="4" t="inlineStr">
        <is>
          <t>TIE</t>
        </is>
      </c>
      <c r="E581" s="4" t="inlineStr">
        <is>
          <t>CUSTO DE AQUISICAO DA CONCESSAO</t>
        </is>
      </c>
      <c r="F581" s="4" t="inlineStr">
        <is>
          <t>INFERIOR</t>
        </is>
      </c>
      <c r="G581" s="4" t="n">
        <v>1</v>
      </c>
      <c r="H581" s="5" t="n">
        <v>4675824906.838175</v>
      </c>
      <c r="I581" s="5" t="n">
        <v>4679425387.790013</v>
      </c>
      <c r="J581" s="5" t="n">
        <v>5617300.39</v>
      </c>
      <c r="K581" s="4" t="inlineStr">
        <is>
          <t>S</t>
        </is>
      </c>
      <c r="L581" s="4" t="inlineStr">
        <is>
          <t>2023-02-28</t>
        </is>
      </c>
      <c r="M581" s="5" t="n">
        <v>5617300.39</v>
      </c>
      <c r="N581" s="5">
        <f>J581-M581</f>
        <v/>
      </c>
      <c r="O581" s="6">
        <f>IF(F581="INFERIOR",N581/J581,"")</f>
        <v/>
      </c>
      <c r="P581" s="5">
        <f>IF(F581="INFERIOR",O581*MUS_parametros!$B$18,N581)</f>
        <v/>
      </c>
      <c r="Q581" s="4" t="inlineStr">
        <is>
          <t>Documento confere com o registro</t>
        </is>
      </c>
    </row>
    <row r="582">
      <c r="A582" s="4" t="inlineStr">
        <is>
          <t>IMB-0395270</t>
        </is>
      </c>
      <c r="B582" s="4" t="inlineStr">
        <is>
          <t>DESENVOLVIMENTO_CAMPOS</t>
        </is>
      </c>
      <c r="C582" s="4" t="inlineStr">
        <is>
          <t>1.2.03.04.002</t>
        </is>
      </c>
      <c r="D582" s="4" t="inlineStr">
        <is>
          <t>TARTARUGA</t>
        </is>
      </c>
      <c r="E582" s="4" t="inlineStr">
        <is>
          <t>WORKOVER / RECOMPLETACAO CAPITALIZADO</t>
        </is>
      </c>
      <c r="F582" s="4" t="inlineStr">
        <is>
          <t>INFERIOR</t>
        </is>
      </c>
      <c r="G582" s="4" t="n">
        <v>1</v>
      </c>
      <c r="H582" s="5" t="n">
        <v>4681557906.838175</v>
      </c>
      <c r="I582" s="5" t="n">
        <v>4681834930.590016</v>
      </c>
      <c r="J582" s="5" t="n">
        <v>494035.86</v>
      </c>
      <c r="K582" s="4" t="inlineStr">
        <is>
          <t>S</t>
        </is>
      </c>
      <c r="L582" s="4" t="inlineStr">
        <is>
          <t>2025-10-09</t>
        </is>
      </c>
      <c r="M582" s="5" t="n">
        <v>494035.86</v>
      </c>
      <c r="N582" s="5">
        <f>J582-M582</f>
        <v/>
      </c>
      <c r="O582" s="6">
        <f>IF(F582="INFERIOR",N582/J582,"")</f>
        <v/>
      </c>
      <c r="P582" s="5">
        <f>IF(F582="INFERIOR",O582*MUS_parametros!$B$18,N582)</f>
        <v/>
      </c>
      <c r="Q582" s="4" t="inlineStr">
        <is>
          <t>Documento confere com o registro</t>
        </is>
      </c>
    </row>
    <row r="583">
      <c r="A583" s="4" t="inlineStr">
        <is>
          <t>IMB-0396063</t>
        </is>
      </c>
      <c r="B583" s="4" t="inlineStr">
        <is>
          <t>DESENVOLVIMENTO_CAMPOS</t>
        </is>
      </c>
      <c r="C583" s="4" t="inlineStr">
        <is>
          <t>1.2.03.04.001</t>
        </is>
      </c>
      <c r="D583" s="4" t="inlineStr">
        <is>
          <t>POT-CONC-20 (SINTETICO)</t>
        </is>
      </c>
      <c r="E583" s="4" t="inlineStr">
        <is>
          <t>PERFURACAO E COMPLETACAO</t>
        </is>
      </c>
      <c r="F583" s="4" t="inlineStr">
        <is>
          <t>INFERIOR</t>
        </is>
      </c>
      <c r="G583" s="4" t="n">
        <v>1</v>
      </c>
      <c r="H583" s="5" t="n">
        <v>4687290906.838175</v>
      </c>
      <c r="I583" s="5" t="n">
        <v>4687370336.950027</v>
      </c>
      <c r="J583" s="5" t="n">
        <v>386474.1</v>
      </c>
      <c r="K583" s="4" t="inlineStr">
        <is>
          <t>S</t>
        </is>
      </c>
      <c r="L583" s="4" t="inlineStr">
        <is>
          <t>2025-12-10</t>
        </is>
      </c>
      <c r="M583" s="5" t="n">
        <v>386474.1</v>
      </c>
      <c r="N583" s="5">
        <f>J583-M583</f>
        <v/>
      </c>
      <c r="O583" s="6">
        <f>IF(F583="INFERIOR",N583/J583,"")</f>
        <v/>
      </c>
      <c r="P583" s="5">
        <f>IF(F583="INFERIOR",O583*MUS_parametros!$B$18,N583)</f>
        <v/>
      </c>
      <c r="Q583" s="4" t="inlineStr">
        <is>
          <t>Documento confere com o registro</t>
        </is>
      </c>
    </row>
    <row r="584">
      <c r="A584" s="4" t="inlineStr">
        <is>
          <t>IMB-0396725</t>
        </is>
      </c>
      <c r="B584" s="4" t="inlineStr">
        <is>
          <t>ALMOXARIFADO_INVERSOES_FIXAS</t>
        </is>
      </c>
      <c r="C584" s="4" t="inlineStr">
        <is>
          <t>1.2.03.07.001</t>
        </is>
      </c>
      <c r="D584" s="4" t="inlineStr">
        <is>
          <t>TARTARUGA</t>
        </is>
      </c>
      <c r="E584" s="4" t="inlineStr">
        <is>
          <t>TUBO DE REVESTIMENTO/PRODUCAO (LOTE)</t>
        </is>
      </c>
      <c r="F584" s="4" t="inlineStr">
        <is>
          <t>INFERIOR</t>
        </is>
      </c>
      <c r="G584" s="4" t="n">
        <v>1</v>
      </c>
      <c r="H584" s="5" t="n">
        <v>4693023906.838175</v>
      </c>
      <c r="I584" s="5" t="n">
        <v>4693033248.080029</v>
      </c>
      <c r="J584" s="5" t="n">
        <v>10743.98</v>
      </c>
      <c r="K584" s="4" t="inlineStr">
        <is>
          <t>S</t>
        </is>
      </c>
      <c r="L584" s="4" t="inlineStr">
        <is>
          <t>2024-05-18</t>
        </is>
      </c>
      <c r="M584" s="5" t="n">
        <v>10743.98</v>
      </c>
      <c r="N584" s="5">
        <f>J584-M584</f>
        <v/>
      </c>
      <c r="O584" s="6">
        <f>IF(F584="INFERIOR",N584/J584,"")</f>
        <v/>
      </c>
      <c r="P584" s="5">
        <f>IF(F584="INFERIOR",O584*MUS_parametros!$B$18,N584)</f>
        <v/>
      </c>
      <c r="Q584" s="4" t="inlineStr">
        <is>
          <t>Documento confere com o registro</t>
        </is>
      </c>
    </row>
    <row r="585">
      <c r="A585" s="4" t="inlineStr">
        <is>
          <t>IMB-0397494</t>
        </is>
      </c>
      <c r="B585" s="4" t="inlineStr">
        <is>
          <t>DESENVOLVIMENTO_CAMPOS</t>
        </is>
      </c>
      <c r="C585" s="4" t="inlineStr">
        <is>
          <t>1.2.03.04.001</t>
        </is>
      </c>
      <c r="D585" s="4" t="inlineStr">
        <is>
          <t>RIO MOSSORO</t>
        </is>
      </c>
      <c r="E585" s="4" t="inlineStr">
        <is>
          <t>PERFURACAO E COMPLETACAO</t>
        </is>
      </c>
      <c r="F585" s="4" t="inlineStr">
        <is>
          <t>INFERIOR</t>
        </is>
      </c>
      <c r="G585" s="4" t="n">
        <v>1</v>
      </c>
      <c r="H585" s="5" t="n">
        <v>4698756906.838175</v>
      </c>
      <c r="I585" s="5" t="n">
        <v>4698761997.680037</v>
      </c>
      <c r="J585" s="5" t="n">
        <v>134230.06</v>
      </c>
      <c r="K585" s="4" t="inlineStr">
        <is>
          <t>S</t>
        </is>
      </c>
      <c r="L585" s="4" t="inlineStr">
        <is>
          <t>2025-04-22</t>
        </is>
      </c>
      <c r="M585" s="5" t="n">
        <v>134230.06</v>
      </c>
      <c r="N585" s="5">
        <f>J585-M585</f>
        <v/>
      </c>
      <c r="O585" s="6">
        <f>IF(F585="INFERIOR",N585/J585,"")</f>
        <v/>
      </c>
      <c r="P585" s="5">
        <f>IF(F585="INFERIOR",O585*MUS_parametros!$B$18,N585)</f>
        <v/>
      </c>
      <c r="Q585" s="4" t="inlineStr">
        <is>
          <t>Documento confere com o registro</t>
        </is>
      </c>
    </row>
    <row r="586">
      <c r="A586" s="4" t="inlineStr">
        <is>
          <t>IMB-0398233</t>
        </is>
      </c>
      <c r="B586" s="4" t="inlineStr">
        <is>
          <t>DESENVOLVIMENTO_CAMPOS</t>
        </is>
      </c>
      <c r="C586" s="4" t="inlineStr">
        <is>
          <t>1.2.03.04.002</t>
        </is>
      </c>
      <c r="D586" s="4" t="inlineStr">
        <is>
          <t>APRAIUS</t>
        </is>
      </c>
      <c r="E586" s="4" t="inlineStr">
        <is>
          <t>WORKOVER / RECOMPLETACAO CAPITALIZADO</t>
        </is>
      </c>
      <c r="F586" s="4" t="inlineStr">
        <is>
          <t>INFERIOR</t>
        </is>
      </c>
      <c r="G586" s="4" t="n">
        <v>1</v>
      </c>
      <c r="H586" s="5" t="n">
        <v>4704489906.838175</v>
      </c>
      <c r="I586" s="5" t="n">
        <v>4704497439.010039</v>
      </c>
      <c r="J586" s="5" t="n">
        <v>10503.64</v>
      </c>
      <c r="K586" s="4" t="inlineStr">
        <is>
          <t>S</t>
        </is>
      </c>
      <c r="L586" s="4" t="inlineStr">
        <is>
          <t>2025-08-09</t>
        </is>
      </c>
      <c r="M586" s="5" t="n">
        <v>10503.64</v>
      </c>
      <c r="N586" s="5">
        <f>J586-M586</f>
        <v/>
      </c>
      <c r="O586" s="6">
        <f>IF(F586="INFERIOR",N586/J586,"")</f>
        <v/>
      </c>
      <c r="P586" s="5">
        <f>IF(F586="INFERIOR",O586*MUS_parametros!$B$18,N586)</f>
        <v/>
      </c>
      <c r="Q586" s="4" t="inlineStr">
        <is>
          <t>Documento confere com o registro</t>
        </is>
      </c>
    </row>
    <row r="587">
      <c r="A587" s="4" t="inlineStr">
        <is>
          <t>IMB-0398897</t>
        </is>
      </c>
      <c r="B587" s="4" t="inlineStr">
        <is>
          <t>DESENVOLVIMENTO_CAMPOS</t>
        </is>
      </c>
      <c r="C587" s="4" t="inlineStr">
        <is>
          <t>1.2.03.04.001</t>
        </is>
      </c>
      <c r="D587" s="4" t="inlineStr">
        <is>
          <t>POT-CONC-15 (SINTETICO)</t>
        </is>
      </c>
      <c r="E587" s="4" t="inlineStr">
        <is>
          <t>PERFURACAO E COMPLETACAO</t>
        </is>
      </c>
      <c r="F587" s="4" t="inlineStr">
        <is>
          <t>INFERIOR</t>
        </is>
      </c>
      <c r="G587" s="4" t="n">
        <v>1</v>
      </c>
      <c r="H587" s="5" t="n">
        <v>4710222906.838175</v>
      </c>
      <c r="I587" s="5" t="n">
        <v>4710283863.00004</v>
      </c>
      <c r="J587" s="5" t="n">
        <v>82206.35000000001</v>
      </c>
      <c r="K587" s="4" t="inlineStr">
        <is>
          <t>S</t>
        </is>
      </c>
      <c r="L587" s="4" t="inlineStr">
        <is>
          <t>2024-07-15</t>
        </is>
      </c>
      <c r="M587" s="5" t="n">
        <v>82206.35000000001</v>
      </c>
      <c r="N587" s="5">
        <f>J587-M587</f>
        <v/>
      </c>
      <c r="O587" s="6">
        <f>IF(F587="INFERIOR",N587/J587,"")</f>
        <v/>
      </c>
      <c r="P587" s="5">
        <f>IF(F587="INFERIOR",O587*MUS_parametros!$B$18,N587)</f>
        <v/>
      </c>
      <c r="Q587" s="4" t="inlineStr">
        <is>
          <t>Documento confere com o registro</t>
        </is>
      </c>
    </row>
    <row r="588">
      <c r="A588" s="4" t="inlineStr">
        <is>
          <t>IMB-0399355</t>
        </is>
      </c>
      <c r="B588" s="4" t="inlineStr">
        <is>
          <t>DESENVOLVIMENTO_CAMPOS</t>
        </is>
      </c>
      <c r="C588" s="4" t="inlineStr">
        <is>
          <t>1.2.03.04.001</t>
        </is>
      </c>
      <c r="D588" s="4" t="inlineStr">
        <is>
          <t>POT-CONC-19 (SINTETICO)</t>
        </is>
      </c>
      <c r="E588" s="4" t="inlineStr">
        <is>
          <t>PERFURACAO E COMPLETACAO</t>
        </is>
      </c>
      <c r="F588" s="4" t="inlineStr">
        <is>
          <t>INFERIOR</t>
        </is>
      </c>
      <c r="G588" s="4" t="n">
        <v>1</v>
      </c>
      <c r="H588" s="5" t="n">
        <v>4715955906.838175</v>
      </c>
      <c r="I588" s="5" t="n">
        <v>4715999010.270038</v>
      </c>
      <c r="J588" s="5" t="n">
        <v>198943.45</v>
      </c>
      <c r="K588" s="4" t="inlineStr">
        <is>
          <t>S</t>
        </is>
      </c>
      <c r="L588" s="4" t="inlineStr">
        <is>
          <t>2023-01-21</t>
        </is>
      </c>
      <c r="M588" s="5" t="n">
        <v>198943.45</v>
      </c>
      <c r="N588" s="5">
        <f>J588-M588</f>
        <v/>
      </c>
      <c r="O588" s="6">
        <f>IF(F588="INFERIOR",N588/J588,"")</f>
        <v/>
      </c>
      <c r="P588" s="5">
        <f>IF(F588="INFERIOR",O588*MUS_parametros!$B$18,N588)</f>
        <v/>
      </c>
      <c r="Q588" s="4" t="inlineStr">
        <is>
          <t>Documento confere com o registro</t>
        </is>
      </c>
    </row>
    <row r="589">
      <c r="A589" s="4" t="inlineStr">
        <is>
          <t>IMB-0400240</t>
        </is>
      </c>
      <c r="B589" s="4" t="inlineStr">
        <is>
          <t>DESENVOLVIMENTO_CAMPOS</t>
        </is>
      </c>
      <c r="C589" s="4" t="inlineStr">
        <is>
          <t>1.2.03.04.001</t>
        </is>
      </c>
      <c r="D589" s="4" t="inlineStr">
        <is>
          <t>APRAIUS</t>
        </is>
      </c>
      <c r="E589" s="4" t="inlineStr">
        <is>
          <t>PERFURACAO E COMPLETACAO</t>
        </is>
      </c>
      <c r="F589" s="4" t="inlineStr">
        <is>
          <t>INFERIOR</t>
        </is>
      </c>
      <c r="G589" s="4" t="n">
        <v>1</v>
      </c>
      <c r="H589" s="5" t="n">
        <v>4721688906.838175</v>
      </c>
      <c r="I589" s="5" t="n">
        <v>4721710302.600035</v>
      </c>
      <c r="J589" s="5" t="n">
        <v>80216</v>
      </c>
      <c r="K589" s="4" t="inlineStr">
        <is>
          <t>S</t>
        </is>
      </c>
      <c r="L589" s="4" t="inlineStr">
        <is>
          <t>2025-11-12</t>
        </is>
      </c>
      <c r="M589" s="5" t="n">
        <v>80216</v>
      </c>
      <c r="N589" s="5">
        <f>J589-M589</f>
        <v/>
      </c>
      <c r="O589" s="6">
        <f>IF(F589="INFERIOR",N589/J589,"")</f>
        <v/>
      </c>
      <c r="P589" s="5">
        <f>IF(F589="INFERIOR",O589*MUS_parametros!$B$18,N589)</f>
        <v/>
      </c>
      <c r="Q589" s="4" t="inlineStr">
        <is>
          <t>Documento confere com o registro</t>
        </is>
      </c>
    </row>
    <row r="590">
      <c r="A590" s="4" t="inlineStr">
        <is>
          <t>IMB-0401276</t>
        </is>
      </c>
      <c r="B590" s="4" t="inlineStr">
        <is>
          <t>MAQUINAS_EQUIPAMENTOS</t>
        </is>
      </c>
      <c r="C590" s="4" t="inlineStr">
        <is>
          <t>1.2.03.01.004</t>
        </is>
      </c>
      <c r="D590" s="4" t="inlineStr">
        <is>
          <t>UPGN GUAMARE</t>
        </is>
      </c>
      <c r="E590" s="4" t="inlineStr">
        <is>
          <t>UTILIDADES E INSTRUMENTACAO</t>
        </is>
      </c>
      <c r="F590" s="4" t="inlineStr">
        <is>
          <t>INFERIOR</t>
        </is>
      </c>
      <c r="G590" s="4" t="n">
        <v>1</v>
      </c>
      <c r="H590" s="5" t="n">
        <v>4727421906.838175</v>
      </c>
      <c r="I590" s="5" t="n">
        <v>4727518774.560033</v>
      </c>
      <c r="J590" s="5" t="n">
        <v>97873.49000000001</v>
      </c>
      <c r="K590" s="4" t="inlineStr">
        <is>
          <t>S</t>
        </is>
      </c>
      <c r="L590" s="4" t="inlineStr">
        <is>
          <t>2025-09-30</t>
        </is>
      </c>
      <c r="M590" s="5" t="n">
        <v>97873.49000000001</v>
      </c>
      <c r="N590" s="5">
        <f>J590-M590</f>
        <v/>
      </c>
      <c r="O590" s="6">
        <f>IF(F590="INFERIOR",N590/J590,"")</f>
        <v/>
      </c>
      <c r="P590" s="5">
        <f>IF(F590="INFERIOR",O590*MUS_parametros!$B$18,N590)</f>
        <v/>
      </c>
      <c r="Q590" s="4" t="inlineStr">
        <is>
          <t>Documento confere com o registro</t>
        </is>
      </c>
    </row>
    <row r="591">
      <c r="A591" s="4" t="inlineStr">
        <is>
          <t>IMB-0402145</t>
        </is>
      </c>
      <c r="B591" s="4" t="inlineStr">
        <is>
          <t>DESENVOLVIMENTO_CAMPOS</t>
        </is>
      </c>
      <c r="C591" s="4" t="inlineStr">
        <is>
          <t>1.2.03.04.002</t>
        </is>
      </c>
      <c r="D591" s="4" t="inlineStr">
        <is>
          <t>TARTARUGA</t>
        </is>
      </c>
      <c r="E591" s="4" t="inlineStr">
        <is>
          <t>FRATURAMENTO / ESTIMULACAO CAPITALIZADA</t>
        </is>
      </c>
      <c r="F591" s="4" t="inlineStr">
        <is>
          <t>INFERIOR</t>
        </is>
      </c>
      <c r="G591" s="4" t="n">
        <v>1</v>
      </c>
      <c r="H591" s="5" t="n">
        <v>4733154906.838175</v>
      </c>
      <c r="I591" s="5" t="n">
        <v>4733199378.120039</v>
      </c>
      <c r="J591" s="5" t="n">
        <v>54925.19</v>
      </c>
      <c r="K591" s="4" t="inlineStr">
        <is>
          <t>S</t>
        </is>
      </c>
      <c r="L591" s="4" t="inlineStr">
        <is>
          <t>2025-06-24</t>
        </is>
      </c>
      <c r="M591" s="5" t="n">
        <v>54925.19</v>
      </c>
      <c r="N591" s="5">
        <f>J591-M591</f>
        <v/>
      </c>
      <c r="O591" s="6">
        <f>IF(F591="INFERIOR",N591/J591,"")</f>
        <v/>
      </c>
      <c r="P591" s="5">
        <f>IF(F591="INFERIOR",O591*MUS_parametros!$B$18,N591)</f>
        <v/>
      </c>
      <c r="Q591" s="4" t="inlineStr">
        <is>
          <t>Documento confere com o registro</t>
        </is>
      </c>
    </row>
    <row r="592">
      <c r="A592" s="4" t="inlineStr">
        <is>
          <t>IMB-0402966</t>
        </is>
      </c>
      <c r="B592" s="4" t="inlineStr">
        <is>
          <t>ALMOXARIFADO_INVERSOES_FIXAS</t>
        </is>
      </c>
      <c r="C592" s="4" t="inlineStr">
        <is>
          <t>1.2.03.07.002</t>
        </is>
      </c>
      <c r="D592" s="4" t="inlineStr">
        <is>
          <t>POT-CONC-02 (SINTETICO)</t>
        </is>
      </c>
      <c r="E592" s="4" t="inlineStr">
        <is>
          <t>HASTE DE BOMBEIO (LOTE)</t>
        </is>
      </c>
      <c r="F592" s="4" t="inlineStr">
        <is>
          <t>INFERIOR</t>
        </is>
      </c>
      <c r="G592" s="4" t="n">
        <v>1</v>
      </c>
      <c r="H592" s="5" t="n">
        <v>4738887906.838175</v>
      </c>
      <c r="I592" s="5" t="n">
        <v>4738888272.490026</v>
      </c>
      <c r="J592" s="5" t="n">
        <v>807.29</v>
      </c>
      <c r="K592" s="4" t="inlineStr">
        <is>
          <t>S</t>
        </is>
      </c>
      <c r="L592" s="4" t="inlineStr">
        <is>
          <t>2025-04-05</t>
        </is>
      </c>
      <c r="M592" s="5" t="n">
        <v>807.29</v>
      </c>
      <c r="N592" s="5">
        <f>J592-M592</f>
        <v/>
      </c>
      <c r="O592" s="6">
        <f>IF(F592="INFERIOR",N592/J592,"")</f>
        <v/>
      </c>
      <c r="P592" s="5">
        <f>IF(F592="INFERIOR",O592*MUS_parametros!$B$18,N592)</f>
        <v/>
      </c>
      <c r="Q592" s="4" t="inlineStr">
        <is>
          <t>Documento confere com o registro</t>
        </is>
      </c>
    </row>
    <row r="593">
      <c r="A593" s="4" t="inlineStr">
        <is>
          <t>IMB-0403791</t>
        </is>
      </c>
      <c r="B593" s="4" t="inlineStr">
        <is>
          <t>DESENVOLVIMENTO_CAMPOS</t>
        </is>
      </c>
      <c r="C593" s="4" t="inlineStr">
        <is>
          <t>1.2.03.04.001</t>
        </is>
      </c>
      <c r="D593" s="4" t="inlineStr">
        <is>
          <t>MATA DE SAO JOAO</t>
        </is>
      </c>
      <c r="E593" s="4" t="inlineStr">
        <is>
          <t>PERFURACAO E COMPLETACAO</t>
        </is>
      </c>
      <c r="F593" s="4" t="inlineStr">
        <is>
          <t>INFERIOR</t>
        </is>
      </c>
      <c r="G593" s="4" t="n">
        <v>1</v>
      </c>
      <c r="H593" s="5" t="n">
        <v>4744620906.838175</v>
      </c>
      <c r="I593" s="5" t="n">
        <v>4746211498.410026</v>
      </c>
      <c r="J593" s="5" t="n">
        <v>1865684.32</v>
      </c>
      <c r="K593" s="4" t="inlineStr">
        <is>
          <t>S</t>
        </is>
      </c>
      <c r="L593" s="4" t="inlineStr">
        <is>
          <t>2024-04-04</t>
        </is>
      </c>
      <c r="M593" s="5" t="n">
        <v>1865684.32</v>
      </c>
      <c r="N593" s="5">
        <f>J593-M593</f>
        <v/>
      </c>
      <c r="O593" s="6">
        <f>IF(F593="INFERIOR",N593/J593,"")</f>
        <v/>
      </c>
      <c r="P593" s="5">
        <f>IF(F593="INFERIOR",O593*MUS_parametros!$B$18,N593)</f>
        <v/>
      </c>
      <c r="Q593" s="4" t="inlineStr">
        <is>
          <t>Documento confere com o registro</t>
        </is>
      </c>
    </row>
    <row r="594">
      <c r="A594" s="4" t="inlineStr">
        <is>
          <t>IMB-0404369</t>
        </is>
      </c>
      <c r="B594" s="4" t="inlineStr">
        <is>
          <t>ALMOXARIFADO_INVERSOES_FIXAS</t>
        </is>
      </c>
      <c r="C594" s="4" t="inlineStr">
        <is>
          <t>1.2.03.07.001</t>
        </is>
      </c>
      <c r="D594" s="4" t="inlineStr">
        <is>
          <t>CASSARONGONGO</t>
        </is>
      </c>
      <c r="E594" s="4" t="inlineStr">
        <is>
          <t>TUBO DE REVESTIMENTO/PRODUCAO (LOTE)</t>
        </is>
      </c>
      <c r="F594" s="4" t="inlineStr">
        <is>
          <t>INFERIOR</t>
        </is>
      </c>
      <c r="G594" s="4" t="n">
        <v>1</v>
      </c>
      <c r="H594" s="5" t="n">
        <v>4750353906.838175</v>
      </c>
      <c r="I594" s="5" t="n">
        <v>4750357128.130029</v>
      </c>
      <c r="J594" s="5" t="n">
        <v>6941.69</v>
      </c>
      <c r="K594" s="4" t="inlineStr">
        <is>
          <t>S</t>
        </is>
      </c>
      <c r="L594" s="4" t="inlineStr">
        <is>
          <t>2023-11-16</t>
        </is>
      </c>
      <c r="M594" s="5" t="n">
        <v>6941.69</v>
      </c>
      <c r="N594" s="5">
        <f>J594-M594</f>
        <v/>
      </c>
      <c r="O594" s="6">
        <f>IF(F594="INFERIOR",N594/J594,"")</f>
        <v/>
      </c>
      <c r="P594" s="5">
        <f>IF(F594="INFERIOR",O594*MUS_parametros!$B$18,N594)</f>
        <v/>
      </c>
      <c r="Q594" s="4" t="inlineStr">
        <is>
          <t>Documento confere com o registro</t>
        </is>
      </c>
    </row>
    <row r="595">
      <c r="A595" s="4" t="inlineStr">
        <is>
          <t>IMB-0405212</t>
        </is>
      </c>
      <c r="B595" s="4" t="inlineStr">
        <is>
          <t>DESENVOLVIMENTO_CAMPOS</t>
        </is>
      </c>
      <c r="C595" s="4" t="inlineStr">
        <is>
          <t>1.2.03.04.002</t>
        </is>
      </c>
      <c r="D595" s="4" t="inlineStr">
        <is>
          <t>POT-CONC-02 (SINTETICO)</t>
        </is>
      </c>
      <c r="E595" s="4" t="inlineStr">
        <is>
          <t>WORKOVER / RECOMPLETACAO CAPITALIZADO</t>
        </is>
      </c>
      <c r="F595" s="4" t="inlineStr">
        <is>
          <t>INFERIOR</t>
        </is>
      </c>
      <c r="G595" s="4" t="n">
        <v>1</v>
      </c>
      <c r="H595" s="5" t="n">
        <v>4756086906.838175</v>
      </c>
      <c r="I595" s="5" t="n">
        <v>4756095514.810028</v>
      </c>
      <c r="J595" s="5" t="n">
        <v>50941.45</v>
      </c>
      <c r="K595" s="4" t="inlineStr">
        <is>
          <t>S</t>
        </is>
      </c>
      <c r="L595" s="4" t="inlineStr">
        <is>
          <t>2025-08-07</t>
        </is>
      </c>
      <c r="M595" s="5" t="n">
        <v>50941.45</v>
      </c>
      <c r="N595" s="5">
        <f>J595-M595</f>
        <v/>
      </c>
      <c r="O595" s="6">
        <f>IF(F595="INFERIOR",N595/J595,"")</f>
        <v/>
      </c>
      <c r="P595" s="5">
        <f>IF(F595="INFERIOR",O595*MUS_parametros!$B$18,N595)</f>
        <v/>
      </c>
      <c r="Q595" s="4" t="inlineStr">
        <is>
          <t>Documento confere com o registro</t>
        </is>
      </c>
    </row>
    <row r="596">
      <c r="A596" s="4" t="inlineStr">
        <is>
          <t>IMB-0405483</t>
        </is>
      </c>
      <c r="B596" s="4" t="inlineStr">
        <is>
          <t>DIREITO_PRODUCAO_OLEO_GAS</t>
        </is>
      </c>
      <c r="C596" s="4" t="inlineStr">
        <is>
          <t>1.2.03.03.004</t>
        </is>
      </c>
      <c r="D596" s="4" t="inlineStr">
        <is>
          <t>POT-CONC-11 (SINTETICO)</t>
        </is>
      </c>
      <c r="E596" s="4" t="inlineStr">
        <is>
          <t>CUSTO DE AQUISICAO DA CONCESSAO</t>
        </is>
      </c>
      <c r="F596" s="4" t="inlineStr">
        <is>
          <t>SUPERIOR (VC &gt;= I)</t>
        </is>
      </c>
      <c r="G596" s="4" t="n">
        <v>10</v>
      </c>
      <c r="H596" s="5" t="n">
        <v>4761819906.838175</v>
      </c>
      <c r="I596" s="5" t="n">
        <v>4816513650.080024</v>
      </c>
      <c r="J596" s="5" t="n">
        <v>59158153.98</v>
      </c>
      <c r="K596" s="4" t="inlineStr">
        <is>
          <t>S</t>
        </is>
      </c>
      <c r="L596" s="4" t="inlineStr">
        <is>
          <t>2019-12-09</t>
        </is>
      </c>
      <c r="M596" s="5" t="n">
        <v>59158153.98</v>
      </c>
      <c r="N596" s="5">
        <f>J596-M596</f>
        <v/>
      </c>
      <c r="O596" s="6">
        <f>IF(F596="INFERIOR",N596/J596,"")</f>
        <v/>
      </c>
      <c r="P596" s="5">
        <f>IF(F596="INFERIOR",O596*MUS_parametros!$B$18,N596)</f>
        <v/>
      </c>
      <c r="Q596" s="4" t="inlineStr">
        <is>
          <t>Documento confere com o registro</t>
        </is>
      </c>
    </row>
    <row r="597">
      <c r="A597" s="4" t="inlineStr">
        <is>
          <t>IMB-0405995</t>
        </is>
      </c>
      <c r="B597" s="4" t="inlineStr">
        <is>
          <t>DESENVOLVIMENTO_CAMPOS</t>
        </is>
      </c>
      <c r="C597" s="4" t="inlineStr">
        <is>
          <t>1.2.03.04.001</t>
        </is>
      </c>
      <c r="D597" s="4" t="inlineStr">
        <is>
          <t>REMANSO</t>
        </is>
      </c>
      <c r="E597" s="4" t="inlineStr">
        <is>
          <t>PERFURACAO E COMPLETACAO</t>
        </is>
      </c>
      <c r="F597" s="4" t="inlineStr">
        <is>
          <t>INFERIOR</t>
        </is>
      </c>
      <c r="G597" s="4" t="n">
        <v>1</v>
      </c>
      <c r="H597" s="5" t="n">
        <v>4819149906.838175</v>
      </c>
      <c r="I597" s="5" t="n">
        <v>4819312037.540014</v>
      </c>
      <c r="J597" s="5" t="n">
        <v>186745.62</v>
      </c>
      <c r="K597" s="4" t="inlineStr">
        <is>
          <t>S</t>
        </is>
      </c>
      <c r="L597" s="4" t="inlineStr">
        <is>
          <t>2025-08-14</t>
        </is>
      </c>
      <c r="M597" s="5" t="n">
        <v>186745.62</v>
      </c>
      <c r="N597" s="5">
        <f>J597-M597</f>
        <v/>
      </c>
      <c r="O597" s="6">
        <f>IF(F597="INFERIOR",N597/J597,"")</f>
        <v/>
      </c>
      <c r="P597" s="5">
        <f>IF(F597="INFERIOR",O597*MUS_parametros!$B$18,N597)</f>
        <v/>
      </c>
      <c r="Q597" s="4" t="inlineStr">
        <is>
          <t>Documento confere com o registro</t>
        </is>
      </c>
    </row>
    <row r="598">
      <c r="A598" s="4" t="inlineStr">
        <is>
          <t>IMB-0406280</t>
        </is>
      </c>
      <c r="B598" s="4" t="inlineStr">
        <is>
          <t>ALMOXARIFADO_INVERSOES_FIXAS</t>
        </is>
      </c>
      <c r="C598" s="4" t="inlineStr">
        <is>
          <t>1.2.03.07.001</t>
        </is>
      </c>
      <c r="D598" s="4" t="inlineStr">
        <is>
          <t>REMANSO</t>
        </is>
      </c>
      <c r="E598" s="4" t="inlineStr">
        <is>
          <t>TUBO DE REVESTIMENTO/PRODUCAO (LOTE)</t>
        </is>
      </c>
      <c r="F598" s="4" t="inlineStr">
        <is>
          <t>INFERIOR</t>
        </is>
      </c>
      <c r="G598" s="4" t="n">
        <v>1</v>
      </c>
      <c r="H598" s="5" t="n">
        <v>4824882906.838175</v>
      </c>
      <c r="I598" s="5" t="n">
        <v>4824883810.560019</v>
      </c>
      <c r="J598" s="5" t="n">
        <v>6511.26</v>
      </c>
      <c r="K598" s="4" t="inlineStr">
        <is>
          <t>S</t>
        </is>
      </c>
      <c r="L598" s="4" t="inlineStr">
        <is>
          <t>2023-10-22</t>
        </is>
      </c>
      <c r="M598" s="5" t="n">
        <v>6511.26</v>
      </c>
      <c r="N598" s="5">
        <f>J598-M598</f>
        <v/>
      </c>
      <c r="O598" s="6">
        <f>IF(F598="INFERIOR",N598/J598,"")</f>
        <v/>
      </c>
      <c r="P598" s="5">
        <f>IF(F598="INFERIOR",O598*MUS_parametros!$B$18,N598)</f>
        <v/>
      </c>
      <c r="Q598" s="4" t="inlineStr">
        <is>
          <t>Documento confere com o registro</t>
        </is>
      </c>
    </row>
    <row r="599">
      <c r="A599" s="4" t="inlineStr">
        <is>
          <t>IMB-0407186</t>
        </is>
      </c>
      <c r="B599" s="4" t="inlineStr">
        <is>
          <t>DESENVOLVIMENTO_CAMPOS</t>
        </is>
      </c>
      <c r="C599" s="4" t="inlineStr">
        <is>
          <t>1.2.03.04.002</t>
        </is>
      </c>
      <c r="D599" s="4" t="inlineStr">
        <is>
          <t>FAZENDA ONCA</t>
        </is>
      </c>
      <c r="E599" s="4" t="inlineStr">
        <is>
          <t>WORKOVER / RECOMPLETACAO CAPITALIZADO</t>
        </is>
      </c>
      <c r="F599" s="4" t="inlineStr">
        <is>
          <t>INFERIOR</t>
        </is>
      </c>
      <c r="G599" s="4" t="n">
        <v>1</v>
      </c>
      <c r="H599" s="5" t="n">
        <v>4830615906.838175</v>
      </c>
      <c r="I599" s="5" t="n">
        <v>4830616174.570024</v>
      </c>
      <c r="J599" s="5" t="n">
        <v>12366.8</v>
      </c>
      <c r="K599" s="4" t="inlineStr">
        <is>
          <t>S</t>
        </is>
      </c>
      <c r="L599" s="4" t="inlineStr">
        <is>
          <t>2025-12-16</t>
        </is>
      </c>
      <c r="M599" s="5" t="n">
        <v>12366.8</v>
      </c>
      <c r="N599" s="5">
        <f>J599-M599</f>
        <v/>
      </c>
      <c r="O599" s="6">
        <f>IF(F599="INFERIOR",N599/J599,"")</f>
        <v/>
      </c>
      <c r="P599" s="5">
        <f>IF(F599="INFERIOR",O599*MUS_parametros!$B$18,N599)</f>
        <v/>
      </c>
      <c r="Q599" s="4" t="inlineStr">
        <is>
          <t>Documento confere com o registro</t>
        </is>
      </c>
    </row>
    <row r="600">
      <c r="A600" s="4" t="inlineStr">
        <is>
          <t>IMB-0407757</t>
        </is>
      </c>
      <c r="B600" s="4" t="inlineStr">
        <is>
          <t>MAQUINAS_EQUIPAMENTOS</t>
        </is>
      </c>
      <c r="C600" s="4" t="inlineStr">
        <is>
          <t>1.2.03.01.001</t>
        </is>
      </c>
      <c r="D600" s="4" t="inlineStr">
        <is>
          <t>MATA DE SAO JOAO</t>
        </is>
      </c>
      <c r="E600" s="4" t="inlineStr">
        <is>
          <t>COMPONENTE DE SONDA PROPRIA (PERFURACAO/PRODUCAO)</t>
        </is>
      </c>
      <c r="F600" s="4" t="inlineStr">
        <is>
          <t>INFERIOR</t>
        </is>
      </c>
      <c r="G600" s="4" t="n">
        <v>1</v>
      </c>
      <c r="H600" s="5" t="n">
        <v>4836348906.838175</v>
      </c>
      <c r="I600" s="5" t="n">
        <v>4836407634.800032</v>
      </c>
      <c r="J600" s="5" t="n">
        <v>97872.64999999999</v>
      </c>
      <c r="K600" s="4" t="inlineStr">
        <is>
          <t>S</t>
        </is>
      </c>
      <c r="L600" s="4" t="inlineStr">
        <is>
          <t>2017-07-12</t>
        </is>
      </c>
      <c r="M600" s="5" t="n">
        <v>97872.64999999999</v>
      </c>
      <c r="N600" s="5">
        <f>J600-M600</f>
        <v/>
      </c>
      <c r="O600" s="6">
        <f>IF(F600="INFERIOR",N600/J600,"")</f>
        <v/>
      </c>
      <c r="P600" s="5">
        <f>IF(F600="INFERIOR",O600*MUS_parametros!$B$18,N600)</f>
        <v/>
      </c>
      <c r="Q600" s="4" t="inlineStr">
        <is>
          <t>Documento confere com o registro</t>
        </is>
      </c>
    </row>
    <row r="601">
      <c r="A601" s="4" t="inlineStr">
        <is>
          <t>IMB-0408697</t>
        </is>
      </c>
      <c r="B601" s="4" t="inlineStr">
        <is>
          <t>DESENVOLVIMENTO_CAMPOS</t>
        </is>
      </c>
      <c r="C601" s="4" t="inlineStr">
        <is>
          <t>1.2.03.04.003</t>
        </is>
      </c>
      <c r="D601" s="4" t="inlineStr">
        <is>
          <t>POT-CONC-02 (SINTETICO)</t>
        </is>
      </c>
      <c r="E601" s="4" t="inlineStr">
        <is>
          <t>BOMBA DE FUNDO (BM/BCP)</t>
        </is>
      </c>
      <c r="F601" s="4" t="inlineStr">
        <is>
          <t>INFERIOR</t>
        </is>
      </c>
      <c r="G601" s="4" t="n">
        <v>1</v>
      </c>
      <c r="H601" s="5" t="n">
        <v>4842081906.838175</v>
      </c>
      <c r="I601" s="5" t="n">
        <v>4842084392.190026</v>
      </c>
      <c r="J601" s="5" t="n">
        <v>2782.51</v>
      </c>
      <c r="K601" s="4" t="inlineStr">
        <is>
          <t>S</t>
        </is>
      </c>
      <c r="L601" s="4" t="inlineStr">
        <is>
          <t>2025-10-13</t>
        </is>
      </c>
      <c r="M601" s="5" t="n">
        <v>2782.51</v>
      </c>
      <c r="N601" s="5">
        <f>J601-M601</f>
        <v/>
      </c>
      <c r="O601" s="6">
        <f>IF(F601="INFERIOR",N601/J601,"")</f>
        <v/>
      </c>
      <c r="P601" s="5">
        <f>IF(F601="INFERIOR",O601*MUS_parametros!$B$18,N601)</f>
        <v/>
      </c>
      <c r="Q601" s="4" t="inlineStr">
        <is>
          <t>Documento confere com o registro</t>
        </is>
      </c>
    </row>
    <row r="602">
      <c r="A602" s="4" t="inlineStr">
        <is>
          <t>IMB-0409528</t>
        </is>
      </c>
      <c r="B602" s="4" t="inlineStr">
        <is>
          <t>DESENVOLVIMENTO_CAMPOS</t>
        </is>
      </c>
      <c r="C602" s="4" t="inlineStr">
        <is>
          <t>1.2.03.04.001</t>
        </is>
      </c>
      <c r="D602" s="4" t="inlineStr">
        <is>
          <t>PAJEU</t>
        </is>
      </c>
      <c r="E602" s="4" t="inlineStr">
        <is>
          <t>PERFURACAO E COMPLETACAO</t>
        </is>
      </c>
      <c r="F602" s="4" t="inlineStr">
        <is>
          <t>INFERIOR</t>
        </is>
      </c>
      <c r="G602" s="4" t="n">
        <v>1</v>
      </c>
      <c r="H602" s="5" t="n">
        <v>4847814906.838175</v>
      </c>
      <c r="I602" s="5" t="n">
        <v>4848384707.760041</v>
      </c>
      <c r="J602" s="5" t="n">
        <v>684503.26</v>
      </c>
      <c r="K602" s="4" t="inlineStr">
        <is>
          <t>S</t>
        </is>
      </c>
      <c r="L602" s="4" t="inlineStr">
        <is>
          <t>2025-08-19</t>
        </is>
      </c>
      <c r="M602" s="5" t="n">
        <v>684503.26</v>
      </c>
      <c r="N602" s="5">
        <f>J602-M602</f>
        <v/>
      </c>
      <c r="O602" s="6">
        <f>IF(F602="INFERIOR",N602/J602,"")</f>
        <v/>
      </c>
      <c r="P602" s="5">
        <f>IF(F602="INFERIOR",O602*MUS_parametros!$B$18,N602)</f>
        <v/>
      </c>
      <c r="Q602" s="4" t="inlineStr">
        <is>
          <t>Documento confere com o registro</t>
        </is>
      </c>
    </row>
    <row r="603">
      <c r="A603" s="4" t="inlineStr">
        <is>
          <t>IMB-0410573</t>
        </is>
      </c>
      <c r="B603" s="4" t="inlineStr">
        <is>
          <t>DESENVOLVIMENTO_CAMPOS</t>
        </is>
      </c>
      <c r="C603" s="4" t="inlineStr">
        <is>
          <t>1.2.03.04.001</t>
        </is>
      </c>
      <c r="D603" s="4" t="inlineStr">
        <is>
          <t>NORTE FAZENDA CARUACU</t>
        </is>
      </c>
      <c r="E603" s="4" t="inlineStr">
        <is>
          <t>PERFURACAO E COMPLETACAO</t>
        </is>
      </c>
      <c r="F603" s="4" t="inlineStr">
        <is>
          <t>INFERIOR</t>
        </is>
      </c>
      <c r="G603" s="4" t="n">
        <v>1</v>
      </c>
      <c r="H603" s="5" t="n">
        <v>4853547906.838175</v>
      </c>
      <c r="I603" s="5" t="n">
        <v>4853562056.110049</v>
      </c>
      <c r="J603" s="5" t="n">
        <v>42074.24</v>
      </c>
      <c r="K603" s="4" t="inlineStr">
        <is>
          <t>S</t>
        </is>
      </c>
      <c r="L603" s="4" t="inlineStr">
        <is>
          <t>2025-12-26</t>
        </is>
      </c>
      <c r="M603" s="5" t="n">
        <v>42074.24</v>
      </c>
      <c r="N603" s="5">
        <f>J603-M603</f>
        <v/>
      </c>
      <c r="O603" s="6">
        <f>IF(F603="INFERIOR",N603/J603,"")</f>
        <v/>
      </c>
      <c r="P603" s="5">
        <f>IF(F603="INFERIOR",O603*MUS_parametros!$B$18,N603)</f>
        <v/>
      </c>
      <c r="Q603" s="4" t="inlineStr">
        <is>
          <t>Documento confere com o registro</t>
        </is>
      </c>
    </row>
    <row r="604">
      <c r="A604" s="4" t="inlineStr">
        <is>
          <t>IMB-0411300</t>
        </is>
      </c>
      <c r="B604" s="4" t="inlineStr">
        <is>
          <t>DESENVOLVIMENTO_CAMPOS</t>
        </is>
      </c>
      <c r="C604" s="4" t="inlineStr">
        <is>
          <t>1.2.03.04.001</t>
        </is>
      </c>
      <c r="D604" s="4" t="inlineStr">
        <is>
          <t>CASSARONGONGO</t>
        </is>
      </c>
      <c r="E604" s="4" t="inlineStr">
        <is>
          <t>PERFURACAO E COMPLETACAO</t>
        </is>
      </c>
      <c r="F604" s="4" t="inlineStr">
        <is>
          <t>INFERIOR</t>
        </is>
      </c>
      <c r="G604" s="4" t="n">
        <v>1</v>
      </c>
      <c r="H604" s="5" t="n">
        <v>4859280906.838175</v>
      </c>
      <c r="I604" s="5" t="n">
        <v>4859686265.930048</v>
      </c>
      <c r="J604" s="5" t="n">
        <v>458761.82</v>
      </c>
      <c r="K604" s="4" t="inlineStr">
        <is>
          <t>S</t>
        </is>
      </c>
      <c r="L604" s="4" t="inlineStr">
        <is>
          <t>2025-09-24</t>
        </is>
      </c>
      <c r="M604" s="5" t="n">
        <v>458761.82</v>
      </c>
      <c r="N604" s="5">
        <f>J604-M604</f>
        <v/>
      </c>
      <c r="O604" s="6">
        <f>IF(F604="INFERIOR",N604/J604,"")</f>
        <v/>
      </c>
      <c r="P604" s="5">
        <f>IF(F604="INFERIOR",O604*MUS_parametros!$B$18,N604)</f>
        <v/>
      </c>
      <c r="Q604" s="4" t="inlineStr">
        <is>
          <t>Documento confere com o registro</t>
        </is>
      </c>
    </row>
    <row r="605">
      <c r="A605" s="4" t="inlineStr">
        <is>
          <t>IMB-0412030</t>
        </is>
      </c>
      <c r="B605" s="4" t="inlineStr">
        <is>
          <t>DESENVOLVIMENTO_CAMPOS</t>
        </is>
      </c>
      <c r="C605" s="4" t="inlineStr">
        <is>
          <t>1.2.03.04.001</t>
        </is>
      </c>
      <c r="D605" s="4" t="inlineStr">
        <is>
          <t>BIRIBA</t>
        </is>
      </c>
      <c r="E605" s="4" t="inlineStr">
        <is>
          <t>PERFURACAO E COMPLETACAO</t>
        </is>
      </c>
      <c r="F605" s="4" t="inlineStr">
        <is>
          <t>INFERIOR</t>
        </is>
      </c>
      <c r="G605" s="4" t="n">
        <v>1</v>
      </c>
      <c r="H605" s="5" t="n">
        <v>4865013906.838175</v>
      </c>
      <c r="I605" s="5" t="n">
        <v>4865079839.680047</v>
      </c>
      <c r="J605" s="5" t="n">
        <v>245527.76</v>
      </c>
      <c r="K605" s="4" t="inlineStr">
        <is>
          <t>S</t>
        </is>
      </c>
      <c r="L605" s="4" t="inlineStr">
        <is>
          <t>2025-10-23</t>
        </is>
      </c>
      <c r="M605" s="5" t="n">
        <v>245527.76</v>
      </c>
      <c r="N605" s="5">
        <f>J605-M605</f>
        <v/>
      </c>
      <c r="O605" s="6">
        <f>IF(F605="INFERIOR",N605/J605,"")</f>
        <v/>
      </c>
      <c r="P605" s="5">
        <f>IF(F605="INFERIOR",O605*MUS_parametros!$B$18,N605)</f>
        <v/>
      </c>
      <c r="Q605" s="4" t="inlineStr">
        <is>
          <t>Documento confere com o registro</t>
        </is>
      </c>
    </row>
    <row r="606">
      <c r="A606" s="4" t="inlineStr">
        <is>
          <t>IMB-0412752</t>
        </is>
      </c>
      <c r="B606" s="4" t="inlineStr">
        <is>
          <t>DESENVOLVIMENTO_CAMPOS</t>
        </is>
      </c>
      <c r="C606" s="4" t="inlineStr">
        <is>
          <t>1.2.03.04.001</t>
        </is>
      </c>
      <c r="D606" s="4" t="inlineStr">
        <is>
          <t>RIO DOS OVOS</t>
        </is>
      </c>
      <c r="E606" s="4" t="inlineStr">
        <is>
          <t>PERFURACAO E COMPLETACAO</t>
        </is>
      </c>
      <c r="F606" s="4" t="inlineStr">
        <is>
          <t>INFERIOR</t>
        </is>
      </c>
      <c r="G606" s="4" t="n">
        <v>1</v>
      </c>
      <c r="H606" s="5" t="n">
        <v>4870746906.838175</v>
      </c>
      <c r="I606" s="5" t="n">
        <v>4870836985.440032</v>
      </c>
      <c r="J606" s="5" t="n">
        <v>106556.34</v>
      </c>
      <c r="K606" s="4" t="inlineStr">
        <is>
          <t>S</t>
        </is>
      </c>
      <c r="L606" s="4" t="inlineStr">
        <is>
          <t>2025-09-29</t>
        </is>
      </c>
      <c r="M606" s="5" t="n">
        <v>106556.34</v>
      </c>
      <c r="N606" s="5">
        <f>J606-M606</f>
        <v/>
      </c>
      <c r="O606" s="6">
        <f>IF(F606="INFERIOR",N606/J606,"")</f>
        <v/>
      </c>
      <c r="P606" s="5">
        <f>IF(F606="INFERIOR",O606*MUS_parametros!$B$18,N606)</f>
        <v/>
      </c>
      <c r="Q606" s="4" t="inlineStr">
        <is>
          <t>Documento confere com o registro</t>
        </is>
      </c>
    </row>
    <row r="607">
      <c r="A607" s="4" t="inlineStr">
        <is>
          <t>IMB-0413478</t>
        </is>
      </c>
      <c r="B607" s="4" t="inlineStr">
        <is>
          <t>MAQUINAS_EQUIPAMENTOS</t>
        </is>
      </c>
      <c r="C607" s="4" t="inlineStr">
        <is>
          <t>1.2.03.01.004</t>
        </is>
      </c>
      <c r="D607" s="4" t="inlineStr">
        <is>
          <t>UPGN GUAMARE</t>
        </is>
      </c>
      <c r="E607" s="4" t="inlineStr">
        <is>
          <t>MODULO DE PROCESSAMENTO UPGN III</t>
        </is>
      </c>
      <c r="F607" s="4" t="inlineStr">
        <is>
          <t>INFERIOR</t>
        </is>
      </c>
      <c r="G607" s="4" t="n">
        <v>1</v>
      </c>
      <c r="H607" s="5" t="n">
        <v>4876479906.838175</v>
      </c>
      <c r="I607" s="5" t="n">
        <v>4876532840.58002</v>
      </c>
      <c r="J607" s="5" t="n">
        <v>140084.35</v>
      </c>
      <c r="K607" s="4" t="inlineStr">
        <is>
          <t>S</t>
        </is>
      </c>
      <c r="L607" s="4" t="inlineStr">
        <is>
          <t>2025-09-30</t>
        </is>
      </c>
      <c r="M607" s="5" t="n">
        <v>140084.35</v>
      </c>
      <c r="N607" s="5">
        <f>J607-M607</f>
        <v/>
      </c>
      <c r="O607" s="6">
        <f>IF(F607="INFERIOR",N607/J607,"")</f>
        <v/>
      </c>
      <c r="P607" s="5">
        <f>IF(F607="INFERIOR",O607*MUS_parametros!$B$18,N607)</f>
        <v/>
      </c>
      <c r="Q607" s="4" t="inlineStr">
        <is>
          <t>Documento confere com o registro</t>
        </is>
      </c>
    </row>
    <row r="608">
      <c r="A608" s="4" t="inlineStr">
        <is>
          <t>IMB-0414035</t>
        </is>
      </c>
      <c r="B608" s="4" t="inlineStr">
        <is>
          <t>DESENVOLVIMENTO_CAMPOS</t>
        </is>
      </c>
      <c r="C608" s="4" t="inlineStr">
        <is>
          <t>1.2.03.04.001</t>
        </is>
      </c>
      <c r="D608" s="4" t="inlineStr">
        <is>
          <t>TARTARUGA</t>
        </is>
      </c>
      <c r="E608" s="4" t="inlineStr">
        <is>
          <t>PERFURACAO E COMPLETACAO</t>
        </is>
      </c>
      <c r="F608" s="4" t="inlineStr">
        <is>
          <t>INFERIOR</t>
        </is>
      </c>
      <c r="G608" s="4" t="n">
        <v>1</v>
      </c>
      <c r="H608" s="5" t="n">
        <v>4882212906.838175</v>
      </c>
      <c r="I608" s="5" t="n">
        <v>4883290611.010014</v>
      </c>
      <c r="J608" s="5" t="n">
        <v>3233441.56</v>
      </c>
      <c r="K608" s="4" t="inlineStr">
        <is>
          <t>S</t>
        </is>
      </c>
      <c r="L608" s="4" t="inlineStr">
        <is>
          <t>2025-07-19</t>
        </is>
      </c>
      <c r="M608" s="5" t="n">
        <v>3233441.56</v>
      </c>
      <c r="N608" s="5">
        <f>J608-M608</f>
        <v/>
      </c>
      <c r="O608" s="6">
        <f>IF(F608="INFERIOR",N608/J608,"")</f>
        <v/>
      </c>
      <c r="P608" s="5">
        <f>IF(F608="INFERIOR",O608*MUS_parametros!$B$18,N608)</f>
        <v/>
      </c>
      <c r="Q608" s="4" t="inlineStr">
        <is>
          <t>Documento confere com o registro</t>
        </is>
      </c>
    </row>
    <row r="609">
      <c r="A609" s="4" t="inlineStr">
        <is>
          <t>IMB-0414684</t>
        </is>
      </c>
      <c r="B609" s="4" t="inlineStr">
        <is>
          <t>MAQUINAS_EQUIPAMENTOS</t>
        </is>
      </c>
      <c r="C609" s="4" t="inlineStr">
        <is>
          <t>1.2.03.01.005</t>
        </is>
      </c>
      <c r="D609" s="4" t="inlineStr">
        <is>
          <t>POT-CONC-20 (SINTETICO)</t>
        </is>
      </c>
      <c r="E609" s="4" t="inlineStr">
        <is>
          <t>FERRAMENTA/EQUIPAMENTO DE CAMPO</t>
        </is>
      </c>
      <c r="F609" s="4" t="inlineStr">
        <is>
          <t>INFERIOR</t>
        </is>
      </c>
      <c r="G609" s="4" t="n">
        <v>1</v>
      </c>
      <c r="H609" s="5" t="n">
        <v>4887945906.838175</v>
      </c>
      <c r="I609" s="5" t="n">
        <v>4887946280.220016</v>
      </c>
      <c r="J609" s="5" t="n">
        <v>2130.65</v>
      </c>
      <c r="K609" s="4" t="inlineStr">
        <is>
          <t>S</t>
        </is>
      </c>
      <c r="L609" s="4" t="inlineStr">
        <is>
          <t>2021-08-13</t>
        </is>
      </c>
      <c r="M609" s="5" t="n">
        <v>2130.65</v>
      </c>
      <c r="N609" s="5">
        <f>J609-M609</f>
        <v/>
      </c>
      <c r="O609" s="6">
        <f>IF(F609="INFERIOR",N609/J609,"")</f>
        <v/>
      </c>
      <c r="P609" s="5">
        <f>IF(F609="INFERIOR",O609*MUS_parametros!$B$18,N609)</f>
        <v/>
      </c>
      <c r="Q609" s="4" t="inlineStr">
        <is>
          <t>Documento confere com o registro</t>
        </is>
      </c>
    </row>
    <row r="610">
      <c r="A610" s="4" t="inlineStr">
        <is>
          <t>IMB-0415156</t>
        </is>
      </c>
      <c r="B610" s="4" t="inlineStr">
        <is>
          <t>DESENVOLVIMENTO_CAMPOS</t>
        </is>
      </c>
      <c r="C610" s="4" t="inlineStr">
        <is>
          <t>1.2.03.04.001</t>
        </is>
      </c>
      <c r="D610" s="4" t="inlineStr">
        <is>
          <t>POT-CONC-11 (SINTETICO)</t>
        </is>
      </c>
      <c r="E610" s="4" t="inlineStr">
        <is>
          <t>PERFURACAO E COMPLETACAO</t>
        </is>
      </c>
      <c r="F610" s="4" t="inlineStr">
        <is>
          <t>INFERIOR</t>
        </is>
      </c>
      <c r="G610" s="4" t="n">
        <v>1</v>
      </c>
      <c r="H610" s="5" t="n">
        <v>4893678906.838175</v>
      </c>
      <c r="I610" s="5" t="n">
        <v>4893770390.500003</v>
      </c>
      <c r="J610" s="5" t="n">
        <v>91667.58</v>
      </c>
      <c r="K610" s="4" t="inlineStr">
        <is>
          <t>S</t>
        </is>
      </c>
      <c r="L610" s="4" t="inlineStr">
        <is>
          <t>2023-08-26</t>
        </is>
      </c>
      <c r="M610" s="5" t="n">
        <v>91667.58</v>
      </c>
      <c r="N610" s="5">
        <f>J610-M610</f>
        <v/>
      </c>
      <c r="O610" s="6">
        <f>IF(F610="INFERIOR",N610/J610,"")</f>
        <v/>
      </c>
      <c r="P610" s="5">
        <f>IF(F610="INFERIOR",O610*MUS_parametros!$B$18,N610)</f>
        <v/>
      </c>
      <c r="Q610" s="4" t="inlineStr">
        <is>
          <t>Documento confere com o registro</t>
        </is>
      </c>
    </row>
    <row r="611">
      <c r="A611" s="4" t="inlineStr">
        <is>
          <t>IMB-0416101</t>
        </is>
      </c>
      <c r="B611" s="4" t="inlineStr">
        <is>
          <t>DESENVOLVIMENTO_CAMPOS</t>
        </is>
      </c>
      <c r="C611" s="4" t="inlineStr">
        <is>
          <t>1.2.03.04.001</t>
        </is>
      </c>
      <c r="D611" s="4" t="inlineStr">
        <is>
          <t>POT-CONC-11 (SINTETICO)</t>
        </is>
      </c>
      <c r="E611" s="4" t="inlineStr">
        <is>
          <t>PERFURACAO E COMPLETACAO</t>
        </is>
      </c>
      <c r="F611" s="4" t="inlineStr">
        <is>
          <t>INFERIOR</t>
        </is>
      </c>
      <c r="G611" s="4" t="n">
        <v>1</v>
      </c>
      <c r="H611" s="5" t="n">
        <v>4899411906.838175</v>
      </c>
      <c r="I611" s="5" t="n">
        <v>4899722368.21001</v>
      </c>
      <c r="J611" s="5" t="n">
        <v>370566.58</v>
      </c>
      <c r="K611" s="4" t="inlineStr">
        <is>
          <t>S</t>
        </is>
      </c>
      <c r="L611" s="4" t="inlineStr">
        <is>
          <t>2025-01-05</t>
        </is>
      </c>
      <c r="M611" s="5" t="n">
        <v>370566.58</v>
      </c>
      <c r="N611" s="5">
        <f>J611-M611</f>
        <v/>
      </c>
      <c r="O611" s="6">
        <f>IF(F611="INFERIOR",N611/J611,"")</f>
        <v/>
      </c>
      <c r="P611" s="5">
        <f>IF(F611="INFERIOR",O611*MUS_parametros!$B$18,N611)</f>
        <v/>
      </c>
      <c r="Q611" s="4" t="inlineStr">
        <is>
          <t>Documento confere com o registro</t>
        </is>
      </c>
    </row>
    <row r="612">
      <c r="A612" s="4" t="inlineStr">
        <is>
          <t>IMB-0416996</t>
        </is>
      </c>
      <c r="B612" s="4" t="inlineStr">
        <is>
          <t>MAQUINAS_EQUIPAMENTOS</t>
        </is>
      </c>
      <c r="C612" s="4" t="inlineStr">
        <is>
          <t>1.2.03.01.002</t>
        </is>
      </c>
      <c r="D612" s="4" t="inlineStr">
        <is>
          <t>ACAUA</t>
        </is>
      </c>
      <c r="E612" s="4" t="inlineStr">
        <is>
          <t>UNIDADE DE BOMBEIO MECANICO</t>
        </is>
      </c>
      <c r="F612" s="4" t="inlineStr">
        <is>
          <t>INFERIOR</t>
        </is>
      </c>
      <c r="G612" s="4" t="n">
        <v>1</v>
      </c>
      <c r="H612" s="5" t="n">
        <v>4905144906.838175</v>
      </c>
      <c r="I612" s="5" t="n">
        <v>4905156824.480008</v>
      </c>
      <c r="J612" s="5" t="n">
        <v>23991.86</v>
      </c>
      <c r="K612" s="4" t="inlineStr">
        <is>
          <t>S</t>
        </is>
      </c>
      <c r="L612" s="4" t="inlineStr">
        <is>
          <t>2025-05-15</t>
        </is>
      </c>
      <c r="M612" s="5" t="n">
        <v>23991.86</v>
      </c>
      <c r="N612" s="5">
        <f>J612-M612</f>
        <v/>
      </c>
      <c r="O612" s="6">
        <f>IF(F612="INFERIOR",N612/J612,"")</f>
        <v/>
      </c>
      <c r="P612" s="5">
        <f>IF(F612="INFERIOR",O612*MUS_parametros!$B$18,N612)</f>
        <v/>
      </c>
      <c r="Q612" s="4" t="inlineStr">
        <is>
          <t>Documento confere com o registro</t>
        </is>
      </c>
    </row>
    <row r="613">
      <c r="A613" s="4" t="inlineStr">
        <is>
          <t>IMB-0417852</t>
        </is>
      </c>
      <c r="B613" s="4" t="inlineStr">
        <is>
          <t>DESENVOLVIMENTO_CAMPOS</t>
        </is>
      </c>
      <c r="C613" s="4" t="inlineStr">
        <is>
          <t>1.2.03.04.004</t>
        </is>
      </c>
      <c r="D613" s="4" t="inlineStr">
        <is>
          <t>RIO SUBAUMA</t>
        </is>
      </c>
      <c r="E613" s="4" t="inlineStr">
        <is>
          <t>LINHA DE SURGENCIA E MANIFOLD</t>
        </is>
      </c>
      <c r="F613" s="4" t="inlineStr">
        <is>
          <t>INFERIOR</t>
        </is>
      </c>
      <c r="G613" s="4" t="n">
        <v>1</v>
      </c>
      <c r="H613" s="5" t="n">
        <v>4910877906.838175</v>
      </c>
      <c r="I613" s="5" t="n">
        <v>4910883319.869999</v>
      </c>
      <c r="J613" s="5" t="n">
        <v>7124.9</v>
      </c>
      <c r="K613" s="4" t="inlineStr">
        <is>
          <t>S</t>
        </is>
      </c>
      <c r="L613" s="4" t="inlineStr">
        <is>
          <t>2025-09-25</t>
        </is>
      </c>
      <c r="M613" s="5" t="n">
        <v>7124.9</v>
      </c>
      <c r="N613" s="5">
        <f>J613-M613</f>
        <v/>
      </c>
      <c r="O613" s="6">
        <f>IF(F613="INFERIOR",N613/J613,"")</f>
        <v/>
      </c>
      <c r="P613" s="5">
        <f>IF(F613="INFERIOR",O613*MUS_parametros!$B$18,N613)</f>
        <v/>
      </c>
      <c r="Q613" s="4" t="inlineStr">
        <is>
          <t>Documento confere com o registro</t>
        </is>
      </c>
    </row>
    <row r="614">
      <c r="A614" s="4" t="inlineStr">
        <is>
          <t>IMB-0418796</t>
        </is>
      </c>
      <c r="B614" s="4" t="inlineStr">
        <is>
          <t>DESENVOLVIMENTO_CAMPOS</t>
        </is>
      </c>
      <c r="C614" s="4" t="inlineStr">
        <is>
          <t>1.2.03.04.001</t>
        </is>
      </c>
      <c r="D614" s="4" t="inlineStr">
        <is>
          <t>POT-CONC-12 (SINTETICO)</t>
        </is>
      </c>
      <c r="E614" s="4" t="inlineStr">
        <is>
          <t>PERFURACAO E COMPLETACAO</t>
        </is>
      </c>
      <c r="F614" s="4" t="inlineStr">
        <is>
          <t>INFERIOR</t>
        </is>
      </c>
      <c r="G614" s="4" t="n">
        <v>1</v>
      </c>
      <c r="H614" s="5" t="n">
        <v>4916610906.838175</v>
      </c>
      <c r="I614" s="5" t="n">
        <v>4916908559.210011</v>
      </c>
      <c r="J614" s="5" t="n">
        <v>409647.73</v>
      </c>
      <c r="K614" s="4" t="inlineStr">
        <is>
          <t>S</t>
        </is>
      </c>
      <c r="L614" s="4" t="inlineStr">
        <is>
          <t>2022-03-06</t>
        </is>
      </c>
      <c r="M614" s="5" t="n">
        <v>409647.73</v>
      </c>
      <c r="N614" s="5">
        <f>J614-M614</f>
        <v/>
      </c>
      <c r="O614" s="6">
        <f>IF(F614="INFERIOR",N614/J614,"")</f>
        <v/>
      </c>
      <c r="P614" s="5">
        <f>IF(F614="INFERIOR",O614*MUS_parametros!$B$18,N614)</f>
        <v/>
      </c>
      <c r="Q614" s="4" t="inlineStr">
        <is>
          <t>Documento confere com o registro</t>
        </is>
      </c>
    </row>
    <row r="615">
      <c r="A615" s="4" t="inlineStr">
        <is>
          <t>IMB-0419622</t>
        </is>
      </c>
      <c r="B615" s="4" t="inlineStr">
        <is>
          <t>DESENVOLVIMENTO_CAMPOS</t>
        </is>
      </c>
      <c r="C615" s="4" t="inlineStr">
        <is>
          <t>1.2.03.04.002</t>
        </is>
      </c>
      <c r="D615" s="4" t="inlineStr">
        <is>
          <t>TIE</t>
        </is>
      </c>
      <c r="E615" s="4" t="inlineStr">
        <is>
          <t>FRATURAMENTO / ESTIMULACAO CAPITALIZADA</t>
        </is>
      </c>
      <c r="F615" s="4" t="inlineStr">
        <is>
          <t>INFERIOR</t>
        </is>
      </c>
      <c r="G615" s="4" t="n">
        <v>1</v>
      </c>
      <c r="H615" s="5" t="n">
        <v>4922343906.838175</v>
      </c>
      <c r="I615" s="5" t="n">
        <v>4922373730.810019</v>
      </c>
      <c r="J615" s="5" t="n">
        <v>86995.36</v>
      </c>
      <c r="K615" s="4" t="inlineStr">
        <is>
          <t>S</t>
        </is>
      </c>
      <c r="L615" s="4" t="inlineStr">
        <is>
          <t>2025-12-24</t>
        </is>
      </c>
      <c r="M615" s="5" t="n">
        <v>86995.36</v>
      </c>
      <c r="N615" s="5">
        <f>J615-M615</f>
        <v/>
      </c>
      <c r="O615" s="6">
        <f>IF(F615="INFERIOR",N615/J615,"")</f>
        <v/>
      </c>
      <c r="P615" s="5">
        <f>IF(F615="INFERIOR",O615*MUS_parametros!$B$18,N615)</f>
        <v/>
      </c>
      <c r="Q615" s="4" t="inlineStr">
        <is>
          <t>Documento confere com o registro</t>
        </is>
      </c>
    </row>
    <row r="616">
      <c r="A616" s="4" t="inlineStr">
        <is>
          <t>IMB-0420563</t>
        </is>
      </c>
      <c r="B616" s="4" t="inlineStr">
        <is>
          <t>DESENVOLVIMENTO_CAMPOS</t>
        </is>
      </c>
      <c r="C616" s="4" t="inlineStr">
        <is>
          <t>1.2.03.04.005</t>
        </is>
      </c>
      <c r="D616" s="4" t="inlineStr">
        <is>
          <t>REMANSO</t>
        </is>
      </c>
      <c r="E616" s="4" t="inlineStr">
        <is>
          <t>CONVERSAO EM POCO INJETOR</t>
        </is>
      </c>
      <c r="F616" s="4" t="inlineStr">
        <is>
          <t>INFERIOR</t>
        </is>
      </c>
      <c r="G616" s="4" t="n">
        <v>1</v>
      </c>
      <c r="H616" s="5" t="n">
        <v>4928076906.838175</v>
      </c>
      <c r="I616" s="5" t="n">
        <v>4928079788.550016</v>
      </c>
      <c r="J616" s="5" t="n">
        <v>10717.73</v>
      </c>
      <c r="K616" s="4" t="inlineStr">
        <is>
          <t>S</t>
        </is>
      </c>
      <c r="L616" s="4" t="inlineStr">
        <is>
          <t>2024-09-01</t>
        </is>
      </c>
      <c r="M616" s="5" t="n">
        <v>10717.73</v>
      </c>
      <c r="N616" s="5">
        <f>J616-M616</f>
        <v/>
      </c>
      <c r="O616" s="6">
        <f>IF(F616="INFERIOR",N616/J616,"")</f>
        <v/>
      </c>
      <c r="P616" s="5">
        <f>IF(F616="INFERIOR",O616*MUS_parametros!$B$18,N616)</f>
        <v/>
      </c>
      <c r="Q616" s="4" t="inlineStr">
        <is>
          <t>Documento confere com o registro</t>
        </is>
      </c>
    </row>
    <row r="617">
      <c r="A617" s="4" t="inlineStr">
        <is>
          <t>IMB-0421506</t>
        </is>
      </c>
      <c r="B617" s="4" t="inlineStr">
        <is>
          <t>DESENVOLVIMENTO_CAMPOS</t>
        </is>
      </c>
      <c r="C617" s="4" t="inlineStr">
        <is>
          <t>1.2.03.04.001</t>
        </is>
      </c>
      <c r="D617" s="4" t="inlineStr">
        <is>
          <t>FAZENDA ONCA</t>
        </is>
      </c>
      <c r="E617" s="4" t="inlineStr">
        <is>
          <t>PERFURACAO E COMPLETACAO</t>
        </is>
      </c>
      <c r="F617" s="4" t="inlineStr">
        <is>
          <t>INFERIOR</t>
        </is>
      </c>
      <c r="G617" s="4" t="n">
        <v>1</v>
      </c>
      <c r="H617" s="5" t="n">
        <v>4933809906.838175</v>
      </c>
      <c r="I617" s="5" t="n">
        <v>4933972403.350009</v>
      </c>
      <c r="J617" s="5" t="n">
        <v>191663.99</v>
      </c>
      <c r="K617" s="4" t="inlineStr">
        <is>
          <t>S</t>
        </is>
      </c>
      <c r="L617" s="4" t="inlineStr">
        <is>
          <t>2025-09-12</t>
        </is>
      </c>
      <c r="M617" s="5" t="n">
        <v>191663.99</v>
      </c>
      <c r="N617" s="5">
        <f>J617-M617</f>
        <v/>
      </c>
      <c r="O617" s="6">
        <f>IF(F617="INFERIOR",N617/J617,"")</f>
        <v/>
      </c>
      <c r="P617" s="5">
        <f>IF(F617="INFERIOR",O617*MUS_parametros!$B$18,N617)</f>
        <v/>
      </c>
      <c r="Q617" s="4" t="inlineStr">
        <is>
          <t>Documento confere com o registro</t>
        </is>
      </c>
    </row>
    <row r="618">
      <c r="A618" s="4" t="inlineStr">
        <is>
          <t>IMB-0422394</t>
        </is>
      </c>
      <c r="B618" s="4" t="inlineStr">
        <is>
          <t>DESENVOLVIMENTO_CAMPOS</t>
        </is>
      </c>
      <c r="C618" s="4" t="inlineStr">
        <is>
          <t>1.2.03.04.001</t>
        </is>
      </c>
      <c r="D618" s="4" t="inlineStr">
        <is>
          <t>APRAIUS</t>
        </is>
      </c>
      <c r="E618" s="4" t="inlineStr">
        <is>
          <t>PERFURACAO E COMPLETACAO</t>
        </is>
      </c>
      <c r="F618" s="4" t="inlineStr">
        <is>
          <t>INFERIOR</t>
        </is>
      </c>
      <c r="G618" s="4" t="n">
        <v>1</v>
      </c>
      <c r="H618" s="5" t="n">
        <v>4939542906.838175</v>
      </c>
      <c r="I618" s="5" t="n">
        <v>4939801185.319989</v>
      </c>
      <c r="J618" s="5" t="n">
        <v>260957.83</v>
      </c>
      <c r="K618" s="4" t="inlineStr">
        <is>
          <t>S</t>
        </is>
      </c>
      <c r="L618" s="4" t="inlineStr">
        <is>
          <t>2025-12-27</t>
        </is>
      </c>
      <c r="M618" s="5" t="n">
        <v>260957.83</v>
      </c>
      <c r="N618" s="5">
        <f>J618-M618</f>
        <v/>
      </c>
      <c r="O618" s="6">
        <f>IF(F618="INFERIOR",N618/J618,"")</f>
        <v/>
      </c>
      <c r="P618" s="5">
        <f>IF(F618="INFERIOR",O618*MUS_parametros!$B$18,N618)</f>
        <v/>
      </c>
      <c r="Q618" s="4" t="inlineStr">
        <is>
          <t>Documento confere com o registro</t>
        </is>
      </c>
    </row>
    <row r="619">
      <c r="A619" s="4" t="inlineStr">
        <is>
          <t>IMB-0423284</t>
        </is>
      </c>
      <c r="B619" s="4" t="inlineStr">
        <is>
          <t>DESENVOLVIMENTO_CAMPOS</t>
        </is>
      </c>
      <c r="C619" s="4" t="inlineStr">
        <is>
          <t>1.2.03.04.001</t>
        </is>
      </c>
      <c r="D619" s="4" t="inlineStr">
        <is>
          <t>REMANSO</t>
        </is>
      </c>
      <c r="E619" s="4" t="inlineStr">
        <is>
          <t>PERFURACAO E COMPLETACAO</t>
        </is>
      </c>
      <c r="F619" s="4" t="inlineStr">
        <is>
          <t>INFERIOR</t>
        </is>
      </c>
      <c r="G619" s="4" t="n">
        <v>1</v>
      </c>
      <c r="H619" s="5" t="n">
        <v>4945275906.838175</v>
      </c>
      <c r="I619" s="5" t="n">
        <v>4945290000.699985</v>
      </c>
      <c r="J619" s="5" t="n">
        <v>45045.29</v>
      </c>
      <c r="K619" s="4" t="inlineStr">
        <is>
          <t>S</t>
        </is>
      </c>
      <c r="L619" s="4" t="inlineStr">
        <is>
          <t>2024-04-25</t>
        </is>
      </c>
      <c r="M619" s="5" t="n">
        <v>45045.29</v>
      </c>
      <c r="N619" s="5">
        <f>J619-M619</f>
        <v/>
      </c>
      <c r="O619" s="6">
        <f>IF(F619="INFERIOR",N619/J619,"")</f>
        <v/>
      </c>
      <c r="P619" s="5">
        <f>IF(F619="INFERIOR",O619*MUS_parametros!$B$18,N619)</f>
        <v/>
      </c>
      <c r="Q619" s="4" t="inlineStr">
        <is>
          <t>Documento confere com o registro</t>
        </is>
      </c>
    </row>
    <row r="620">
      <c r="A620" s="4" t="inlineStr">
        <is>
          <t>IMB-0423542</t>
        </is>
      </c>
      <c r="B620" s="4" t="inlineStr">
        <is>
          <t>BLOCOS_EXPLORATORIOS</t>
        </is>
      </c>
      <c r="C620" s="4" t="inlineStr">
        <is>
          <t>1.2.03.05.001</t>
        </is>
      </c>
      <c r="D620" s="4" t="inlineStr">
        <is>
          <t>BLOCO POT-T-742</t>
        </is>
      </c>
      <c r="E620" s="4" t="inlineStr">
        <is>
          <t>BONUS DE ASSINATURA E GASTOS EXPLORATORIOS</t>
        </is>
      </c>
      <c r="F620" s="4" t="inlineStr">
        <is>
          <t>INFERIOR</t>
        </is>
      </c>
      <c r="G620" s="4" t="n">
        <v>1</v>
      </c>
      <c r="H620" s="5" t="n">
        <v>4951008906.838175</v>
      </c>
      <c r="I620" s="5" t="n">
        <v>4953676434.939986</v>
      </c>
      <c r="J620" s="5" t="n">
        <v>3823966.92</v>
      </c>
      <c r="K620" s="4" t="inlineStr">
        <is>
          <t>S</t>
        </is>
      </c>
      <c r="L620" s="4" t="inlineStr">
        <is>
          <t>2024-06-27</t>
        </is>
      </c>
      <c r="M620" s="5" t="n">
        <v>3823966.92</v>
      </c>
      <c r="N620" s="5">
        <f>J620-M620</f>
        <v/>
      </c>
      <c r="O620" s="6">
        <f>IF(F620="INFERIOR",N620/J620,"")</f>
        <v/>
      </c>
      <c r="P620" s="5">
        <f>IF(F620="INFERIOR",O620*MUS_parametros!$B$18,N620)</f>
        <v/>
      </c>
      <c r="Q620" s="4" t="inlineStr">
        <is>
          <t>Documento confere com o registro</t>
        </is>
      </c>
    </row>
    <row r="621">
      <c r="A621" s="4" t="inlineStr">
        <is>
          <t>IMB-0424001</t>
        </is>
      </c>
      <c r="B621" s="4" t="inlineStr">
        <is>
          <t>DESENVOLVIMENTO_CAMPOS</t>
        </is>
      </c>
      <c r="C621" s="4" t="inlineStr">
        <is>
          <t>1.2.03.04.001</t>
        </is>
      </c>
      <c r="D621" s="4" t="inlineStr">
        <is>
          <t>RIO DOS OVOS</t>
        </is>
      </c>
      <c r="E621" s="4" t="inlineStr">
        <is>
          <t>PERFURACAO E COMPLETACAO</t>
        </is>
      </c>
      <c r="F621" s="4" t="inlineStr">
        <is>
          <t>INFERIOR</t>
        </is>
      </c>
      <c r="G621" s="4" t="n">
        <v>1</v>
      </c>
      <c r="H621" s="5" t="n">
        <v>4956741906.838175</v>
      </c>
      <c r="I621" s="5" t="n">
        <v>4956847150.789988</v>
      </c>
      <c r="J621" s="5" t="n">
        <v>134369.26</v>
      </c>
      <c r="K621" s="4" t="inlineStr">
        <is>
          <t>S</t>
        </is>
      </c>
      <c r="L621" s="4" t="inlineStr">
        <is>
          <t>2024-12-05</t>
        </is>
      </c>
      <c r="M621" s="5" t="n">
        <v>134369.26</v>
      </c>
      <c r="N621" s="5">
        <f>J621-M621</f>
        <v/>
      </c>
      <c r="O621" s="6">
        <f>IF(F621="INFERIOR",N621/J621,"")</f>
        <v/>
      </c>
      <c r="P621" s="5">
        <f>IF(F621="INFERIOR",O621*MUS_parametros!$B$18,N621)</f>
        <v/>
      </c>
      <c r="Q621" s="4" t="inlineStr">
        <is>
          <t>Documento confere com o registro</t>
        </is>
      </c>
    </row>
    <row r="622">
      <c r="A622" s="4" t="inlineStr">
        <is>
          <t>IMB-0424869</t>
        </is>
      </c>
      <c r="B622" s="4" t="inlineStr">
        <is>
          <t>DESENVOLVIMENTO_CAMPOS</t>
        </is>
      </c>
      <c r="C622" s="4" t="inlineStr">
        <is>
          <t>1.2.03.04.002</t>
        </is>
      </c>
      <c r="D622" s="4" t="inlineStr">
        <is>
          <t>JACUIPE</t>
        </is>
      </c>
      <c r="E622" s="4" t="inlineStr">
        <is>
          <t>FRATURAMENTO / ESTIMULACAO CAPITALIZADA</t>
        </is>
      </c>
      <c r="F622" s="4" t="inlineStr">
        <is>
          <t>INFERIOR</t>
        </is>
      </c>
      <c r="G622" s="4" t="n">
        <v>1</v>
      </c>
      <c r="H622" s="5" t="n">
        <v>4962474906.838175</v>
      </c>
      <c r="I622" s="5" t="n">
        <v>4962476781.919985</v>
      </c>
      <c r="J622" s="5" t="n">
        <v>8517.559999999999</v>
      </c>
      <c r="K622" s="4" t="inlineStr">
        <is>
          <t>S</t>
        </is>
      </c>
      <c r="L622" s="4" t="inlineStr">
        <is>
          <t>2024-10-20</t>
        </is>
      </c>
      <c r="M622" s="5" t="n">
        <v>8517.559999999999</v>
      </c>
      <c r="N622" s="5">
        <f>J622-M622</f>
        <v/>
      </c>
      <c r="O622" s="6">
        <f>IF(F622="INFERIOR",N622/J622,"")</f>
        <v/>
      </c>
      <c r="P622" s="5">
        <f>IF(F622="INFERIOR",O622*MUS_parametros!$B$18,N622)</f>
        <v/>
      </c>
      <c r="Q622" s="4" t="inlineStr">
        <is>
          <t>Documento confere com o registro</t>
        </is>
      </c>
    </row>
    <row r="623">
      <c r="A623" s="4" t="inlineStr">
        <is>
          <t>IMB-0425599</t>
        </is>
      </c>
      <c r="B623" s="4" t="inlineStr">
        <is>
          <t>MAQUINAS_EQUIPAMENTOS</t>
        </is>
      </c>
      <c r="C623" s="4" t="inlineStr">
        <is>
          <t>1.2.03.01.003</t>
        </is>
      </c>
      <c r="D623" s="4" t="inlineStr">
        <is>
          <t>REMANSO</t>
        </is>
      </c>
      <c r="E623" s="4" t="inlineStr">
        <is>
          <t>COMPRESSOR/SEPARADOR/TANQUE/FACILITY</t>
        </is>
      </c>
      <c r="F623" s="4" t="inlineStr">
        <is>
          <t>INFERIOR</t>
        </is>
      </c>
      <c r="G623" s="4" t="n">
        <v>1</v>
      </c>
      <c r="H623" s="5" t="n">
        <v>4968207906.838175</v>
      </c>
      <c r="I623" s="5" t="n">
        <v>4968226622.469995</v>
      </c>
      <c r="J623" s="5" t="n">
        <v>68733.84</v>
      </c>
      <c r="K623" s="4" t="inlineStr">
        <is>
          <t>S</t>
        </is>
      </c>
      <c r="L623" s="4" t="inlineStr">
        <is>
          <t>2025-07-16</t>
        </is>
      </c>
      <c r="M623" s="5" t="n">
        <v>68733.84</v>
      </c>
      <c r="N623" s="5">
        <f>J623-M623</f>
        <v/>
      </c>
      <c r="O623" s="6">
        <f>IF(F623="INFERIOR",N623/J623,"")</f>
        <v/>
      </c>
      <c r="P623" s="5">
        <f>IF(F623="INFERIOR",O623*MUS_parametros!$B$18,N623)</f>
        <v/>
      </c>
      <c r="Q623" s="4" t="inlineStr">
        <is>
          <t>Documento confere com o registro</t>
        </is>
      </c>
    </row>
    <row r="624">
      <c r="A624" s="4" t="inlineStr">
        <is>
          <t>IMB-0426168</t>
        </is>
      </c>
      <c r="B624" s="4" t="inlineStr">
        <is>
          <t>DESENVOLVIMENTO_CAMPOS</t>
        </is>
      </c>
      <c r="C624" s="4" t="inlineStr">
        <is>
          <t>1.2.03.04.001</t>
        </is>
      </c>
      <c r="D624" s="4" t="inlineStr">
        <is>
          <t>JACUIPE</t>
        </is>
      </c>
      <c r="E624" s="4" t="inlineStr">
        <is>
          <t>PERFURACAO E COMPLETACAO</t>
        </is>
      </c>
      <c r="F624" s="4" t="inlineStr">
        <is>
          <t>INFERIOR</t>
        </is>
      </c>
      <c r="G624" s="4" t="n">
        <v>1</v>
      </c>
      <c r="H624" s="5" t="n">
        <v>4973940906.838175</v>
      </c>
      <c r="I624" s="5" t="n">
        <v>4974374199.299986</v>
      </c>
      <c r="J624" s="5" t="n">
        <v>769551.49</v>
      </c>
      <c r="K624" s="4" t="inlineStr">
        <is>
          <t>S</t>
        </is>
      </c>
      <c r="L624" s="4" t="inlineStr">
        <is>
          <t>2025-07-12</t>
        </is>
      </c>
      <c r="M624" s="5" t="n">
        <v>769551.49</v>
      </c>
      <c r="N624" s="5">
        <f>J624-M624</f>
        <v/>
      </c>
      <c r="O624" s="6">
        <f>IF(F624="INFERIOR",N624/J624,"")</f>
        <v/>
      </c>
      <c r="P624" s="5">
        <f>IF(F624="INFERIOR",O624*MUS_parametros!$B$18,N624)</f>
        <v/>
      </c>
      <c r="Q624" s="4" t="inlineStr">
        <is>
          <t>Documento confere com o registro</t>
        </is>
      </c>
    </row>
    <row r="625">
      <c r="A625" s="4" t="inlineStr">
        <is>
          <t>IMB-0426908</t>
        </is>
      </c>
      <c r="B625" s="4" t="inlineStr">
        <is>
          <t>ALMOXARIFADO_INVERSOES_FIXAS</t>
        </is>
      </c>
      <c r="C625" s="4" t="inlineStr">
        <is>
          <t>1.2.03.07.001</t>
        </is>
      </c>
      <c r="D625" s="4" t="inlineStr">
        <is>
          <t>FAZENDA MALAQUIAS</t>
        </is>
      </c>
      <c r="E625" s="4" t="inlineStr">
        <is>
          <t>TUBO DE REVESTIMENTO/PRODUCAO (LOTE)</t>
        </is>
      </c>
      <c r="F625" s="4" t="inlineStr">
        <is>
          <t>INFERIOR</t>
        </is>
      </c>
      <c r="G625" s="4" t="n">
        <v>1</v>
      </c>
      <c r="H625" s="5" t="n">
        <v>4979673906.838175</v>
      </c>
      <c r="I625" s="5" t="n">
        <v>4979675118.72998</v>
      </c>
      <c r="J625" s="5" t="n">
        <v>1684.18</v>
      </c>
      <c r="K625" s="4" t="inlineStr">
        <is>
          <t>S</t>
        </is>
      </c>
      <c r="L625" s="4" t="inlineStr">
        <is>
          <t>2025-01-09</t>
        </is>
      </c>
      <c r="M625" s="5" t="n">
        <v>1684.18</v>
      </c>
      <c r="N625" s="5">
        <f>J625-M625</f>
        <v/>
      </c>
      <c r="O625" s="6">
        <f>IF(F625="INFERIOR",N625/J625,"")</f>
        <v/>
      </c>
      <c r="P625" s="5">
        <f>IF(F625="INFERIOR",O625*MUS_parametros!$B$18,N625)</f>
        <v/>
      </c>
      <c r="Q625" s="4" t="inlineStr">
        <is>
          <t>Documento confere com o registro</t>
        </is>
      </c>
    </row>
    <row r="626">
      <c r="A626" s="4" t="inlineStr">
        <is>
          <t>IMB-0427828</t>
        </is>
      </c>
      <c r="B626" s="4" t="inlineStr">
        <is>
          <t>DESENVOLVIMENTO_CAMPOS</t>
        </is>
      </c>
      <c r="C626" s="4" t="inlineStr">
        <is>
          <t>1.2.03.04.001</t>
        </is>
      </c>
      <c r="D626" s="4" t="inlineStr">
        <is>
          <t>POT-CONC-19 (SINTETICO)</t>
        </is>
      </c>
      <c r="E626" s="4" t="inlineStr">
        <is>
          <t>PERFURACAO E COMPLETACAO</t>
        </is>
      </c>
      <c r="F626" s="4" t="inlineStr">
        <is>
          <t>INFERIOR</t>
        </is>
      </c>
      <c r="G626" s="4" t="n">
        <v>1</v>
      </c>
      <c r="H626" s="5" t="n">
        <v>4985406906.838175</v>
      </c>
      <c r="I626" s="5" t="n">
        <v>4985465404.319975</v>
      </c>
      <c r="J626" s="5" t="n">
        <v>1189366.93</v>
      </c>
      <c r="K626" s="4" t="inlineStr">
        <is>
          <t>S</t>
        </is>
      </c>
      <c r="L626" s="4" t="inlineStr">
        <is>
          <t>2025-05-11</t>
        </is>
      </c>
      <c r="M626" s="5" t="n">
        <v>1189366.93</v>
      </c>
      <c r="N626" s="5">
        <f>J626-M626</f>
        <v/>
      </c>
      <c r="O626" s="6">
        <f>IF(F626="INFERIOR",N626/J626,"")</f>
        <v/>
      </c>
      <c r="P626" s="5">
        <f>IF(F626="INFERIOR",O626*MUS_parametros!$B$18,N626)</f>
        <v/>
      </c>
      <c r="Q626" s="4" t="inlineStr">
        <is>
          <t>Documento confere com o registro</t>
        </is>
      </c>
    </row>
    <row r="627">
      <c r="A627" s="4" t="inlineStr">
        <is>
          <t>IMB-0428754</t>
        </is>
      </c>
      <c r="B627" s="4" t="inlineStr">
        <is>
          <t>MAQUINAS_EQUIPAMENTOS</t>
        </is>
      </c>
      <c r="C627" s="4" t="inlineStr">
        <is>
          <t>1.2.03.01.004</t>
        </is>
      </c>
      <c r="D627" s="4" t="inlineStr">
        <is>
          <t>UPGN GUAMARE</t>
        </is>
      </c>
      <c r="E627" s="4" t="inlineStr">
        <is>
          <t>MODULO DE PROCESSAMENTO UPGN III</t>
        </is>
      </c>
      <c r="F627" s="4" t="inlineStr">
        <is>
          <t>INFERIOR</t>
        </is>
      </c>
      <c r="G627" s="4" t="n">
        <v>1</v>
      </c>
      <c r="H627" s="5" t="n">
        <v>4991139906.838175</v>
      </c>
      <c r="I627" s="5" t="n">
        <v>4991873596.789974</v>
      </c>
      <c r="J627" s="5" t="n">
        <v>1518073.8</v>
      </c>
      <c r="K627" s="4" t="inlineStr">
        <is>
          <t>S</t>
        </is>
      </c>
      <c r="L627" s="4" t="inlineStr">
        <is>
          <t>2025-09-30</t>
        </is>
      </c>
      <c r="M627" s="5" t="n">
        <v>1518073.8</v>
      </c>
      <c r="N627" s="5">
        <f>J627-M627</f>
        <v/>
      </c>
      <c r="O627" s="6">
        <f>IF(F627="INFERIOR",N627/J627,"")</f>
        <v/>
      </c>
      <c r="P627" s="5">
        <f>IF(F627="INFERIOR",O627*MUS_parametros!$B$18,N627)</f>
        <v/>
      </c>
      <c r="Q627" s="4" t="inlineStr">
        <is>
          <t>Documento confere com o registro</t>
        </is>
      </c>
    </row>
    <row r="628">
      <c r="A628" s="4" t="inlineStr">
        <is>
          <t>IMB-0429386</t>
        </is>
      </c>
      <c r="B628" s="4" t="inlineStr">
        <is>
          <t>IMOBILIZADO_EM_ANDAMENTO</t>
        </is>
      </c>
      <c r="C628" s="4" t="inlineStr">
        <is>
          <t>1.2.03.02.001</t>
        </is>
      </c>
      <c r="D628" s="4" t="inlineStr">
        <is>
          <t>POT-CONC-20 (SINTETICO)</t>
        </is>
      </c>
      <c r="E628" s="4" t="inlineStr">
        <is>
          <t>ORDEM DE INVESTIMENTO EM ANDAMENTO</t>
        </is>
      </c>
      <c r="F628" s="4" t="inlineStr">
        <is>
          <t>INFERIOR</t>
        </is>
      </c>
      <c r="G628" s="4" t="n">
        <v>1</v>
      </c>
      <c r="H628" s="5" t="n">
        <v>4996872906.838175</v>
      </c>
      <c r="I628" s="5" t="n">
        <v>4996888209.639966</v>
      </c>
      <c r="J628" s="5" t="n">
        <v>30765.65</v>
      </c>
      <c r="K628" s="4" t="inlineStr">
        <is>
          <t>S</t>
        </is>
      </c>
      <c r="L628" s="4" t="inlineStr">
        <is>
          <t>2025-08-28</t>
        </is>
      </c>
      <c r="M628" s="5" t="n">
        <v>30765.65</v>
      </c>
      <c r="N628" s="5">
        <f>J628-M628</f>
        <v/>
      </c>
      <c r="O628" s="6">
        <f>IF(F628="INFERIOR",N628/J628,"")</f>
        <v/>
      </c>
      <c r="P628" s="5">
        <f>IF(F628="INFERIOR",O628*MUS_parametros!$B$18,N628)</f>
        <v/>
      </c>
      <c r="Q628" s="4" t="inlineStr">
        <is>
          <t>Documento confere com o registro</t>
        </is>
      </c>
    </row>
    <row r="629">
      <c r="A629" s="4" t="inlineStr">
        <is>
          <t>IMB-0430091</t>
        </is>
      </c>
      <c r="B629" s="4" t="inlineStr">
        <is>
          <t>DESENVOLVIMENTO_CAMPOS</t>
        </is>
      </c>
      <c r="C629" s="4" t="inlineStr">
        <is>
          <t>1.2.03.04.001</t>
        </is>
      </c>
      <c r="D629" s="4" t="inlineStr">
        <is>
          <t>NORTE FAZENDA CARUACU</t>
        </is>
      </c>
      <c r="E629" s="4" t="inlineStr">
        <is>
          <t>PERFURACAO E COMPLETACAO</t>
        </is>
      </c>
      <c r="F629" s="4" t="inlineStr">
        <is>
          <t>INFERIOR</t>
        </is>
      </c>
      <c r="G629" s="4" t="n">
        <v>1</v>
      </c>
      <c r="H629" s="5" t="n">
        <v>5002605906.838175</v>
      </c>
      <c r="I629" s="5" t="n">
        <v>5004096210.549964</v>
      </c>
      <c r="J629" s="5" t="n">
        <v>2947113.56</v>
      </c>
      <c r="K629" s="4" t="inlineStr">
        <is>
          <t>S</t>
        </is>
      </c>
      <c r="L629" s="4" t="inlineStr">
        <is>
          <t>2024-06-23</t>
        </is>
      </c>
      <c r="M629" s="5" t="n">
        <v>2947113.56</v>
      </c>
      <c r="N629" s="5">
        <f>J629-M629</f>
        <v/>
      </c>
      <c r="O629" s="6">
        <f>IF(F629="INFERIOR",N629/J629,"")</f>
        <v/>
      </c>
      <c r="P629" s="5">
        <f>IF(F629="INFERIOR",O629*MUS_parametros!$B$18,N629)</f>
        <v/>
      </c>
      <c r="Q629" s="4" t="inlineStr">
        <is>
          <t>Documento confere com o registro</t>
        </is>
      </c>
    </row>
    <row r="630">
      <c r="A630" s="4" t="inlineStr">
        <is>
          <t>IMB-0430689</t>
        </is>
      </c>
      <c r="B630" s="4" t="inlineStr">
        <is>
          <t>ALMOXARIFADO_INVERSOES_FIXAS</t>
        </is>
      </c>
      <c r="C630" s="4" t="inlineStr">
        <is>
          <t>1.2.03.07.002</t>
        </is>
      </c>
      <c r="D630" s="4" t="inlineStr">
        <is>
          <t>TIE</t>
        </is>
      </c>
      <c r="E630" s="4" t="inlineStr">
        <is>
          <t>BOMBA DE FUNDO EM ESTOQUE</t>
        </is>
      </c>
      <c r="F630" s="4" t="inlineStr">
        <is>
          <t>INFERIOR</t>
        </is>
      </c>
      <c r="G630" s="4" t="n">
        <v>1</v>
      </c>
      <c r="H630" s="5" t="n">
        <v>5008338906.838175</v>
      </c>
      <c r="I630" s="5" t="n">
        <v>5008339065.469971</v>
      </c>
      <c r="J630" s="5" t="n">
        <v>5187.65</v>
      </c>
      <c r="K630" s="4" t="inlineStr">
        <is>
          <t>S</t>
        </is>
      </c>
      <c r="L630" s="4" t="inlineStr">
        <is>
          <t>2024-01-25</t>
        </is>
      </c>
      <c r="M630" s="5" t="n">
        <v>5187.65</v>
      </c>
      <c r="N630" s="5">
        <f>J630-M630</f>
        <v/>
      </c>
      <c r="O630" s="6">
        <f>IF(F630="INFERIOR",N630/J630,"")</f>
        <v/>
      </c>
      <c r="P630" s="5">
        <f>IF(F630="INFERIOR",O630*MUS_parametros!$B$18,N630)</f>
        <v/>
      </c>
      <c r="Q630" s="4" t="inlineStr">
        <is>
          <t>Documento confere com o registro</t>
        </is>
      </c>
    </row>
    <row r="631">
      <c r="A631" s="4" t="inlineStr">
        <is>
          <t>IMB-0431486</t>
        </is>
      </c>
      <c r="B631" s="4" t="inlineStr">
        <is>
          <t>DESENVOLVIMENTO_CAMPOS</t>
        </is>
      </c>
      <c r="C631" s="4" t="inlineStr">
        <is>
          <t>1.2.03.04.001</t>
        </is>
      </c>
      <c r="D631" s="4" t="inlineStr">
        <is>
          <t>MATA DE SAO JOAO</t>
        </is>
      </c>
      <c r="E631" s="4" t="inlineStr">
        <is>
          <t>PERFURACAO E COMPLETACAO</t>
        </is>
      </c>
      <c r="F631" s="4" t="inlineStr">
        <is>
          <t>INFERIOR</t>
        </is>
      </c>
      <c r="G631" s="4" t="n">
        <v>1</v>
      </c>
      <c r="H631" s="5" t="n">
        <v>5014071906.838175</v>
      </c>
      <c r="I631" s="5" t="n">
        <v>5014073072.379973</v>
      </c>
      <c r="J631" s="5" t="n">
        <v>259549.04</v>
      </c>
      <c r="K631" s="4" t="inlineStr">
        <is>
          <t>S</t>
        </is>
      </c>
      <c r="L631" s="4" t="inlineStr">
        <is>
          <t>2025-10-12</t>
        </is>
      </c>
      <c r="M631" s="5" t="n">
        <v>259549.04</v>
      </c>
      <c r="N631" s="5">
        <f>J631-M631</f>
        <v/>
      </c>
      <c r="O631" s="6">
        <f>IF(F631="INFERIOR",N631/J631,"")</f>
        <v/>
      </c>
      <c r="P631" s="5">
        <f>IF(F631="INFERIOR",O631*MUS_parametros!$B$18,N631)</f>
        <v/>
      </c>
      <c r="Q631" s="4" t="inlineStr">
        <is>
          <t>Documento confere com o registro</t>
        </is>
      </c>
    </row>
    <row r="632">
      <c r="A632" s="4" t="inlineStr">
        <is>
          <t>IMB-0432160</t>
        </is>
      </c>
      <c r="B632" s="4" t="inlineStr">
        <is>
          <t>DESENVOLVIMENTO_CAMPOS</t>
        </is>
      </c>
      <c r="C632" s="4" t="inlineStr">
        <is>
          <t>1.2.03.04.001</t>
        </is>
      </c>
      <c r="D632" s="4" t="inlineStr">
        <is>
          <t>POT-CONC-19 (SINTETICO)</t>
        </is>
      </c>
      <c r="E632" s="4" t="inlineStr">
        <is>
          <t>PERFURACAO E COMPLETACAO</t>
        </is>
      </c>
      <c r="F632" s="4" t="inlineStr">
        <is>
          <t>INFERIOR</t>
        </is>
      </c>
      <c r="G632" s="4" t="n">
        <v>1</v>
      </c>
      <c r="H632" s="5" t="n">
        <v>5019804906.838175</v>
      </c>
      <c r="I632" s="5" t="n">
        <v>5021014133.829972</v>
      </c>
      <c r="J632" s="5" t="n">
        <v>1851075.38</v>
      </c>
      <c r="K632" s="4" t="inlineStr">
        <is>
          <t>S</t>
        </is>
      </c>
      <c r="L632" s="4" t="inlineStr">
        <is>
          <t>2025-09-18</t>
        </is>
      </c>
      <c r="M632" s="5" t="n">
        <v>1851075.38</v>
      </c>
      <c r="N632" s="5">
        <f>J632-M632</f>
        <v/>
      </c>
      <c r="O632" s="6">
        <f>IF(F632="INFERIOR",N632/J632,"")</f>
        <v/>
      </c>
      <c r="P632" s="5">
        <f>IF(F632="INFERIOR",O632*MUS_parametros!$B$18,N632)</f>
        <v/>
      </c>
      <c r="Q632" s="4" t="inlineStr">
        <is>
          <t>Documento confere com o registro</t>
        </is>
      </c>
    </row>
    <row r="633">
      <c r="A633" s="4" t="inlineStr">
        <is>
          <t>IMB-0432832</t>
        </is>
      </c>
      <c r="B633" s="4" t="inlineStr">
        <is>
          <t>IMOBILIZADO_EM_ANDAMENTO</t>
        </is>
      </c>
      <c r="C633" s="4" t="inlineStr">
        <is>
          <t>1.2.03.02.002</t>
        </is>
      </c>
      <c r="D633" s="4" t="inlineStr">
        <is>
          <t>RIO SUBAUMA</t>
        </is>
      </c>
      <c r="E633" s="4" t="inlineStr">
        <is>
          <t>ORDEM DE INVESTIMENTO EM ANDAMENTO</t>
        </is>
      </c>
      <c r="F633" s="4" t="inlineStr">
        <is>
          <t>INFERIOR</t>
        </is>
      </c>
      <c r="G633" s="4" t="n">
        <v>1</v>
      </c>
      <c r="H633" s="5" t="n">
        <v>5025537906.838175</v>
      </c>
      <c r="I633" s="5" t="n">
        <v>5025596053.779971</v>
      </c>
      <c r="J633" s="5" t="n">
        <v>76014.34</v>
      </c>
      <c r="K633" s="4" t="inlineStr">
        <is>
          <t>S</t>
        </is>
      </c>
      <c r="L633" s="4" t="inlineStr">
        <is>
          <t>2024-08-24</t>
        </is>
      </c>
      <c r="M633" s="5" t="n">
        <v>76014.34</v>
      </c>
      <c r="N633" s="5">
        <f>J633-M633</f>
        <v/>
      </c>
      <c r="O633" s="6">
        <f>IF(F633="INFERIOR",N633/J633,"")</f>
        <v/>
      </c>
      <c r="P633" s="5">
        <f>IF(F633="INFERIOR",O633*MUS_parametros!$B$18,N633)</f>
        <v/>
      </c>
      <c r="Q633" s="4" t="inlineStr">
        <is>
          <t>Documento confere com o registro</t>
        </is>
      </c>
    </row>
    <row r="634">
      <c r="A634" s="4" t="inlineStr">
        <is>
          <t>IMB-0433471</t>
        </is>
      </c>
      <c r="B634" s="4" t="inlineStr">
        <is>
          <t>DESENVOLVIMENTO_CAMPOS</t>
        </is>
      </c>
      <c r="C634" s="4" t="inlineStr">
        <is>
          <t>1.2.03.04.001</t>
        </is>
      </c>
      <c r="D634" s="4" t="inlineStr">
        <is>
          <t>TIE</t>
        </is>
      </c>
      <c r="E634" s="4" t="inlineStr">
        <is>
          <t>PERFURACAO E COMPLETACAO</t>
        </is>
      </c>
      <c r="F634" s="4" t="inlineStr">
        <is>
          <t>INFERIOR</t>
        </is>
      </c>
      <c r="G634" s="4" t="n">
        <v>1</v>
      </c>
      <c r="H634" s="5" t="n">
        <v>5031270906.838175</v>
      </c>
      <c r="I634" s="5" t="n">
        <v>5032498389.659964</v>
      </c>
      <c r="J634" s="5" t="n">
        <v>1479340.84</v>
      </c>
      <c r="K634" s="4" t="inlineStr">
        <is>
          <t>S</t>
        </is>
      </c>
      <c r="L634" s="4" t="inlineStr">
        <is>
          <t>2025-05-05</t>
        </is>
      </c>
      <c r="M634" s="5" t="n">
        <v>1479340.84</v>
      </c>
      <c r="N634" s="5">
        <f>J634-M634</f>
        <v/>
      </c>
      <c r="O634" s="6">
        <f>IF(F634="INFERIOR",N634/J634,"")</f>
        <v/>
      </c>
      <c r="P634" s="5">
        <f>IF(F634="INFERIOR",O634*MUS_parametros!$B$18,N634)</f>
        <v/>
      </c>
      <c r="Q634" s="4" t="inlineStr">
        <is>
          <t>Documento confere com o registro</t>
        </is>
      </c>
    </row>
    <row r="635">
      <c r="A635" s="4" t="inlineStr">
        <is>
          <t>IMB-0434181</t>
        </is>
      </c>
      <c r="B635" s="4" t="inlineStr">
        <is>
          <t>DESENVOLVIMENTO_CAMPOS</t>
        </is>
      </c>
      <c r="C635" s="4" t="inlineStr">
        <is>
          <t>1.2.03.04.001</t>
        </is>
      </c>
      <c r="D635" s="4" t="inlineStr">
        <is>
          <t>POT-CONC-20 (SINTETICO)</t>
        </is>
      </c>
      <c r="E635" s="4" t="inlineStr">
        <is>
          <t>PERFURACAO E COMPLETACAO</t>
        </is>
      </c>
      <c r="F635" s="4" t="inlineStr">
        <is>
          <t>INFERIOR</t>
        </is>
      </c>
      <c r="G635" s="4" t="n">
        <v>1</v>
      </c>
      <c r="H635" s="5" t="n">
        <v>5037003906.838175</v>
      </c>
      <c r="I635" s="5" t="n">
        <v>5037200028.769959</v>
      </c>
      <c r="J635" s="5" t="n">
        <v>218931.08</v>
      </c>
      <c r="K635" s="4" t="inlineStr">
        <is>
          <t>S</t>
        </is>
      </c>
      <c r="L635" s="4" t="inlineStr">
        <is>
          <t>2022-03-24</t>
        </is>
      </c>
      <c r="M635" s="5" t="n">
        <v>218931.08</v>
      </c>
      <c r="N635" s="5">
        <f>J635-M635</f>
        <v/>
      </c>
      <c r="O635" s="6">
        <f>IF(F635="INFERIOR",N635/J635,"")</f>
        <v/>
      </c>
      <c r="P635" s="5">
        <f>IF(F635="INFERIOR",O635*MUS_parametros!$B$18,N635)</f>
        <v/>
      </c>
      <c r="Q635" s="4" t="inlineStr">
        <is>
          <t>Documento confere com o registro</t>
        </is>
      </c>
    </row>
    <row r="636">
      <c r="A636" s="4" t="inlineStr">
        <is>
          <t>IMB-0434897</t>
        </is>
      </c>
      <c r="B636" s="4" t="inlineStr">
        <is>
          <t>DESENVOLVIMENTO_CAMPOS</t>
        </is>
      </c>
      <c r="C636" s="4" t="inlineStr">
        <is>
          <t>1.2.03.04.001</t>
        </is>
      </c>
      <c r="D636" s="4" t="inlineStr">
        <is>
          <t>JACUIPE</t>
        </is>
      </c>
      <c r="E636" s="4" t="inlineStr">
        <is>
          <t>PERFURACAO E COMPLETACAO</t>
        </is>
      </c>
      <c r="F636" s="4" t="inlineStr">
        <is>
          <t>INFERIOR</t>
        </is>
      </c>
      <c r="G636" s="4" t="n">
        <v>1</v>
      </c>
      <c r="H636" s="5" t="n">
        <v>5042736906.838175</v>
      </c>
      <c r="I636" s="5" t="n">
        <v>5042771067.069959</v>
      </c>
      <c r="J636" s="5" t="n">
        <v>41106.15</v>
      </c>
      <c r="K636" s="4" t="inlineStr">
        <is>
          <t>S</t>
        </is>
      </c>
      <c r="L636" s="4" t="inlineStr">
        <is>
          <t>2023-11-17</t>
        </is>
      </c>
      <c r="M636" s="5" t="n">
        <v>41106.15</v>
      </c>
      <c r="N636" s="5">
        <f>J636-M636</f>
        <v/>
      </c>
      <c r="O636" s="6">
        <f>IF(F636="INFERIOR",N636/J636,"")</f>
        <v/>
      </c>
      <c r="P636" s="5">
        <f>IF(F636="INFERIOR",O636*MUS_parametros!$B$18,N636)</f>
        <v/>
      </c>
      <c r="Q636" s="4" t="inlineStr">
        <is>
          <t>Documento confere com o registro</t>
        </is>
      </c>
    </row>
    <row r="637">
      <c r="A637" s="4" t="inlineStr">
        <is>
          <t>IMB-0435587</t>
        </is>
      </c>
      <c r="B637" s="4" t="inlineStr">
        <is>
          <t>OUTROS</t>
        </is>
      </c>
      <c r="C637" s="4" t="inlineStr">
        <is>
          <t>1.2.03.09.004</t>
        </is>
      </c>
      <c r="D637" s="4" t="inlineStr">
        <is>
          <t>LAGOA DO PAULO SUL</t>
        </is>
      </c>
      <c r="E637" s="4" t="inlineStr">
        <is>
          <t>EQUIPAMENTO DE INFORMATICA</t>
        </is>
      </c>
      <c r="F637" s="4" t="inlineStr">
        <is>
          <t>INFERIOR</t>
        </is>
      </c>
      <c r="G637" s="4" t="n">
        <v>1</v>
      </c>
      <c r="H637" s="5" t="n">
        <v>5048469906.838175</v>
      </c>
      <c r="I637" s="5" t="n">
        <v>5048470970.229954</v>
      </c>
      <c r="J637" s="5" t="n">
        <v>1758.85</v>
      </c>
      <c r="K637" s="4" t="inlineStr">
        <is>
          <t>S</t>
        </is>
      </c>
      <c r="L637" s="4" t="inlineStr">
        <is>
          <t>2022-07-06</t>
        </is>
      </c>
      <c r="M637" s="5" t="n">
        <v>1758.85</v>
      </c>
      <c r="N637" s="5">
        <f>J637-M637</f>
        <v/>
      </c>
      <c r="O637" s="6">
        <f>IF(F637="INFERIOR",N637/J637,"")</f>
        <v/>
      </c>
      <c r="P637" s="5">
        <f>IF(F637="INFERIOR",O637*MUS_parametros!$B$18,N637)</f>
        <v/>
      </c>
      <c r="Q637" s="4" t="inlineStr">
        <is>
          <t>Documento confere com o registro</t>
        </is>
      </c>
    </row>
    <row r="638">
      <c r="A638" s="4" t="inlineStr">
        <is>
          <t>IMB-0436607</t>
        </is>
      </c>
      <c r="B638" s="4" t="inlineStr">
        <is>
          <t>MAQUINAS_EQUIPAMENTOS</t>
        </is>
      </c>
      <c r="C638" s="4" t="inlineStr">
        <is>
          <t>1.2.03.01.001</t>
        </is>
      </c>
      <c r="D638" s="4" t="inlineStr">
        <is>
          <t>POT-CONC-19 (SINTETICO)</t>
        </is>
      </c>
      <c r="E638" s="4" t="inlineStr">
        <is>
          <t>COMPONENTE DE SONDA PROPRIA (PERFURACAO/PRODUCAO)</t>
        </is>
      </c>
      <c r="F638" s="4" t="inlineStr">
        <is>
          <t>INFERIOR</t>
        </is>
      </c>
      <c r="G638" s="4" t="n">
        <v>1</v>
      </c>
      <c r="H638" s="5" t="n">
        <v>5054202906.838175</v>
      </c>
      <c r="I638" s="5" t="n">
        <v>5054239189.439952</v>
      </c>
      <c r="J638" s="5" t="n">
        <v>107523.2</v>
      </c>
      <c r="K638" s="4" t="inlineStr">
        <is>
          <t>S</t>
        </is>
      </c>
      <c r="L638" s="4" t="inlineStr">
        <is>
          <t>2012-07-14</t>
        </is>
      </c>
      <c r="M638" s="5" t="n">
        <v>107523.2</v>
      </c>
      <c r="N638" s="5">
        <f>J638-M638</f>
        <v/>
      </c>
      <c r="O638" s="6">
        <f>IF(F638="INFERIOR",N638/J638,"")</f>
        <v/>
      </c>
      <c r="P638" s="5">
        <f>IF(F638="INFERIOR",O638*MUS_parametros!$B$18,N638)</f>
        <v/>
      </c>
      <c r="Q638" s="4" t="inlineStr">
        <is>
          <t>Documento confere com o registro</t>
        </is>
      </c>
    </row>
    <row r="639">
      <c r="A639" s="4" t="inlineStr">
        <is>
          <t>IMB-0437206</t>
        </is>
      </c>
      <c r="B639" s="4" t="inlineStr">
        <is>
          <t>DESENVOLVIMENTO_CAMPOS</t>
        </is>
      </c>
      <c r="C639" s="4" t="inlineStr">
        <is>
          <t>1.2.03.04.001</t>
        </is>
      </c>
      <c r="D639" s="4" t="inlineStr">
        <is>
          <t>FAZENDA ONCA</t>
        </is>
      </c>
      <c r="E639" s="4" t="inlineStr">
        <is>
          <t>PERFURACAO E COMPLETACAO</t>
        </is>
      </c>
      <c r="F639" s="4" t="inlineStr">
        <is>
          <t>INFERIOR</t>
        </is>
      </c>
      <c r="G639" s="4" t="n">
        <v>1</v>
      </c>
      <c r="H639" s="5" t="n">
        <v>5059935906.838175</v>
      </c>
      <c r="I639" s="5" t="n">
        <v>5060157336.649949</v>
      </c>
      <c r="J639" s="5" t="n">
        <v>383942.54</v>
      </c>
      <c r="K639" s="4" t="inlineStr">
        <is>
          <t>S</t>
        </is>
      </c>
      <c r="L639" s="4" t="inlineStr">
        <is>
          <t>2025-10-08</t>
        </is>
      </c>
      <c r="M639" s="5" t="n">
        <v>383942.54</v>
      </c>
      <c r="N639" s="5">
        <f>J639-M639</f>
        <v/>
      </c>
      <c r="O639" s="6">
        <f>IF(F639="INFERIOR",N639/J639,"")</f>
        <v/>
      </c>
      <c r="P639" s="5">
        <f>IF(F639="INFERIOR",O639*MUS_parametros!$B$18,N639)</f>
        <v/>
      </c>
      <c r="Q639" s="4" t="inlineStr">
        <is>
          <t>Documento confere com o registro</t>
        </is>
      </c>
    </row>
    <row r="640">
      <c r="A640" s="4" t="inlineStr">
        <is>
          <t>IMB-0437958</t>
        </is>
      </c>
      <c r="B640" s="4" t="inlineStr">
        <is>
          <t>DESENVOLVIMENTO_CAMPOS</t>
        </is>
      </c>
      <c r="C640" s="4" t="inlineStr">
        <is>
          <t>1.2.03.04.003</t>
        </is>
      </c>
      <c r="D640" s="4" t="inlineStr">
        <is>
          <t>RIACHO SAO PEDRO</t>
        </is>
      </c>
      <c r="E640" s="4" t="inlineStr">
        <is>
          <t>CABECA DE POCO / ARVORE DE NATAL</t>
        </is>
      </c>
      <c r="F640" s="4" t="inlineStr">
        <is>
          <t>INFERIOR</t>
        </is>
      </c>
      <c r="G640" s="4" t="n">
        <v>1</v>
      </c>
      <c r="H640" s="5" t="n">
        <v>5065668906.838175</v>
      </c>
      <c r="I640" s="5" t="n">
        <v>5065669022.599942</v>
      </c>
      <c r="J640" s="5" t="n">
        <v>332.44</v>
      </c>
      <c r="K640" s="4" t="inlineStr">
        <is>
          <t>S</t>
        </is>
      </c>
      <c r="L640" s="4" t="inlineStr">
        <is>
          <t>2025-02-19</t>
        </is>
      </c>
      <c r="M640" s="5" t="n">
        <v>332.44</v>
      </c>
      <c r="N640" s="5">
        <f>J640-M640</f>
        <v/>
      </c>
      <c r="O640" s="6">
        <f>IF(F640="INFERIOR",N640/J640,"")</f>
        <v/>
      </c>
      <c r="P640" s="5">
        <f>IF(F640="INFERIOR",O640*MUS_parametros!$B$18,N640)</f>
        <v/>
      </c>
      <c r="Q640" s="4" t="inlineStr">
        <is>
          <t>Documento confere com o registro</t>
        </is>
      </c>
    </row>
    <row r="641">
      <c r="A641" s="4" t="inlineStr">
        <is>
          <t>IMB-0438759</t>
        </is>
      </c>
      <c r="B641" s="4" t="inlineStr">
        <is>
          <t>DESENVOLVIMENTO_CAMPOS</t>
        </is>
      </c>
      <c r="C641" s="4" t="inlineStr">
        <is>
          <t>1.2.03.04.001</t>
        </is>
      </c>
      <c r="D641" s="4" t="inlineStr">
        <is>
          <t>JACUIPE</t>
        </is>
      </c>
      <c r="E641" s="4" t="inlineStr">
        <is>
          <t>PERFURACAO E COMPLETACAO</t>
        </is>
      </c>
      <c r="F641" s="4" t="inlineStr">
        <is>
          <t>INFERIOR</t>
        </is>
      </c>
      <c r="G641" s="4" t="n">
        <v>1</v>
      </c>
      <c r="H641" s="5" t="n">
        <v>5071401906.838175</v>
      </c>
      <c r="I641" s="5" t="n">
        <v>5071645955.189944</v>
      </c>
      <c r="J641" s="5" t="n">
        <v>293970.05</v>
      </c>
      <c r="K641" s="4" t="inlineStr">
        <is>
          <t>S</t>
        </is>
      </c>
      <c r="L641" s="4" t="inlineStr">
        <is>
          <t>2025-06-13</t>
        </is>
      </c>
      <c r="M641" s="5" t="n">
        <v>293970.05</v>
      </c>
      <c r="N641" s="5">
        <f>J641-M641</f>
        <v/>
      </c>
      <c r="O641" s="6">
        <f>IF(F641="INFERIOR",N641/J641,"")</f>
        <v/>
      </c>
      <c r="P641" s="5">
        <f>IF(F641="INFERIOR",O641*MUS_parametros!$B$18,N641)</f>
        <v/>
      </c>
      <c r="Q641" s="4" t="inlineStr">
        <is>
          <t>Documento confere com o registro</t>
        </is>
      </c>
    </row>
    <row r="642">
      <c r="A642" s="4" t="inlineStr">
        <is>
          <t>IMB-0439544</t>
        </is>
      </c>
      <c r="B642" s="4" t="inlineStr">
        <is>
          <t>ALMOXARIFADO_INVERSOES_FIXAS</t>
        </is>
      </c>
      <c r="C642" s="4" t="inlineStr">
        <is>
          <t>1.2.03.07.003</t>
        </is>
      </c>
      <c r="D642" s="4" t="inlineStr">
        <is>
          <t>POT-CONC-19 (SINTETICO)</t>
        </is>
      </c>
      <c r="E642" s="4" t="inlineStr">
        <is>
          <t>VALVULA/EQUIPAMENTO DE SUPERFICIE</t>
        </is>
      </c>
      <c r="F642" s="4" t="inlineStr">
        <is>
          <t>INFERIOR</t>
        </is>
      </c>
      <c r="G642" s="4" t="n">
        <v>1</v>
      </c>
      <c r="H642" s="5" t="n">
        <v>5077134906.838175</v>
      </c>
      <c r="I642" s="5" t="n">
        <v>5077136596.409945</v>
      </c>
      <c r="J642" s="5" t="n">
        <v>2644.68</v>
      </c>
      <c r="K642" s="4" t="inlineStr">
        <is>
          <t>S</t>
        </is>
      </c>
      <c r="L642" s="4" t="inlineStr">
        <is>
          <t>2022-03-17</t>
        </is>
      </c>
      <c r="M642" s="5" t="n">
        <v>2644.68</v>
      </c>
      <c r="N642" s="5">
        <f>J642-M642</f>
        <v/>
      </c>
      <c r="O642" s="6">
        <f>IF(F642="INFERIOR",N642/J642,"")</f>
        <v/>
      </c>
      <c r="P642" s="5">
        <f>IF(F642="INFERIOR",O642*MUS_parametros!$B$18,N642)</f>
        <v/>
      </c>
      <c r="Q642" s="4" t="inlineStr">
        <is>
          <t>Documento confere com o registro</t>
        </is>
      </c>
    </row>
    <row r="643">
      <c r="A643" s="4" t="inlineStr">
        <is>
          <t>IMB-0440297</t>
        </is>
      </c>
      <c r="B643" s="4" t="inlineStr">
        <is>
          <t>ALMOXARIFADO_INVERSOES_FIXAS</t>
        </is>
      </c>
      <c r="C643" s="4" t="inlineStr">
        <is>
          <t>1.2.03.07.002</t>
        </is>
      </c>
      <c r="D643" s="4" t="inlineStr">
        <is>
          <t>REMANSO</t>
        </is>
      </c>
      <c r="E643" s="4" t="inlineStr">
        <is>
          <t>BOMBA DE FUNDO EM ESTOQUE</t>
        </is>
      </c>
      <c r="F643" s="4" t="inlineStr">
        <is>
          <t>INFERIOR</t>
        </is>
      </c>
      <c r="G643" s="4" t="n">
        <v>1</v>
      </c>
      <c r="H643" s="5" t="n">
        <v>5082867906.838175</v>
      </c>
      <c r="I643" s="5" t="n">
        <v>5082871759.189939</v>
      </c>
      <c r="J643" s="5" t="n">
        <v>19674.06</v>
      </c>
      <c r="K643" s="4" t="inlineStr">
        <is>
          <t>S</t>
        </is>
      </c>
      <c r="L643" s="4" t="inlineStr">
        <is>
          <t>2025-04-16</t>
        </is>
      </c>
      <c r="M643" s="5" t="n">
        <v>19674.06</v>
      </c>
      <c r="N643" s="5">
        <f>J643-M643</f>
        <v/>
      </c>
      <c r="O643" s="6">
        <f>IF(F643="INFERIOR",N643/J643,"")</f>
        <v/>
      </c>
      <c r="P643" s="5">
        <f>IF(F643="INFERIOR",O643*MUS_parametros!$B$18,N643)</f>
        <v/>
      </c>
      <c r="Q643" s="4" t="inlineStr">
        <is>
          <t>Documento confere com o registro</t>
        </is>
      </c>
    </row>
    <row r="644">
      <c r="A644" s="4" t="inlineStr">
        <is>
          <t>IMB-0441024</t>
        </is>
      </c>
      <c r="B644" s="4" t="inlineStr">
        <is>
          <t>DESENVOLVIMENTO_CAMPOS</t>
        </is>
      </c>
      <c r="C644" s="4" t="inlineStr">
        <is>
          <t>1.2.03.04.001</t>
        </is>
      </c>
      <c r="D644" s="4" t="inlineStr">
        <is>
          <t>POT-CONC-12 (SINTETICO)</t>
        </is>
      </c>
      <c r="E644" s="4" t="inlineStr">
        <is>
          <t>PERFURACAO E COMPLETACAO</t>
        </is>
      </c>
      <c r="F644" s="4" t="inlineStr">
        <is>
          <t>INFERIOR</t>
        </is>
      </c>
      <c r="G644" s="4" t="n">
        <v>1</v>
      </c>
      <c r="H644" s="5" t="n">
        <v>5088600906.838175</v>
      </c>
      <c r="I644" s="5" t="n">
        <v>5088625985.259927</v>
      </c>
      <c r="J644" s="5" t="n">
        <v>555430.5699999999</v>
      </c>
      <c r="K644" s="4" t="inlineStr">
        <is>
          <t>S</t>
        </is>
      </c>
      <c r="L644" s="4" t="inlineStr">
        <is>
          <t>2025-10-29</t>
        </is>
      </c>
      <c r="M644" s="5" t="n">
        <v>555430.5699999999</v>
      </c>
      <c r="N644" s="5">
        <f>J644-M644</f>
        <v/>
      </c>
      <c r="O644" s="6">
        <f>IF(F644="INFERIOR",N644/J644,"")</f>
        <v/>
      </c>
      <c r="P644" s="5">
        <f>IF(F644="INFERIOR",O644*MUS_parametros!$B$18,N644)</f>
        <v/>
      </c>
      <c r="Q644" s="4" t="inlineStr">
        <is>
          <t>Documento confere com o registro</t>
        </is>
      </c>
    </row>
    <row r="645">
      <c r="A645" s="4" t="inlineStr">
        <is>
          <t>IMB-0441509</t>
        </is>
      </c>
      <c r="B645" s="4" t="inlineStr">
        <is>
          <t>DESENVOLVIMENTO_CAMPOS</t>
        </is>
      </c>
      <c r="C645" s="4" t="inlineStr">
        <is>
          <t>1.2.03.04.001</t>
        </is>
      </c>
      <c r="D645" s="4" t="inlineStr">
        <is>
          <t>SAO PEDRO</t>
        </is>
      </c>
      <c r="E645" s="4" t="inlineStr">
        <is>
          <t>PERFURACAO E COMPLETACAO</t>
        </is>
      </c>
      <c r="F645" s="4" t="inlineStr">
        <is>
          <t>INFERIOR</t>
        </is>
      </c>
      <c r="G645" s="4" t="n">
        <v>1</v>
      </c>
      <c r="H645" s="5" t="n">
        <v>5094333906.838175</v>
      </c>
      <c r="I645" s="5" t="n">
        <v>5094411961.89992</v>
      </c>
      <c r="J645" s="5" t="n">
        <v>148914.13</v>
      </c>
      <c r="K645" s="4" t="inlineStr">
        <is>
          <t>S</t>
        </is>
      </c>
      <c r="L645" s="4" t="inlineStr">
        <is>
          <t>2024-08-20</t>
        </is>
      </c>
      <c r="M645" s="5" t="n">
        <v>148914.13</v>
      </c>
      <c r="N645" s="5">
        <f>J645-M645</f>
        <v/>
      </c>
      <c r="O645" s="6">
        <f>IF(F645="INFERIOR",N645/J645,"")</f>
        <v/>
      </c>
      <c r="P645" s="5">
        <f>IF(F645="INFERIOR",O645*MUS_parametros!$B$18,N645)</f>
        <v/>
      </c>
      <c r="Q645" s="4" t="inlineStr">
        <is>
          <t>Documento confere com o registro</t>
        </is>
      </c>
    </row>
    <row r="646">
      <c r="A646" s="4" t="inlineStr">
        <is>
          <t>IMB-0442146</t>
        </is>
      </c>
      <c r="B646" s="4" t="inlineStr">
        <is>
          <t>DESENVOLVIMENTO_CAMPOS</t>
        </is>
      </c>
      <c r="C646" s="4" t="inlineStr">
        <is>
          <t>1.2.03.04.002</t>
        </is>
      </c>
      <c r="D646" s="4" t="inlineStr">
        <is>
          <t>CANABRAVA</t>
        </is>
      </c>
      <c r="E646" s="4" t="inlineStr">
        <is>
          <t>FRATURAMENTO / ESTIMULACAO CAPITALIZADA</t>
        </is>
      </c>
      <c r="F646" s="4" t="inlineStr">
        <is>
          <t>INFERIOR</t>
        </is>
      </c>
      <c r="G646" s="4" t="n">
        <v>1</v>
      </c>
      <c r="H646" s="5" t="n">
        <v>5100066906.838175</v>
      </c>
      <c r="I646" s="5" t="n">
        <v>5100102947.879921</v>
      </c>
      <c r="J646" s="5" t="n">
        <v>45523.55</v>
      </c>
      <c r="K646" s="4" t="inlineStr">
        <is>
          <t>S</t>
        </is>
      </c>
      <c r="L646" s="4" t="inlineStr">
        <is>
          <t>2025-07-24</t>
        </is>
      </c>
      <c r="M646" s="5" t="n">
        <v>45523.55</v>
      </c>
      <c r="N646" s="5">
        <f>J646-M646</f>
        <v/>
      </c>
      <c r="O646" s="6">
        <f>IF(F646="INFERIOR",N646/J646,"")</f>
        <v/>
      </c>
      <c r="P646" s="5">
        <f>IF(F646="INFERIOR",O646*MUS_parametros!$B$18,N646)</f>
        <v/>
      </c>
      <c r="Q646" s="4" t="inlineStr">
        <is>
          <t>Documento confere com o registro</t>
        </is>
      </c>
    </row>
    <row r="647">
      <c r="A647" s="4" t="inlineStr">
        <is>
          <t>IMB-0442760</t>
        </is>
      </c>
      <c r="B647" s="4" t="inlineStr">
        <is>
          <t>DESENVOLVIMENTO_CAMPOS</t>
        </is>
      </c>
      <c r="C647" s="4" t="inlineStr">
        <is>
          <t>1.2.03.04.001</t>
        </is>
      </c>
      <c r="D647" s="4" t="inlineStr">
        <is>
          <t>POT-CONC-08 (SINTETICO)</t>
        </is>
      </c>
      <c r="E647" s="4" t="inlineStr">
        <is>
          <t>PERFURACAO E COMPLETACAO</t>
        </is>
      </c>
      <c r="F647" s="4" t="inlineStr">
        <is>
          <t>INFERIOR</t>
        </is>
      </c>
      <c r="G647" s="4" t="n">
        <v>1</v>
      </c>
      <c r="H647" s="5" t="n">
        <v>5105799906.838175</v>
      </c>
      <c r="I647" s="5" t="n">
        <v>5105866167.239918</v>
      </c>
      <c r="J647" s="5" t="n">
        <v>100914.04</v>
      </c>
      <c r="K647" s="4" t="inlineStr">
        <is>
          <t>S</t>
        </is>
      </c>
      <c r="L647" s="4" t="inlineStr">
        <is>
          <t>2025-07-29</t>
        </is>
      </c>
      <c r="M647" s="5" t="n">
        <v>100914.04</v>
      </c>
      <c r="N647" s="5">
        <f>J647-M647</f>
        <v/>
      </c>
      <c r="O647" s="6">
        <f>IF(F647="INFERIOR",N647/J647,"")</f>
        <v/>
      </c>
      <c r="P647" s="5">
        <f>IF(F647="INFERIOR",O647*MUS_parametros!$B$18,N647)</f>
        <v/>
      </c>
      <c r="Q647" s="4" t="inlineStr">
        <is>
          <t>Documento confere com o registro</t>
        </is>
      </c>
    </row>
    <row r="648">
      <c r="A648" s="4" t="inlineStr">
        <is>
          <t>IMB-0443595</t>
        </is>
      </c>
      <c r="B648" s="4" t="inlineStr">
        <is>
          <t>DESENVOLVIMENTO_CAMPOS</t>
        </is>
      </c>
      <c r="C648" s="4" t="inlineStr">
        <is>
          <t>1.2.03.04.003</t>
        </is>
      </c>
      <c r="D648" s="4" t="inlineStr">
        <is>
          <t>PAJEU</t>
        </is>
      </c>
      <c r="E648" s="4" t="inlineStr">
        <is>
          <t>COLUNA DE PRODUCAO E HASTES</t>
        </is>
      </c>
      <c r="F648" s="4" t="inlineStr">
        <is>
          <t>INFERIOR</t>
        </is>
      </c>
      <c r="G648" s="4" t="n">
        <v>1</v>
      </c>
      <c r="H648" s="5" t="n">
        <v>5111532906.838175</v>
      </c>
      <c r="I648" s="5" t="n">
        <v>5111534430.059922</v>
      </c>
      <c r="J648" s="5" t="n">
        <v>2991.55</v>
      </c>
      <c r="K648" s="4" t="inlineStr">
        <is>
          <t>S</t>
        </is>
      </c>
      <c r="L648" s="4" t="inlineStr">
        <is>
          <t>2024-06-10</t>
        </is>
      </c>
      <c r="M648" s="5" t="n">
        <v>2991.55</v>
      </c>
      <c r="N648" s="5">
        <f>J648-M648</f>
        <v/>
      </c>
      <c r="O648" s="6">
        <f>IF(F648="INFERIOR",N648/J648,"")</f>
        <v/>
      </c>
      <c r="P648" s="5">
        <f>IF(F648="INFERIOR",O648*MUS_parametros!$B$18,N648)</f>
        <v/>
      </c>
      <c r="Q648" s="4" t="inlineStr">
        <is>
          <t>Documento confere com o registro</t>
        </is>
      </c>
    </row>
    <row r="649">
      <c r="A649" s="4" t="inlineStr">
        <is>
          <t>IMB-0444165</t>
        </is>
      </c>
      <c r="B649" s="4" t="inlineStr">
        <is>
          <t>DESENVOLVIMENTO_CAMPOS</t>
        </is>
      </c>
      <c r="C649" s="4" t="inlineStr">
        <is>
          <t>1.2.03.04.001</t>
        </is>
      </c>
      <c r="D649" s="4" t="inlineStr">
        <is>
          <t>BIRIBA</t>
        </is>
      </c>
      <c r="E649" s="4" t="inlineStr">
        <is>
          <t>PERFURACAO E COMPLETACAO</t>
        </is>
      </c>
      <c r="F649" s="4" t="inlineStr">
        <is>
          <t>INFERIOR</t>
        </is>
      </c>
      <c r="G649" s="4" t="n">
        <v>1</v>
      </c>
      <c r="H649" s="5" t="n">
        <v>5117265906.838175</v>
      </c>
      <c r="I649" s="5" t="n">
        <v>5117692517.079922</v>
      </c>
      <c r="J649" s="5" t="n">
        <v>1069771.41</v>
      </c>
      <c r="K649" s="4" t="inlineStr">
        <is>
          <t>S</t>
        </is>
      </c>
      <c r="L649" s="4" t="inlineStr">
        <is>
          <t>2025-12-23</t>
        </is>
      </c>
      <c r="M649" s="5" t="n">
        <v>1069771.41</v>
      </c>
      <c r="N649" s="5">
        <f>J649-M649</f>
        <v/>
      </c>
      <c r="O649" s="6">
        <f>IF(F649="INFERIOR",N649/J649,"")</f>
        <v/>
      </c>
      <c r="P649" s="5">
        <f>IF(F649="INFERIOR",O649*MUS_parametros!$B$18,N649)</f>
        <v/>
      </c>
      <c r="Q649" s="4" t="inlineStr">
        <is>
          <t>Documento confere com o registro</t>
        </is>
      </c>
    </row>
    <row r="650">
      <c r="A650" s="4" t="inlineStr">
        <is>
          <t>IMB-0444941</t>
        </is>
      </c>
      <c r="B650" s="4" t="inlineStr">
        <is>
          <t>DESENVOLVIMENTO_CAMPOS</t>
        </is>
      </c>
      <c r="C650" s="4" t="inlineStr">
        <is>
          <t>1.2.03.04.001</t>
        </is>
      </c>
      <c r="D650" s="4" t="inlineStr">
        <is>
          <t>JACUIPE</t>
        </is>
      </c>
      <c r="E650" s="4" t="inlineStr">
        <is>
          <t>PERFURACAO E COMPLETACAO</t>
        </is>
      </c>
      <c r="F650" s="4" t="inlineStr">
        <is>
          <t>INFERIOR</t>
        </is>
      </c>
      <c r="G650" s="4" t="n">
        <v>1</v>
      </c>
      <c r="H650" s="5" t="n">
        <v>5122998906.838175</v>
      </c>
      <c r="I650" s="5" t="n">
        <v>5123017114.719923</v>
      </c>
      <c r="J650" s="5" t="n">
        <v>69727.39999999999</v>
      </c>
      <c r="K650" s="4" t="inlineStr">
        <is>
          <t>S</t>
        </is>
      </c>
      <c r="L650" s="4" t="inlineStr">
        <is>
          <t>2023-02-14</t>
        </is>
      </c>
      <c r="M650" s="5" t="n">
        <v>69727.39999999999</v>
      </c>
      <c r="N650" s="5">
        <f>J650-M650</f>
        <v/>
      </c>
      <c r="O650" s="6">
        <f>IF(F650="INFERIOR",N650/J650,"")</f>
        <v/>
      </c>
      <c r="P650" s="5">
        <f>IF(F650="INFERIOR",O650*MUS_parametros!$B$18,N650)</f>
        <v/>
      </c>
      <c r="Q650" s="4" t="inlineStr">
        <is>
          <t>Documento confere com o registro</t>
        </is>
      </c>
    </row>
    <row r="651">
      <c r="A651" s="4" t="inlineStr">
        <is>
          <t>IMB-0445644</t>
        </is>
      </c>
      <c r="B651" s="4" t="inlineStr">
        <is>
          <t>ALMOXARIFADO_INVERSOES_FIXAS</t>
        </is>
      </c>
      <c r="C651" s="4" t="inlineStr">
        <is>
          <t>1.2.03.07.002</t>
        </is>
      </c>
      <c r="D651" s="4" t="inlineStr">
        <is>
          <t>POT-CONC-01 (SINTETICO)</t>
        </is>
      </c>
      <c r="E651" s="4" t="inlineStr">
        <is>
          <t>HASTE DE BOMBEIO (LOTE)</t>
        </is>
      </c>
      <c r="F651" s="4" t="inlineStr">
        <is>
          <t>INFERIOR</t>
        </is>
      </c>
      <c r="G651" s="4" t="n">
        <v>1</v>
      </c>
      <c r="H651" s="5" t="n">
        <v>5128731906.838175</v>
      </c>
      <c r="I651" s="5" t="n">
        <v>5128737661.689912</v>
      </c>
      <c r="J651" s="5" t="n">
        <v>10626.46</v>
      </c>
      <c r="K651" s="4" t="inlineStr">
        <is>
          <t>S</t>
        </is>
      </c>
      <c r="L651" s="4" t="inlineStr">
        <is>
          <t>2022-09-14</t>
        </is>
      </c>
      <c r="M651" s="5" t="n">
        <v>10626.46</v>
      </c>
      <c r="N651" s="5">
        <f>J651-M651</f>
        <v/>
      </c>
      <c r="O651" s="6">
        <f>IF(F651="INFERIOR",N651/J651,"")</f>
        <v/>
      </c>
      <c r="P651" s="5">
        <f>IF(F651="INFERIOR",O651*MUS_parametros!$B$18,N651)</f>
        <v/>
      </c>
      <c r="Q651" s="4" t="inlineStr">
        <is>
          <t>Documento confere com o registro</t>
        </is>
      </c>
    </row>
    <row r="652">
      <c r="A652" s="4" t="inlineStr">
        <is>
          <t>IMB-0446654</t>
        </is>
      </c>
      <c r="B652" s="4" t="inlineStr">
        <is>
          <t>IMOBILIZADO_EM_ANDAMENTO</t>
        </is>
      </c>
      <c r="C652" s="4" t="inlineStr">
        <is>
          <t>1.2.03.02.002</t>
        </is>
      </c>
      <c r="D652" s="4" t="inlineStr">
        <is>
          <t>POT-CONC-12 (SINTETICO)</t>
        </is>
      </c>
      <c r="E652" s="4" t="inlineStr">
        <is>
          <t>ORDEM DE INVESTIMENTO EM ANDAMENTO</t>
        </is>
      </c>
      <c r="F652" s="4" t="inlineStr">
        <is>
          <t>INFERIOR</t>
        </is>
      </c>
      <c r="G652" s="4" t="n">
        <v>1</v>
      </c>
      <c r="H652" s="5" t="n">
        <v>5134464906.838175</v>
      </c>
      <c r="I652" s="5" t="n">
        <v>5134579686.3999</v>
      </c>
      <c r="J652" s="5" t="n">
        <v>150292.4</v>
      </c>
      <c r="K652" s="4" t="inlineStr">
        <is>
          <t>S</t>
        </is>
      </c>
      <c r="L652" s="4" t="inlineStr">
        <is>
          <t>2025-11-10</t>
        </is>
      </c>
      <c r="M652" s="5" t="n">
        <v>150292.4</v>
      </c>
      <c r="N652" s="5">
        <f>J652-M652</f>
        <v/>
      </c>
      <c r="O652" s="6">
        <f>IF(F652="INFERIOR",N652/J652,"")</f>
        <v/>
      </c>
      <c r="P652" s="5">
        <f>IF(F652="INFERIOR",O652*MUS_parametros!$B$18,N652)</f>
        <v/>
      </c>
      <c r="Q652" s="4" t="inlineStr">
        <is>
          <t>Documento confere com o registro</t>
        </is>
      </c>
    </row>
    <row r="653">
      <c r="A653" s="4" t="inlineStr">
        <is>
          <t>IMB-0447355</t>
        </is>
      </c>
      <c r="B653" s="4" t="inlineStr">
        <is>
          <t>DESENVOLVIMENTO_CAMPOS</t>
        </is>
      </c>
      <c r="C653" s="4" t="inlineStr">
        <is>
          <t>1.2.03.04.002</t>
        </is>
      </c>
      <c r="D653" s="4" t="inlineStr">
        <is>
          <t>TIE</t>
        </is>
      </c>
      <c r="E653" s="4" t="inlineStr">
        <is>
          <t>WORKOVER / RECOMPLETACAO CAPITALIZADO</t>
        </is>
      </c>
      <c r="F653" s="4" t="inlineStr">
        <is>
          <t>INFERIOR</t>
        </is>
      </c>
      <c r="G653" s="4" t="n">
        <v>1</v>
      </c>
      <c r="H653" s="5" t="n">
        <v>5140197906.838175</v>
      </c>
      <c r="I653" s="5" t="n">
        <v>5140374082.769912</v>
      </c>
      <c r="J653" s="5" t="n">
        <v>228145.86</v>
      </c>
      <c r="K653" s="4" t="inlineStr">
        <is>
          <t>S</t>
        </is>
      </c>
      <c r="L653" s="4" t="inlineStr">
        <is>
          <t>2025-08-09</t>
        </is>
      </c>
      <c r="M653" s="5" t="n">
        <v>228145.86</v>
      </c>
      <c r="N653" s="5">
        <f>J653-M653</f>
        <v/>
      </c>
      <c r="O653" s="6">
        <f>IF(F653="INFERIOR",N653/J653,"")</f>
        <v/>
      </c>
      <c r="P653" s="5">
        <f>IF(F653="INFERIOR",O653*MUS_parametros!$B$18,N653)</f>
        <v/>
      </c>
      <c r="Q653" s="4" t="inlineStr">
        <is>
          <t>Documento confere com o registro</t>
        </is>
      </c>
    </row>
    <row r="654">
      <c r="A654" s="4" t="inlineStr">
        <is>
          <t>IMB-0447983</t>
        </is>
      </c>
      <c r="B654" s="4" t="inlineStr">
        <is>
          <t>DESENVOLVIMENTO_CAMPOS</t>
        </is>
      </c>
      <c r="C654" s="4" t="inlineStr">
        <is>
          <t>1.2.03.04.001</t>
        </is>
      </c>
      <c r="D654" s="4" t="inlineStr">
        <is>
          <t>GOMO</t>
        </is>
      </c>
      <c r="E654" s="4" t="inlineStr">
        <is>
          <t>PERFURACAO E COMPLETACAO</t>
        </is>
      </c>
      <c r="F654" s="4" t="inlineStr">
        <is>
          <t>INFERIOR</t>
        </is>
      </c>
      <c r="G654" s="4" t="n">
        <v>1</v>
      </c>
      <c r="H654" s="5" t="n">
        <v>5145930906.838175</v>
      </c>
      <c r="I654" s="5" t="n">
        <v>5146504691.27991</v>
      </c>
      <c r="J654" s="5" t="n">
        <v>631137.3</v>
      </c>
      <c r="K654" s="4" t="inlineStr">
        <is>
          <t>S</t>
        </is>
      </c>
      <c r="L654" s="4" t="inlineStr">
        <is>
          <t>2023-05-21</t>
        </is>
      </c>
      <c r="M654" s="5" t="n">
        <v>631137.3</v>
      </c>
      <c r="N654" s="5">
        <f>J654-M654</f>
        <v/>
      </c>
      <c r="O654" s="6">
        <f>IF(F654="INFERIOR",N654/J654,"")</f>
        <v/>
      </c>
      <c r="P654" s="5">
        <f>IF(F654="INFERIOR",O654*MUS_parametros!$B$18,N654)</f>
        <v/>
      </c>
      <c r="Q654" s="4" t="inlineStr">
        <is>
          <t>Documento confere com o registro</t>
        </is>
      </c>
    </row>
    <row r="655">
      <c r="A655" s="4" t="inlineStr">
        <is>
          <t>IMB-0448377</t>
        </is>
      </c>
      <c r="B655" s="4" t="inlineStr">
        <is>
          <t>DESENVOLVIMENTO_CAMPOS</t>
        </is>
      </c>
      <c r="C655" s="4" t="inlineStr">
        <is>
          <t>1.2.03.04.001</t>
        </is>
      </c>
      <c r="D655" s="4" t="inlineStr">
        <is>
          <t>FAZENDA MALAQUIAS</t>
        </is>
      </c>
      <c r="E655" s="4" t="inlineStr">
        <is>
          <t>PERFURACAO E COMPLETACAO</t>
        </is>
      </c>
      <c r="F655" s="4" t="inlineStr">
        <is>
          <t>INFERIOR</t>
        </is>
      </c>
      <c r="G655" s="4" t="n">
        <v>1</v>
      </c>
      <c r="H655" s="5" t="n">
        <v>5151663906.838175</v>
      </c>
      <c r="I655" s="5" t="n">
        <v>5151710069.389912</v>
      </c>
      <c r="J655" s="5" t="n">
        <v>375233.84</v>
      </c>
      <c r="K655" s="4" t="inlineStr">
        <is>
          <t>S</t>
        </is>
      </c>
      <c r="L655" s="4" t="inlineStr">
        <is>
          <t>2025-12-08</t>
        </is>
      </c>
      <c r="M655" s="5" t="n">
        <v>375233.84</v>
      </c>
      <c r="N655" s="5">
        <f>J655-M655</f>
        <v/>
      </c>
      <c r="O655" s="6">
        <f>IF(F655="INFERIOR",N655/J655,"")</f>
        <v/>
      </c>
      <c r="P655" s="5">
        <f>IF(F655="INFERIOR",O655*MUS_parametros!$B$18,N655)</f>
        <v/>
      </c>
      <c r="Q655" s="4" t="inlineStr">
        <is>
          <t>Documento confere com o registro</t>
        </is>
      </c>
    </row>
    <row r="656">
      <c r="A656" s="4" t="inlineStr">
        <is>
          <t>IMB-0449290</t>
        </is>
      </c>
      <c r="B656" s="4" t="inlineStr">
        <is>
          <t>DESENVOLVIMENTO_CAMPOS</t>
        </is>
      </c>
      <c r="C656" s="4" t="inlineStr">
        <is>
          <t>1.2.03.04.001</t>
        </is>
      </c>
      <c r="D656" s="4" t="inlineStr">
        <is>
          <t>POT-CONC-20 (SINTETICO)</t>
        </is>
      </c>
      <c r="E656" s="4" t="inlineStr">
        <is>
          <t>PERFURACAO E COMPLETACAO</t>
        </is>
      </c>
      <c r="F656" s="4" t="inlineStr">
        <is>
          <t>INFERIOR</t>
        </is>
      </c>
      <c r="G656" s="4" t="n">
        <v>1</v>
      </c>
      <c r="H656" s="5" t="n">
        <v>5157396906.838175</v>
      </c>
      <c r="I656" s="5" t="n">
        <v>5157424847.229917</v>
      </c>
      <c r="J656" s="5" t="n">
        <v>37928.63</v>
      </c>
      <c r="K656" s="4" t="inlineStr">
        <is>
          <t>S</t>
        </is>
      </c>
      <c r="L656" s="4" t="inlineStr">
        <is>
          <t>2024-06-21</t>
        </is>
      </c>
      <c r="M656" s="5" t="n">
        <v>37928.63</v>
      </c>
      <c r="N656" s="5">
        <f>J656-M656</f>
        <v/>
      </c>
      <c r="O656" s="6">
        <f>IF(F656="INFERIOR",N656/J656,"")</f>
        <v/>
      </c>
      <c r="P656" s="5">
        <f>IF(F656="INFERIOR",O656*MUS_parametros!$B$18,N656)</f>
        <v/>
      </c>
      <c r="Q656" s="4" t="inlineStr">
        <is>
          <t>Documento confere com o registro</t>
        </is>
      </c>
    </row>
    <row r="657">
      <c r="A657" s="4" t="inlineStr">
        <is>
          <t>IMB-0449997</t>
        </is>
      </c>
      <c r="B657" s="4" t="inlineStr">
        <is>
          <t>ALMOXARIFADO_INVERSOES_FIXAS</t>
        </is>
      </c>
      <c r="C657" s="4" t="inlineStr">
        <is>
          <t>1.2.03.07.003</t>
        </is>
      </c>
      <c r="D657" s="4" t="inlineStr">
        <is>
          <t>TARTARUGA</t>
        </is>
      </c>
      <c r="E657" s="4" t="inlineStr">
        <is>
          <t>VALVULA/EQUIPAMENTO DE SUPERFICIE</t>
        </is>
      </c>
      <c r="F657" s="4" t="inlineStr">
        <is>
          <t>INFERIOR</t>
        </is>
      </c>
      <c r="G657" s="4" t="n">
        <v>1</v>
      </c>
      <c r="H657" s="5" t="n">
        <v>5163129906.838175</v>
      </c>
      <c r="I657" s="5" t="n">
        <v>5163132883.099914</v>
      </c>
      <c r="J657" s="5" t="n">
        <v>4434.34</v>
      </c>
      <c r="K657" s="4" t="inlineStr">
        <is>
          <t>S</t>
        </is>
      </c>
      <c r="L657" s="4" t="inlineStr">
        <is>
          <t>2024-08-07</t>
        </is>
      </c>
      <c r="M657" s="5" t="n">
        <v>4434.34</v>
      </c>
      <c r="N657" s="5">
        <f>J657-M657</f>
        <v/>
      </c>
      <c r="O657" s="6">
        <f>IF(F657="INFERIOR",N657/J657,"")</f>
        <v/>
      </c>
      <c r="P657" s="5">
        <f>IF(F657="INFERIOR",O657*MUS_parametros!$B$18,N657)</f>
        <v/>
      </c>
      <c r="Q657" s="4" t="inlineStr">
        <is>
          <t>Documento confere com o registro</t>
        </is>
      </c>
    </row>
    <row r="658">
      <c r="A658" s="4" t="inlineStr">
        <is>
          <t>IMB-0451026</t>
        </is>
      </c>
      <c r="B658" s="4" t="inlineStr">
        <is>
          <t>DESENVOLVIMENTO_CAMPOS</t>
        </is>
      </c>
      <c r="C658" s="4" t="inlineStr">
        <is>
          <t>1.2.03.04.001</t>
        </is>
      </c>
      <c r="D658" s="4" t="inlineStr">
        <is>
          <t>PAJEU</t>
        </is>
      </c>
      <c r="E658" s="4" t="inlineStr">
        <is>
          <t>PERFURACAO E COMPLETACAO</t>
        </is>
      </c>
      <c r="F658" s="4" t="inlineStr">
        <is>
          <t>INFERIOR</t>
        </is>
      </c>
      <c r="G658" s="4" t="n">
        <v>1</v>
      </c>
      <c r="H658" s="5" t="n">
        <v>5168862906.838175</v>
      </c>
      <c r="I658" s="5" t="n">
        <v>5168975921.029908</v>
      </c>
      <c r="J658" s="5" t="n">
        <v>212650.58</v>
      </c>
      <c r="K658" s="4" t="inlineStr">
        <is>
          <t>S</t>
        </is>
      </c>
      <c r="L658" s="4" t="inlineStr">
        <is>
          <t>2024-07-09</t>
        </is>
      </c>
      <c r="M658" s="5" t="n">
        <v>212650.58</v>
      </c>
      <c r="N658" s="5">
        <f>J658-M658</f>
        <v/>
      </c>
      <c r="O658" s="6">
        <f>IF(F658="INFERIOR",N658/J658,"")</f>
        <v/>
      </c>
      <c r="P658" s="5">
        <f>IF(F658="INFERIOR",O658*MUS_parametros!$B$18,N658)</f>
        <v/>
      </c>
      <c r="Q658" s="4" t="inlineStr">
        <is>
          <t>Documento confere com o registro</t>
        </is>
      </c>
    </row>
    <row r="659">
      <c r="A659" s="4" t="inlineStr">
        <is>
          <t>IMB-0451816</t>
        </is>
      </c>
      <c r="B659" s="4" t="inlineStr">
        <is>
          <t>MAQUINAS_EQUIPAMENTOS</t>
        </is>
      </c>
      <c r="C659" s="4" t="inlineStr">
        <is>
          <t>1.2.03.01.004</t>
        </is>
      </c>
      <c r="D659" s="4" t="inlineStr">
        <is>
          <t>UPGN GUAMARE</t>
        </is>
      </c>
      <c r="E659" s="4" t="inlineStr">
        <is>
          <t>MODULO DE PROCESSAMENTO UPGN III</t>
        </is>
      </c>
      <c r="F659" s="4" t="inlineStr">
        <is>
          <t>INFERIOR</t>
        </is>
      </c>
      <c r="G659" s="4" t="n">
        <v>1</v>
      </c>
      <c r="H659" s="5" t="n">
        <v>5174595906.838175</v>
      </c>
      <c r="I659" s="5" t="n">
        <v>5174596913.509914</v>
      </c>
      <c r="J659" s="5" t="n">
        <v>151536.25</v>
      </c>
      <c r="K659" s="4" t="inlineStr">
        <is>
          <t>S</t>
        </is>
      </c>
      <c r="L659" s="4" t="inlineStr">
        <is>
          <t>2025-09-30</t>
        </is>
      </c>
      <c r="M659" s="5" t="n">
        <v>151536.25</v>
      </c>
      <c r="N659" s="5">
        <f>J659-M659</f>
        <v/>
      </c>
      <c r="O659" s="6">
        <f>IF(F659="INFERIOR",N659/J659,"")</f>
        <v/>
      </c>
      <c r="P659" s="5">
        <f>IF(F659="INFERIOR",O659*MUS_parametros!$B$18,N659)</f>
        <v/>
      </c>
      <c r="Q659" s="4" t="inlineStr">
        <is>
          <t>Documento confere com o registro</t>
        </is>
      </c>
    </row>
    <row r="660">
      <c r="A660" s="4" t="inlineStr">
        <is>
          <t>IMB-0452658</t>
        </is>
      </c>
      <c r="B660" s="4" t="inlineStr">
        <is>
          <t>DESENVOLVIMENTO_CAMPOS</t>
        </is>
      </c>
      <c r="C660" s="4" t="inlineStr">
        <is>
          <t>1.2.03.04.001</t>
        </is>
      </c>
      <c r="D660" s="4" t="inlineStr">
        <is>
          <t>POT-CONC-19 (SINTETICO)</t>
        </is>
      </c>
      <c r="E660" s="4" t="inlineStr">
        <is>
          <t>PERFURACAO E COMPLETACAO</t>
        </is>
      </c>
      <c r="F660" s="4" t="inlineStr">
        <is>
          <t>INFERIOR</t>
        </is>
      </c>
      <c r="G660" s="4" t="n">
        <v>1</v>
      </c>
      <c r="H660" s="5" t="n">
        <v>5180328906.838175</v>
      </c>
      <c r="I660" s="5" t="n">
        <v>5180358075.629913</v>
      </c>
      <c r="J660" s="5" t="n">
        <v>144044.75</v>
      </c>
      <c r="K660" s="4" t="inlineStr">
        <is>
          <t>S</t>
        </is>
      </c>
      <c r="L660" s="4" t="inlineStr">
        <is>
          <t>2025-09-01</t>
        </is>
      </c>
      <c r="M660" s="5" t="n">
        <v>144044.75</v>
      </c>
      <c r="N660" s="5">
        <f>J660-M660</f>
        <v/>
      </c>
      <c r="O660" s="6">
        <f>IF(F660="INFERIOR",N660/J660,"")</f>
        <v/>
      </c>
      <c r="P660" s="5">
        <f>IF(F660="INFERIOR",O660*MUS_parametros!$B$18,N660)</f>
        <v/>
      </c>
      <c r="Q660" s="4" t="inlineStr">
        <is>
          <t>Documento confere com o registro</t>
        </is>
      </c>
    </row>
    <row r="661">
      <c r="A661" s="4" t="inlineStr">
        <is>
          <t>IMB-0453436</t>
        </is>
      </c>
      <c r="B661" s="4" t="inlineStr">
        <is>
          <t>DESENVOLVIMENTO_CAMPOS</t>
        </is>
      </c>
      <c r="C661" s="4" t="inlineStr">
        <is>
          <t>1.2.03.04.003</t>
        </is>
      </c>
      <c r="D661" s="4" t="inlineStr">
        <is>
          <t>RIACHO DA FORQUILHA</t>
        </is>
      </c>
      <c r="E661" s="4" t="inlineStr">
        <is>
          <t>COLUNA DE PRODUCAO E HASTES</t>
        </is>
      </c>
      <c r="F661" s="4" t="inlineStr">
        <is>
          <t>INFERIOR</t>
        </is>
      </c>
      <c r="G661" s="4" t="n">
        <v>1</v>
      </c>
      <c r="H661" s="5" t="n">
        <v>5186061906.838175</v>
      </c>
      <c r="I661" s="5" t="n">
        <v>5186062974.25992</v>
      </c>
      <c r="J661" s="5" t="n">
        <v>1270.44</v>
      </c>
      <c r="K661" s="4" t="inlineStr">
        <is>
          <t>S</t>
        </is>
      </c>
      <c r="L661" s="4" t="inlineStr">
        <is>
          <t>2025-12-28</t>
        </is>
      </c>
      <c r="M661" s="5" t="n">
        <v>1270.44</v>
      </c>
      <c r="N661" s="5">
        <f>J661-M661</f>
        <v/>
      </c>
      <c r="O661" s="6">
        <f>IF(F661="INFERIOR",N661/J661,"")</f>
        <v/>
      </c>
      <c r="P661" s="5">
        <f>IF(F661="INFERIOR",O661*MUS_parametros!$B$18,N661)</f>
        <v/>
      </c>
      <c r="Q661" s="4" t="inlineStr">
        <is>
          <t>Documento confere com o registro</t>
        </is>
      </c>
    </row>
    <row r="662">
      <c r="A662" s="4" t="inlineStr">
        <is>
          <t>IMB-0454396</t>
        </is>
      </c>
      <c r="B662" s="4" t="inlineStr">
        <is>
          <t>DESENVOLVIMENTO_CAMPOS</t>
        </is>
      </c>
      <c r="C662" s="4" t="inlineStr">
        <is>
          <t>1.2.03.04.001</t>
        </is>
      </c>
      <c r="D662" s="4" t="inlineStr">
        <is>
          <t>NORTE FAZENDA CARUACU</t>
        </is>
      </c>
      <c r="E662" s="4" t="inlineStr">
        <is>
          <t>PERFURACAO E COMPLETACAO</t>
        </is>
      </c>
      <c r="F662" s="4" t="inlineStr">
        <is>
          <t>INFERIOR</t>
        </is>
      </c>
      <c r="G662" s="4" t="n">
        <v>1</v>
      </c>
      <c r="H662" s="5" t="n">
        <v>5191794906.838175</v>
      </c>
      <c r="I662" s="5" t="n">
        <v>5192077499.25993</v>
      </c>
      <c r="J662" s="5" t="n">
        <v>332600.4</v>
      </c>
      <c r="K662" s="4" t="inlineStr">
        <is>
          <t>S</t>
        </is>
      </c>
      <c r="L662" s="4" t="inlineStr">
        <is>
          <t>2025-08-31</t>
        </is>
      </c>
      <c r="M662" s="5" t="n">
        <v>332600.4</v>
      </c>
      <c r="N662" s="5">
        <f>J662-M662</f>
        <v/>
      </c>
      <c r="O662" s="6">
        <f>IF(F662="INFERIOR",N662/J662,"")</f>
        <v/>
      </c>
      <c r="P662" s="5">
        <f>IF(F662="INFERIOR",O662*MUS_parametros!$B$18,N662)</f>
        <v/>
      </c>
      <c r="Q662" s="4" t="inlineStr">
        <is>
          <t>Documento confere com o registro</t>
        </is>
      </c>
    </row>
    <row r="663">
      <c r="A663" s="4" t="inlineStr">
        <is>
          <t>IMB-0455081</t>
        </is>
      </c>
      <c r="B663" s="4" t="inlineStr">
        <is>
          <t>DESENVOLVIMENTO_CAMPOS</t>
        </is>
      </c>
      <c r="C663" s="4" t="inlineStr">
        <is>
          <t>1.2.03.04.001</t>
        </is>
      </c>
      <c r="D663" s="4" t="inlineStr">
        <is>
          <t>RIACHO SAO PEDRO</t>
        </is>
      </c>
      <c r="E663" s="4" t="inlineStr">
        <is>
          <t>PERFURACAO E COMPLETACAO</t>
        </is>
      </c>
      <c r="F663" s="4" t="inlineStr">
        <is>
          <t>INFERIOR</t>
        </is>
      </c>
      <c r="G663" s="4" t="n">
        <v>1</v>
      </c>
      <c r="H663" s="5" t="n">
        <v>5197527906.838175</v>
      </c>
      <c r="I663" s="5" t="n">
        <v>5198082660.789932</v>
      </c>
      <c r="J663" s="5" t="n">
        <v>2282924.34</v>
      </c>
      <c r="K663" s="4" t="inlineStr">
        <is>
          <t>S</t>
        </is>
      </c>
      <c r="L663" s="4" t="inlineStr">
        <is>
          <t>2025-05-28</t>
        </is>
      </c>
      <c r="M663" s="5" t="n">
        <v>2282924.34</v>
      </c>
      <c r="N663" s="5">
        <f>J663-M663</f>
        <v/>
      </c>
      <c r="O663" s="6">
        <f>IF(F663="INFERIOR",N663/J663,"")</f>
        <v/>
      </c>
      <c r="P663" s="5">
        <f>IF(F663="INFERIOR",O663*MUS_parametros!$B$18,N663)</f>
        <v/>
      </c>
      <c r="Q663" s="4" t="inlineStr">
        <is>
          <t>Documento confere com o registro</t>
        </is>
      </c>
    </row>
    <row r="664">
      <c r="A664" s="4" t="inlineStr">
        <is>
          <t>IMB-0455956</t>
        </is>
      </c>
      <c r="B664" s="4" t="inlineStr">
        <is>
          <t>IMOBILIZADO_EM_ANDAMENTO</t>
        </is>
      </c>
      <c r="C664" s="4" t="inlineStr">
        <is>
          <t>1.2.03.02.001</t>
        </is>
      </c>
      <c r="D664" s="4" t="inlineStr">
        <is>
          <t>REMANSO</t>
        </is>
      </c>
      <c r="E664" s="4" t="inlineStr">
        <is>
          <t>ORDEM DE INVESTIMENTO EM ANDAMENTO</t>
        </is>
      </c>
      <c r="F664" s="4" t="inlineStr">
        <is>
          <t>INFERIOR</t>
        </is>
      </c>
      <c r="G664" s="4" t="n">
        <v>1</v>
      </c>
      <c r="H664" s="5" t="n">
        <v>5203260906.838175</v>
      </c>
      <c r="I664" s="5" t="n">
        <v>5203271188.339922</v>
      </c>
      <c r="J664" s="5" t="n">
        <v>30120.37</v>
      </c>
      <c r="K664" s="4" t="inlineStr">
        <is>
          <t>S</t>
        </is>
      </c>
      <c r="L664" s="4" t="inlineStr">
        <is>
          <t>2025-06-29</t>
        </is>
      </c>
      <c r="M664" s="5" t="n">
        <v>30120.37</v>
      </c>
      <c r="N664" s="5">
        <f>J664-M664</f>
        <v/>
      </c>
      <c r="O664" s="6">
        <f>IF(F664="INFERIOR",N664/J664,"")</f>
        <v/>
      </c>
      <c r="P664" s="5">
        <f>IF(F664="INFERIOR",O664*MUS_parametros!$B$18,N664)</f>
        <v/>
      </c>
      <c r="Q664" s="4" t="inlineStr">
        <is>
          <t>Documento confere com o registro</t>
        </is>
      </c>
    </row>
    <row r="665">
      <c r="A665" s="4" t="inlineStr">
        <is>
          <t>IMB-0456646</t>
        </is>
      </c>
      <c r="B665" s="4" t="inlineStr">
        <is>
          <t>DESENVOLVIMENTO_CAMPOS</t>
        </is>
      </c>
      <c r="C665" s="4" t="inlineStr">
        <is>
          <t>1.2.03.04.001</t>
        </is>
      </c>
      <c r="D665" s="4" t="inlineStr">
        <is>
          <t>RIO MOSSORO</t>
        </is>
      </c>
      <c r="E665" s="4" t="inlineStr">
        <is>
          <t>PERFURACAO E COMPLETACAO</t>
        </is>
      </c>
      <c r="F665" s="4" t="inlineStr">
        <is>
          <t>INFERIOR</t>
        </is>
      </c>
      <c r="G665" s="4" t="n">
        <v>1</v>
      </c>
      <c r="H665" s="5" t="n">
        <v>5208993906.838175</v>
      </c>
      <c r="I665" s="5" t="n">
        <v>5209213551.889924</v>
      </c>
      <c r="J665" s="5" t="n">
        <v>537757.78</v>
      </c>
      <c r="K665" s="4" t="inlineStr">
        <is>
          <t>S</t>
        </is>
      </c>
      <c r="L665" s="4" t="inlineStr">
        <is>
          <t>2025-07-24</t>
        </is>
      </c>
      <c r="M665" s="5" t="n">
        <v>537757.78</v>
      </c>
      <c r="N665" s="5">
        <f>J665-M665</f>
        <v/>
      </c>
      <c r="O665" s="6">
        <f>IF(F665="INFERIOR",N665/J665,"")</f>
        <v/>
      </c>
      <c r="P665" s="5">
        <f>IF(F665="INFERIOR",O665*MUS_parametros!$B$18,N665)</f>
        <v/>
      </c>
      <c r="Q665" s="4" t="inlineStr">
        <is>
          <t>Documento confere com o registro</t>
        </is>
      </c>
    </row>
    <row r="666">
      <c r="A666" s="4" t="inlineStr">
        <is>
          <t>IMB-0457048</t>
        </is>
      </c>
      <c r="B666" s="4" t="inlineStr">
        <is>
          <t>DIREITO_PRODUCAO_OLEO_GAS</t>
        </is>
      </c>
      <c r="C666" s="4" t="inlineStr">
        <is>
          <t>1.2.03.03.004</t>
        </is>
      </c>
      <c r="D666" s="4" t="inlineStr">
        <is>
          <t>POT-CONC-18 (SINTETICO)</t>
        </is>
      </c>
      <c r="E666" s="4" t="inlineStr">
        <is>
          <t>CUSTO DE AQUISICAO DA CONCESSAO</t>
        </is>
      </c>
      <c r="F666" s="4" t="inlineStr">
        <is>
          <t>SUPERIOR (VC &gt;= I)</t>
        </is>
      </c>
      <c r="G666" s="4" t="n">
        <v>7</v>
      </c>
      <c r="H666" s="5" t="n">
        <v>5214726906.838175</v>
      </c>
      <c r="I666" s="5" t="n">
        <v>5253980181.129922</v>
      </c>
      <c r="J666" s="5" t="n">
        <v>42368210.8</v>
      </c>
      <c r="K666" s="4" t="inlineStr">
        <is>
          <t>S</t>
        </is>
      </c>
      <c r="L666" s="4" t="inlineStr">
        <is>
          <t>2019-12-09</t>
        </is>
      </c>
      <c r="M666" s="5" t="n">
        <v>42368210.8</v>
      </c>
      <c r="N666" s="5">
        <f>J666-M666</f>
        <v/>
      </c>
      <c r="O666" s="6">
        <f>IF(F666="INFERIOR",N666/J666,"")</f>
        <v/>
      </c>
      <c r="P666" s="5">
        <f>IF(F666="INFERIOR",O666*MUS_parametros!$B$18,N666)</f>
        <v/>
      </c>
      <c r="Q666" s="4" t="inlineStr">
        <is>
          <t>Documento confere com o registro</t>
        </is>
      </c>
    </row>
    <row r="667">
      <c r="A667" s="4" t="inlineStr">
        <is>
          <t>IMB-0457172</t>
        </is>
      </c>
      <c r="B667" s="4" t="inlineStr">
        <is>
          <t>DESENVOLVIMENTO_CAMPOS</t>
        </is>
      </c>
      <c r="C667" s="4" t="inlineStr">
        <is>
          <t>1.2.03.04.001</t>
        </is>
      </c>
      <c r="D667" s="4" t="inlineStr">
        <is>
          <t>POT-CONC-01 (SINTETICO)</t>
        </is>
      </c>
      <c r="E667" s="4" t="inlineStr">
        <is>
          <t>PERFURACAO E COMPLETACAO</t>
        </is>
      </c>
      <c r="F667" s="4" t="inlineStr">
        <is>
          <t>INFERIOR</t>
        </is>
      </c>
      <c r="G667" s="4" t="n">
        <v>1</v>
      </c>
      <c r="H667" s="5" t="n">
        <v>5254857906.838175</v>
      </c>
      <c r="I667" s="5" t="n">
        <v>5254991188.23992</v>
      </c>
      <c r="J667" s="5" t="n">
        <v>173862.44</v>
      </c>
      <c r="K667" s="4" t="inlineStr">
        <is>
          <t>S</t>
        </is>
      </c>
      <c r="L667" s="4" t="inlineStr">
        <is>
          <t>2025-09-20</t>
        </is>
      </c>
      <c r="M667" s="5" t="n">
        <v>173862.44</v>
      </c>
      <c r="N667" s="5">
        <f>J667-M667</f>
        <v/>
      </c>
      <c r="O667" s="6">
        <f>IF(F667="INFERIOR",N667/J667,"")</f>
        <v/>
      </c>
      <c r="P667" s="5">
        <f>IF(F667="INFERIOR",O667*MUS_parametros!$B$18,N667)</f>
        <v/>
      </c>
      <c r="Q667" s="4" t="inlineStr">
        <is>
          <t>Documento confere com o registro</t>
        </is>
      </c>
    </row>
    <row r="668">
      <c r="A668" s="4" t="inlineStr">
        <is>
          <t>IMB-0457709</t>
        </is>
      </c>
      <c r="B668" s="4" t="inlineStr">
        <is>
          <t>DIREITO_PRODUCAO_OLEO_GAS</t>
        </is>
      </c>
      <c r="C668" s="4" t="inlineStr">
        <is>
          <t>1.2.03.03.003</t>
        </is>
      </c>
      <c r="D668" s="4" t="inlineStr">
        <is>
          <t>APRAIUS</t>
        </is>
      </c>
      <c r="E668" s="4" t="inlineStr">
        <is>
          <t>CUSTO DE AQUISICAO DA CONCESSAO</t>
        </is>
      </c>
      <c r="F668" s="4" t="inlineStr">
        <is>
          <t>SUPERIOR (VC &gt;= I)</t>
        </is>
      </c>
      <c r="G668" s="4" t="n">
        <v>16</v>
      </c>
      <c r="H668" s="5" t="n">
        <v>5260590906.838175</v>
      </c>
      <c r="I668" s="5" t="n">
        <v>5346928308.019918</v>
      </c>
      <c r="J668" s="5" t="n">
        <v>87848558.33</v>
      </c>
      <c r="K668" s="4" t="inlineStr">
        <is>
          <t>S</t>
        </is>
      </c>
      <c r="L668" s="4" t="inlineStr">
        <is>
          <t>2021-12-07</t>
        </is>
      </c>
      <c r="M668" s="5" t="n">
        <v>87848558.33</v>
      </c>
      <c r="N668" s="5">
        <f>J668-M668</f>
        <v/>
      </c>
      <c r="O668" s="6">
        <f>IF(F668="INFERIOR",N668/J668,"")</f>
        <v/>
      </c>
      <c r="P668" s="5">
        <f>IF(F668="INFERIOR",O668*MUS_parametros!$B$18,N668)</f>
        <v/>
      </c>
      <c r="Q668" s="4" t="inlineStr">
        <is>
          <t>Documento confere com o registro</t>
        </is>
      </c>
    </row>
    <row r="669">
      <c r="A669" s="4" t="inlineStr">
        <is>
          <t>IMB-0458378</t>
        </is>
      </c>
      <c r="B669" s="4" t="inlineStr">
        <is>
          <t>MAQUINAS_EQUIPAMENTOS</t>
        </is>
      </c>
      <c r="C669" s="4" t="inlineStr">
        <is>
          <t>1.2.03.01.004</t>
        </is>
      </c>
      <c r="D669" s="4" t="inlineStr">
        <is>
          <t>UPGN GUAMARE</t>
        </is>
      </c>
      <c r="E669" s="4" t="inlineStr">
        <is>
          <t>MODULO DE PROCESSAMENTO UPGN III</t>
        </is>
      </c>
      <c r="F669" s="4" t="inlineStr">
        <is>
          <t>INFERIOR</t>
        </is>
      </c>
      <c r="G669" s="4" t="n">
        <v>1</v>
      </c>
      <c r="H669" s="5" t="n">
        <v>5352318906.838175</v>
      </c>
      <c r="I669" s="5" t="n">
        <v>5352557025.829912</v>
      </c>
      <c r="J669" s="5" t="n">
        <v>307704.69</v>
      </c>
      <c r="K669" s="4" t="inlineStr">
        <is>
          <t>S</t>
        </is>
      </c>
      <c r="L669" s="4" t="inlineStr">
        <is>
          <t>2025-09-30</t>
        </is>
      </c>
      <c r="M669" s="5" t="n">
        <v>307704.69</v>
      </c>
      <c r="N669" s="5">
        <f>J669-M669</f>
        <v/>
      </c>
      <c r="O669" s="6">
        <f>IF(F669="INFERIOR",N669/J669,"")</f>
        <v/>
      </c>
      <c r="P669" s="5">
        <f>IF(F669="INFERIOR",O669*MUS_parametros!$B$18,N669)</f>
        <v/>
      </c>
      <c r="Q669" s="4" t="inlineStr">
        <is>
          <t>Documento confere com o registro</t>
        </is>
      </c>
    </row>
    <row r="670">
      <c r="A670" s="4" t="inlineStr">
        <is>
          <t>IMB-0458991</t>
        </is>
      </c>
      <c r="B670" s="4" t="inlineStr">
        <is>
          <t>DESENVOLVIMENTO_CAMPOS</t>
        </is>
      </c>
      <c r="C670" s="4" t="inlineStr">
        <is>
          <t>1.2.03.04.001</t>
        </is>
      </c>
      <c r="D670" s="4" t="inlineStr">
        <is>
          <t>TARTARUGA</t>
        </is>
      </c>
      <c r="E670" s="4" t="inlineStr">
        <is>
          <t>PERFURACAO E COMPLETACAO</t>
        </is>
      </c>
      <c r="F670" s="4" t="inlineStr">
        <is>
          <t>INFERIOR</t>
        </is>
      </c>
      <c r="G670" s="4" t="n">
        <v>1</v>
      </c>
      <c r="H670" s="5" t="n">
        <v>5358051906.838175</v>
      </c>
      <c r="I670" s="5" t="n">
        <v>5358245782.719916</v>
      </c>
      <c r="J670" s="5" t="n">
        <v>806762.09</v>
      </c>
      <c r="K670" s="4" t="inlineStr">
        <is>
          <t>S</t>
        </is>
      </c>
      <c r="L670" s="4" t="inlineStr">
        <is>
          <t>2024-06-06</t>
        </is>
      </c>
      <c r="M670" s="5" t="n">
        <v>806762.09</v>
      </c>
      <c r="N670" s="5">
        <f>J670-M670</f>
        <v/>
      </c>
      <c r="O670" s="6">
        <f>IF(F670="INFERIOR",N670/J670,"")</f>
        <v/>
      </c>
      <c r="P670" s="5">
        <f>IF(F670="INFERIOR",O670*MUS_parametros!$B$18,N670)</f>
        <v/>
      </c>
      <c r="Q670" s="4" t="inlineStr">
        <is>
          <t>Documento confere com o registro</t>
        </is>
      </c>
    </row>
    <row r="671">
      <c r="A671" s="4" t="inlineStr">
        <is>
          <t>IMB-0459739</t>
        </is>
      </c>
      <c r="B671" s="4" t="inlineStr">
        <is>
          <t>DESENVOLVIMENTO_CAMPOS</t>
        </is>
      </c>
      <c r="C671" s="4" t="inlineStr">
        <is>
          <t>1.2.03.04.001</t>
        </is>
      </c>
      <c r="D671" s="4" t="inlineStr">
        <is>
          <t>POT-CONC-19 (SINTETICO)</t>
        </is>
      </c>
      <c r="E671" s="4" t="inlineStr">
        <is>
          <t>PERFURACAO E COMPLETACAO</t>
        </is>
      </c>
      <c r="F671" s="4" t="inlineStr">
        <is>
          <t>INFERIOR</t>
        </is>
      </c>
      <c r="G671" s="4" t="n">
        <v>1</v>
      </c>
      <c r="H671" s="5" t="n">
        <v>5363784906.838175</v>
      </c>
      <c r="I671" s="5" t="n">
        <v>5365180450.349924</v>
      </c>
      <c r="J671" s="5" t="n">
        <v>1894425.97</v>
      </c>
      <c r="K671" s="4" t="inlineStr">
        <is>
          <t>S</t>
        </is>
      </c>
      <c r="L671" s="4" t="inlineStr">
        <is>
          <t>2025-10-22</t>
        </is>
      </c>
      <c r="M671" s="5" t="n">
        <v>1894425.97</v>
      </c>
      <c r="N671" s="5">
        <f>J671-M671</f>
        <v/>
      </c>
      <c r="O671" s="6">
        <f>IF(F671="INFERIOR",N671/J671,"")</f>
        <v/>
      </c>
      <c r="P671" s="5">
        <f>IF(F671="INFERIOR",O671*MUS_parametros!$B$18,N671)</f>
        <v/>
      </c>
      <c r="Q671" s="4" t="inlineStr">
        <is>
          <t>Documento confere com o registro</t>
        </is>
      </c>
    </row>
    <row r="672">
      <c r="A672" s="4" t="inlineStr">
        <is>
          <t>IMB-0460373</t>
        </is>
      </c>
      <c r="B672" s="4" t="inlineStr">
        <is>
          <t>MAQUINAS_EQUIPAMENTOS</t>
        </is>
      </c>
      <c r="C672" s="4" t="inlineStr">
        <is>
          <t>1.2.03.01.004</t>
        </is>
      </c>
      <c r="D672" s="4" t="inlineStr">
        <is>
          <t>UPGN GUAMARE</t>
        </is>
      </c>
      <c r="E672" s="4" t="inlineStr">
        <is>
          <t>ARMAZENAMENTO DE LIQUIDOS</t>
        </is>
      </c>
      <c r="F672" s="4" t="inlineStr">
        <is>
          <t>INFERIOR</t>
        </is>
      </c>
      <c r="G672" s="4" t="n">
        <v>1</v>
      </c>
      <c r="H672" s="5" t="n">
        <v>5369517906.838175</v>
      </c>
      <c r="I672" s="5" t="n">
        <v>5369584942.139933</v>
      </c>
      <c r="J672" s="5" t="n">
        <v>233130.05</v>
      </c>
      <c r="K672" s="4" t="inlineStr">
        <is>
          <t>S</t>
        </is>
      </c>
      <c r="L672" s="4" t="inlineStr">
        <is>
          <t>2025-09-30</t>
        </is>
      </c>
      <c r="M672" s="5" t="n">
        <v>233130.05</v>
      </c>
      <c r="N672" s="5">
        <f>J672-M672</f>
        <v/>
      </c>
      <c r="O672" s="6">
        <f>IF(F672="INFERIOR",N672/J672,"")</f>
        <v/>
      </c>
      <c r="P672" s="5">
        <f>IF(F672="INFERIOR",O672*MUS_parametros!$B$18,N672)</f>
        <v/>
      </c>
      <c r="Q672" s="4" t="inlineStr">
        <is>
          <t>Documento confere com o registro</t>
        </is>
      </c>
    </row>
    <row r="673">
      <c r="A673" s="4" t="inlineStr">
        <is>
          <t>IMB-0461327</t>
        </is>
      </c>
      <c r="B673" s="4" t="inlineStr">
        <is>
          <t>DESENVOLVIMENTO_CAMPOS</t>
        </is>
      </c>
      <c r="C673" s="4" t="inlineStr">
        <is>
          <t>1.2.03.04.001</t>
        </is>
      </c>
      <c r="D673" s="4" t="inlineStr">
        <is>
          <t>POT-CONC-20 (SINTETICO)</t>
        </is>
      </c>
      <c r="E673" s="4" t="inlineStr">
        <is>
          <t>PERFURACAO E COMPLETACAO</t>
        </is>
      </c>
      <c r="F673" s="4" t="inlineStr">
        <is>
          <t>INFERIOR</t>
        </is>
      </c>
      <c r="G673" s="4" t="n">
        <v>1</v>
      </c>
      <c r="H673" s="5" t="n">
        <v>5375250906.838175</v>
      </c>
      <c r="I673" s="5" t="n">
        <v>5375815752.639933</v>
      </c>
      <c r="J673" s="5" t="n">
        <v>805728.37</v>
      </c>
      <c r="K673" s="4" t="inlineStr">
        <is>
          <t>S</t>
        </is>
      </c>
      <c r="L673" s="4" t="inlineStr">
        <is>
          <t>2025-09-11</t>
        </is>
      </c>
      <c r="M673" s="5" t="n">
        <v>805728.37</v>
      </c>
      <c r="N673" s="5">
        <f>J673-M673</f>
        <v/>
      </c>
      <c r="O673" s="6">
        <f>IF(F673="INFERIOR",N673/J673,"")</f>
        <v/>
      </c>
      <c r="P673" s="5">
        <f>IF(F673="INFERIOR",O673*MUS_parametros!$B$18,N673)</f>
        <v/>
      </c>
      <c r="Q673" s="4" t="inlineStr">
        <is>
          <t>Documento confere com o registro</t>
        </is>
      </c>
    </row>
    <row r="674">
      <c r="A674" s="4" t="inlineStr">
        <is>
          <t>IMB-0462179</t>
        </is>
      </c>
      <c r="B674" s="4" t="inlineStr">
        <is>
          <t>DESENVOLVIMENTO_CAMPOS</t>
        </is>
      </c>
      <c r="C674" s="4" t="inlineStr">
        <is>
          <t>1.2.03.04.001</t>
        </is>
      </c>
      <c r="D674" s="4" t="inlineStr">
        <is>
          <t>APRAIUS</t>
        </is>
      </c>
      <c r="E674" s="4" t="inlineStr">
        <is>
          <t>PERFURACAO E COMPLETACAO</t>
        </is>
      </c>
      <c r="F674" s="4" t="inlineStr">
        <is>
          <t>INFERIOR</t>
        </is>
      </c>
      <c r="G674" s="4" t="n">
        <v>1</v>
      </c>
      <c r="H674" s="5" t="n">
        <v>5380983906.838175</v>
      </c>
      <c r="I674" s="5" t="n">
        <v>5381008245.559947</v>
      </c>
      <c r="J674" s="5" t="n">
        <v>37941.34</v>
      </c>
      <c r="K674" s="4" t="inlineStr">
        <is>
          <t>S</t>
        </is>
      </c>
      <c r="L674" s="4" t="inlineStr">
        <is>
          <t>2024-09-26</t>
        </is>
      </c>
      <c r="M674" s="5" t="n">
        <v>37941.34</v>
      </c>
      <c r="N674" s="5">
        <f>J674-M674</f>
        <v/>
      </c>
      <c r="O674" s="6">
        <f>IF(F674="INFERIOR",N674/J674,"")</f>
        <v/>
      </c>
      <c r="P674" s="5">
        <f>IF(F674="INFERIOR",O674*MUS_parametros!$B$18,N674)</f>
        <v/>
      </c>
      <c r="Q674" s="4" t="inlineStr">
        <is>
          <t>Documento confere com o registro</t>
        </is>
      </c>
    </row>
    <row r="675">
      <c r="A675" s="4" t="inlineStr">
        <is>
          <t>IMB-0462875</t>
        </is>
      </c>
      <c r="B675" s="4" t="inlineStr">
        <is>
          <t>DESENVOLVIMENTO_CAMPOS</t>
        </is>
      </c>
      <c r="C675" s="4" t="inlineStr">
        <is>
          <t>1.2.03.04.002</t>
        </is>
      </c>
      <c r="D675" s="4" t="inlineStr">
        <is>
          <t>RIO MOSSORO</t>
        </is>
      </c>
      <c r="E675" s="4" t="inlineStr">
        <is>
          <t>WORKOVER / RECOMPLETACAO CAPITALIZADO</t>
        </is>
      </c>
      <c r="F675" s="4" t="inlineStr">
        <is>
          <t>INFERIOR</t>
        </is>
      </c>
      <c r="G675" s="4" t="n">
        <v>1</v>
      </c>
      <c r="H675" s="5" t="n">
        <v>5386716906.838175</v>
      </c>
      <c r="I675" s="5" t="n">
        <v>5386717311.969953</v>
      </c>
      <c r="J675" s="5" t="n">
        <v>1799.39</v>
      </c>
      <c r="K675" s="4" t="inlineStr">
        <is>
          <t>S</t>
        </is>
      </c>
      <c r="L675" s="4" t="inlineStr">
        <is>
          <t>2024-08-08</t>
        </is>
      </c>
      <c r="M675" s="5" t="n">
        <v>1799.39</v>
      </c>
      <c r="N675" s="5">
        <f>J675-M675</f>
        <v/>
      </c>
      <c r="O675" s="6">
        <f>IF(F675="INFERIOR",N675/J675,"")</f>
        <v/>
      </c>
      <c r="P675" s="5">
        <f>IF(F675="INFERIOR",O675*MUS_parametros!$B$18,N675)</f>
        <v/>
      </c>
      <c r="Q675" s="4" t="inlineStr">
        <is>
          <t>Documento confere com o registro</t>
        </is>
      </c>
    </row>
    <row r="676">
      <c r="A676" s="4" t="inlineStr">
        <is>
          <t>IMB-0463473</t>
        </is>
      </c>
      <c r="B676" s="4" t="inlineStr">
        <is>
          <t>ALMOXARIFADO_INVERSOES_FIXAS</t>
        </is>
      </c>
      <c r="C676" s="4" t="inlineStr">
        <is>
          <t>1.2.03.07.001</t>
        </is>
      </c>
      <c r="D676" s="4" t="inlineStr">
        <is>
          <t>JACUIPE</t>
        </is>
      </c>
      <c r="E676" s="4" t="inlineStr">
        <is>
          <t>TUBO DE REVESTIMENTO/PRODUCAO (LOTE)</t>
        </is>
      </c>
      <c r="F676" s="4" t="inlineStr">
        <is>
          <t>INFERIOR</t>
        </is>
      </c>
      <c r="G676" s="4" t="n">
        <v>1</v>
      </c>
      <c r="H676" s="5" t="n">
        <v>5392449906.838175</v>
      </c>
      <c r="I676" s="5" t="n">
        <v>5392460291.799944</v>
      </c>
      <c r="J676" s="5" t="n">
        <v>11983.49</v>
      </c>
      <c r="K676" s="4" t="inlineStr">
        <is>
          <t>S</t>
        </is>
      </c>
      <c r="L676" s="4" t="inlineStr">
        <is>
          <t>2024-10-26</t>
        </is>
      </c>
      <c r="M676" s="5" t="n">
        <v>11983.49</v>
      </c>
      <c r="N676" s="5">
        <f>J676-M676</f>
        <v/>
      </c>
      <c r="O676" s="6">
        <f>IF(F676="INFERIOR",N676/J676,"")</f>
        <v/>
      </c>
      <c r="P676" s="5">
        <f>IF(F676="INFERIOR",O676*MUS_parametros!$B$18,N676)</f>
        <v/>
      </c>
      <c r="Q676" s="4" t="inlineStr">
        <is>
          <t>Documento confere com o registro</t>
        </is>
      </c>
    </row>
    <row r="677">
      <c r="A677" s="4" t="inlineStr">
        <is>
          <t>IMB-0464312</t>
        </is>
      </c>
      <c r="B677" s="4" t="inlineStr">
        <is>
          <t>DESENVOLVIMENTO_CAMPOS</t>
        </is>
      </c>
      <c r="C677" s="4" t="inlineStr">
        <is>
          <t>1.2.03.04.001</t>
        </is>
      </c>
      <c r="D677" s="4" t="inlineStr">
        <is>
          <t>RIO SUBAUMA</t>
        </is>
      </c>
      <c r="E677" s="4" t="inlineStr">
        <is>
          <t>PERFURACAO E COMPLETACAO</t>
        </is>
      </c>
      <c r="F677" s="4" t="inlineStr">
        <is>
          <t>INFERIOR</t>
        </is>
      </c>
      <c r="G677" s="4" t="n">
        <v>1</v>
      </c>
      <c r="H677" s="5" t="n">
        <v>5398182906.838175</v>
      </c>
      <c r="I677" s="5" t="n">
        <v>5398291954.029946</v>
      </c>
      <c r="J677" s="5" t="n">
        <v>463671.32</v>
      </c>
      <c r="K677" s="4" t="inlineStr">
        <is>
          <t>S</t>
        </is>
      </c>
      <c r="L677" s="4" t="inlineStr">
        <is>
          <t>2024-10-24</t>
        </is>
      </c>
      <c r="M677" s="5" t="n">
        <v>463671.32</v>
      </c>
      <c r="N677" s="5">
        <f>J677-M677</f>
        <v/>
      </c>
      <c r="O677" s="6">
        <f>IF(F677="INFERIOR",N677/J677,"")</f>
        <v/>
      </c>
      <c r="P677" s="5">
        <f>IF(F677="INFERIOR",O677*MUS_parametros!$B$18,N677)</f>
        <v/>
      </c>
      <c r="Q677" s="4" t="inlineStr">
        <is>
          <t>Documento confere com o registro</t>
        </is>
      </c>
    </row>
    <row r="678">
      <c r="A678" s="4" t="inlineStr">
        <is>
          <t>IMB-0465155</t>
        </is>
      </c>
      <c r="B678" s="4" t="inlineStr">
        <is>
          <t>DESENVOLVIMENTO_CAMPOS</t>
        </is>
      </c>
      <c r="C678" s="4" t="inlineStr">
        <is>
          <t>1.2.03.04.002</t>
        </is>
      </c>
      <c r="D678" s="4" t="inlineStr">
        <is>
          <t>POT-CONC-12 (SINTETICO)</t>
        </is>
      </c>
      <c r="E678" s="4" t="inlineStr">
        <is>
          <t>WORKOVER / RECOMPLETACAO CAPITALIZADO</t>
        </is>
      </c>
      <c r="F678" s="4" t="inlineStr">
        <is>
          <t>INFERIOR</t>
        </is>
      </c>
      <c r="G678" s="4" t="n">
        <v>1</v>
      </c>
      <c r="H678" s="5" t="n">
        <v>5403915906.838175</v>
      </c>
      <c r="I678" s="5" t="n">
        <v>5403928281.559949</v>
      </c>
      <c r="J678" s="5" t="n">
        <v>19616.21</v>
      </c>
      <c r="K678" s="4" t="inlineStr">
        <is>
          <t>S</t>
        </is>
      </c>
      <c r="L678" s="4" t="inlineStr">
        <is>
          <t>2024-05-31</t>
        </is>
      </c>
      <c r="M678" s="5" t="n">
        <v>19616.21</v>
      </c>
      <c r="N678" s="5">
        <f>J678-M678</f>
        <v/>
      </c>
      <c r="O678" s="6">
        <f>IF(F678="INFERIOR",N678/J678,"")</f>
        <v/>
      </c>
      <c r="P678" s="5">
        <f>IF(F678="INFERIOR",O678*MUS_parametros!$B$18,N678)</f>
        <v/>
      </c>
      <c r="Q678" s="4" t="inlineStr">
        <is>
          <t>Documento confere com o registro</t>
        </is>
      </c>
    </row>
    <row r="679">
      <c r="A679" s="4" t="inlineStr">
        <is>
          <t>IMB-0465963</t>
        </is>
      </c>
      <c r="B679" s="4" t="inlineStr">
        <is>
          <t>DESENVOLVIMENTO_CAMPOS</t>
        </is>
      </c>
      <c r="C679" s="4" t="inlineStr">
        <is>
          <t>1.2.03.04.001</t>
        </is>
      </c>
      <c r="D679" s="4" t="inlineStr">
        <is>
          <t>TIE</t>
        </is>
      </c>
      <c r="E679" s="4" t="inlineStr">
        <is>
          <t>PERFURACAO E COMPLETACAO</t>
        </is>
      </c>
      <c r="F679" s="4" t="inlineStr">
        <is>
          <t>INFERIOR</t>
        </is>
      </c>
      <c r="G679" s="4" t="n">
        <v>1</v>
      </c>
      <c r="H679" s="5" t="n">
        <v>5409648906.838175</v>
      </c>
      <c r="I679" s="5" t="n">
        <v>5410962034.629947</v>
      </c>
      <c r="J679" s="5" t="n">
        <v>1593097.56</v>
      </c>
      <c r="K679" s="4" t="inlineStr">
        <is>
          <t>S</t>
        </is>
      </c>
      <c r="L679" s="4" t="inlineStr">
        <is>
          <t>2025-11-19</t>
        </is>
      </c>
      <c r="M679" s="5" t="n">
        <v>1593097.56</v>
      </c>
      <c r="N679" s="5">
        <f>J679-M679</f>
        <v/>
      </c>
      <c r="O679" s="6">
        <f>IF(F679="INFERIOR",N679/J679,"")</f>
        <v/>
      </c>
      <c r="P679" s="5">
        <f>IF(F679="INFERIOR",O679*MUS_parametros!$B$18,N679)</f>
        <v/>
      </c>
      <c r="Q679" s="4" t="inlineStr">
        <is>
          <t>Documento confere com o registro</t>
        </is>
      </c>
    </row>
    <row r="680">
      <c r="A680" s="4" t="inlineStr">
        <is>
          <t>IMB-0466458</t>
        </is>
      </c>
      <c r="B680" s="4" t="inlineStr">
        <is>
          <t>DESENVOLVIMENTO_CAMPOS</t>
        </is>
      </c>
      <c r="C680" s="4" t="inlineStr">
        <is>
          <t>1.2.03.04.002</t>
        </is>
      </c>
      <c r="D680" s="4" t="inlineStr">
        <is>
          <t>POT-CONC-07 (SINTETICO)</t>
        </is>
      </c>
      <c r="E680" s="4" t="inlineStr">
        <is>
          <t>WORKOVER / RECOMPLETACAO CAPITALIZADO</t>
        </is>
      </c>
      <c r="F680" s="4" t="inlineStr">
        <is>
          <t>INFERIOR</t>
        </is>
      </c>
      <c r="G680" s="4" t="n">
        <v>1</v>
      </c>
      <c r="H680" s="5" t="n">
        <v>5415381906.838175</v>
      </c>
      <c r="I680" s="5" t="n">
        <v>5415387000.829948</v>
      </c>
      <c r="J680" s="5" t="n">
        <v>5771.92</v>
      </c>
      <c r="K680" s="4" t="inlineStr">
        <is>
          <t>S</t>
        </is>
      </c>
      <c r="L680" s="4" t="inlineStr">
        <is>
          <t>2025-04-24</t>
        </is>
      </c>
      <c r="M680" s="5" t="n">
        <v>5771.92</v>
      </c>
      <c r="N680" s="5">
        <f>J680-M680</f>
        <v/>
      </c>
      <c r="O680" s="6">
        <f>IF(F680="INFERIOR",N680/J680,"")</f>
        <v/>
      </c>
      <c r="P680" s="5">
        <f>IF(F680="INFERIOR",O680*MUS_parametros!$B$18,N680)</f>
        <v/>
      </c>
      <c r="Q680" s="4" t="inlineStr">
        <is>
          <t>Documento confere com o registro</t>
        </is>
      </c>
    </row>
    <row r="681">
      <c r="A681" s="4" t="inlineStr">
        <is>
          <t>IMB-0467485</t>
        </is>
      </c>
      <c r="B681" s="4" t="inlineStr">
        <is>
          <t>DESENVOLVIMENTO_CAMPOS</t>
        </is>
      </c>
      <c r="C681" s="4" t="inlineStr">
        <is>
          <t>1.2.03.04.001</t>
        </is>
      </c>
      <c r="D681" s="4" t="inlineStr">
        <is>
          <t>JACUIPE</t>
        </is>
      </c>
      <c r="E681" s="4" t="inlineStr">
        <is>
          <t>PERFURACAO E COMPLETACAO</t>
        </is>
      </c>
      <c r="F681" s="4" t="inlineStr">
        <is>
          <t>INFERIOR</t>
        </is>
      </c>
      <c r="G681" s="4" t="n">
        <v>1</v>
      </c>
      <c r="H681" s="5" t="n">
        <v>5421114906.838175</v>
      </c>
      <c r="I681" s="5" t="n">
        <v>5421140291.129943</v>
      </c>
      <c r="J681" s="5" t="n">
        <v>82078.25999999999</v>
      </c>
      <c r="K681" s="4" t="inlineStr">
        <is>
          <t>S</t>
        </is>
      </c>
      <c r="L681" s="4" t="inlineStr">
        <is>
          <t>2024-06-05</t>
        </is>
      </c>
      <c r="M681" s="5" t="n">
        <v>82078.25999999999</v>
      </c>
      <c r="N681" s="5">
        <f>J681-M681</f>
        <v/>
      </c>
      <c r="O681" s="6">
        <f>IF(F681="INFERIOR",N681/J681,"")</f>
        <v/>
      </c>
      <c r="P681" s="5">
        <f>IF(F681="INFERIOR",O681*MUS_parametros!$B$18,N681)</f>
        <v/>
      </c>
      <c r="Q681" s="4" t="inlineStr">
        <is>
          <t>Documento confere com o registro</t>
        </is>
      </c>
    </row>
    <row r="682">
      <c r="A682" s="4" t="inlineStr">
        <is>
          <t>IMB-0468355</t>
        </is>
      </c>
      <c r="B682" s="4" t="inlineStr">
        <is>
          <t>DESENVOLVIMENTO_CAMPOS</t>
        </is>
      </c>
      <c r="C682" s="4" t="inlineStr">
        <is>
          <t>1.2.03.04.001</t>
        </is>
      </c>
      <c r="D682" s="4" t="inlineStr">
        <is>
          <t>NORTE FAZENDA CARUACU</t>
        </is>
      </c>
      <c r="E682" s="4" t="inlineStr">
        <is>
          <t>PERFURACAO E COMPLETACAO</t>
        </is>
      </c>
      <c r="F682" s="4" t="inlineStr">
        <is>
          <t>INFERIOR</t>
        </is>
      </c>
      <c r="G682" s="4" t="n">
        <v>1</v>
      </c>
      <c r="H682" s="5" t="n">
        <v>5426847906.838175</v>
      </c>
      <c r="I682" s="5" t="n">
        <v>5429082525.919942</v>
      </c>
      <c r="J682" s="5" t="n">
        <v>2947113.56</v>
      </c>
      <c r="K682" s="4" t="inlineStr">
        <is>
          <t>S</t>
        </is>
      </c>
      <c r="L682" s="4" t="inlineStr">
        <is>
          <t>2024-06-23</t>
        </is>
      </c>
      <c r="M682" s="5" t="n">
        <v>0</v>
      </c>
      <c r="N682" s="5">
        <f>J682-M682</f>
        <v/>
      </c>
      <c r="O682" s="6">
        <f>IF(F682="INFERIOR",N682/J682,"")</f>
        <v/>
      </c>
      <c r="P682" s="5">
        <f>IF(F682="INFERIOR",O682*MUS_parametros!$B$18,N682)</f>
        <v/>
      </c>
      <c r="Q682" s="4" t="inlineStr">
        <is>
          <t>Documento ja vinculado ao registro IMB-0430091 (duplicidade)</t>
        </is>
      </c>
    </row>
    <row r="683">
      <c r="A683" s="4" t="inlineStr">
        <is>
          <t>IMB-0468895</t>
        </is>
      </c>
      <c r="B683" s="4" t="inlineStr">
        <is>
          <t>MAQUINAS_EQUIPAMENTOS</t>
        </is>
      </c>
      <c r="C683" s="4" t="inlineStr">
        <is>
          <t>1.2.03.01.004</t>
        </is>
      </c>
      <c r="D683" s="4" t="inlineStr">
        <is>
          <t>UPGN GUAMARE</t>
        </is>
      </c>
      <c r="E683" s="4" t="inlineStr">
        <is>
          <t>GASODUTO DE INTERLIGACAO (TRECHO)</t>
        </is>
      </c>
      <c r="F683" s="4" t="inlineStr">
        <is>
          <t>INFERIOR</t>
        </is>
      </c>
      <c r="G683" s="4" t="n">
        <v>1</v>
      </c>
      <c r="H683" s="5" t="n">
        <v>5432580906.838175</v>
      </c>
      <c r="I683" s="5" t="n">
        <v>5432686008.77994</v>
      </c>
      <c r="J683" s="5" t="n">
        <v>156071.54</v>
      </c>
      <c r="K683" s="4" t="inlineStr">
        <is>
          <t>S</t>
        </is>
      </c>
      <c r="L683" s="4" t="inlineStr">
        <is>
          <t>2025-09-30</t>
        </is>
      </c>
      <c r="M683" s="5" t="n">
        <v>156071.54</v>
      </c>
      <c r="N683" s="5">
        <f>J683-M683</f>
        <v/>
      </c>
      <c r="O683" s="6">
        <f>IF(F683="INFERIOR",N683/J683,"")</f>
        <v/>
      </c>
      <c r="P683" s="5">
        <f>IF(F683="INFERIOR",O683*MUS_parametros!$B$18,N683)</f>
        <v/>
      </c>
      <c r="Q683" s="4" t="inlineStr">
        <is>
          <t>Documento confere com o registro</t>
        </is>
      </c>
    </row>
    <row r="684">
      <c r="A684" s="4" t="inlineStr">
        <is>
          <t>IMB-0469519</t>
        </is>
      </c>
      <c r="B684" s="4" t="inlineStr">
        <is>
          <t>DESENVOLVIMENTO_CAMPOS</t>
        </is>
      </c>
      <c r="C684" s="4" t="inlineStr">
        <is>
          <t>1.2.03.04.001</t>
        </is>
      </c>
      <c r="D684" s="4" t="inlineStr">
        <is>
          <t>SAO PEDRO</t>
        </is>
      </c>
      <c r="E684" s="4" t="inlineStr">
        <is>
          <t>PERFURACAO E COMPLETACAO</t>
        </is>
      </c>
      <c r="F684" s="4" t="inlineStr">
        <is>
          <t>INFERIOR</t>
        </is>
      </c>
      <c r="G684" s="4" t="n">
        <v>1</v>
      </c>
      <c r="H684" s="5" t="n">
        <v>5438313906.838175</v>
      </c>
      <c r="I684" s="5" t="n">
        <v>5438517775.779942</v>
      </c>
      <c r="J684" s="5" t="n">
        <v>458332.64</v>
      </c>
      <c r="K684" s="4" t="inlineStr">
        <is>
          <t>S</t>
        </is>
      </c>
      <c r="L684" s="4" t="inlineStr">
        <is>
          <t>2025-10-15</t>
        </is>
      </c>
      <c r="M684" s="5" t="n">
        <v>169521.33</v>
      </c>
      <c r="N684" s="5">
        <f>J684-M684</f>
        <v/>
      </c>
      <c r="O684" s="6">
        <f>IF(F684="INFERIOR",N684/J684,"")</f>
        <v/>
      </c>
      <c r="P684" s="5">
        <f>IF(F684="INFERIOR",O684*MUS_parametros!$B$18,N684)</f>
        <v/>
      </c>
      <c r="Q684" s="4" t="inlineStr">
        <is>
          <t>Nota/medicao suporta valor inferior ao registrado</t>
        </is>
      </c>
    </row>
    <row r="685">
      <c r="A685" s="4" t="inlineStr">
        <is>
          <t>IMB-0470115</t>
        </is>
      </c>
      <c r="B685" s="4" t="inlineStr">
        <is>
          <t>DESENVOLVIMENTO_CAMPOS</t>
        </is>
      </c>
      <c r="C685" s="4" t="inlineStr">
        <is>
          <t>1.2.03.04.001</t>
        </is>
      </c>
      <c r="D685" s="4" t="inlineStr">
        <is>
          <t>TARTARUGA</t>
        </is>
      </c>
      <c r="E685" s="4" t="inlineStr">
        <is>
          <t>PERFURACAO E COMPLETACAO</t>
        </is>
      </c>
      <c r="F685" s="4" t="inlineStr">
        <is>
          <t>INFERIOR</t>
        </is>
      </c>
      <c r="G685" s="4" t="n">
        <v>1</v>
      </c>
      <c r="H685" s="5" t="n">
        <v>5444046906.838175</v>
      </c>
      <c r="I685" s="5" t="n">
        <v>5445075268.889934</v>
      </c>
      <c r="J685" s="5" t="n">
        <v>1827137.77</v>
      </c>
      <c r="K685" s="4" t="inlineStr">
        <is>
          <t>S</t>
        </is>
      </c>
      <c r="L685" s="4" t="inlineStr">
        <is>
          <t>2025-05-06</t>
        </is>
      </c>
      <c r="M685" s="5" t="n">
        <v>1827137.77</v>
      </c>
      <c r="N685" s="5">
        <f>J685-M685</f>
        <v/>
      </c>
      <c r="O685" s="6">
        <f>IF(F685="INFERIOR",N685/J685,"")</f>
        <v/>
      </c>
      <c r="P685" s="5">
        <f>IF(F685="INFERIOR",O685*MUS_parametros!$B$18,N685)</f>
        <v/>
      </c>
      <c r="Q685" s="4" t="inlineStr">
        <is>
          <t>Documento confere com o registro</t>
        </is>
      </c>
    </row>
    <row r="686">
      <c r="A686" s="4" t="inlineStr">
        <is>
          <t>IMB-0470795</t>
        </is>
      </c>
      <c r="B686" s="4" t="inlineStr">
        <is>
          <t>DESENVOLVIMENTO_CAMPOS</t>
        </is>
      </c>
      <c r="C686" s="4" t="inlineStr">
        <is>
          <t>1.2.03.04.002</t>
        </is>
      </c>
      <c r="D686" s="4" t="inlineStr">
        <is>
          <t>POT-CONC-20 (SINTETICO)</t>
        </is>
      </c>
      <c r="E686" s="4" t="inlineStr">
        <is>
          <t>WORKOVER / RECOMPLETACAO CAPITALIZADO</t>
        </is>
      </c>
      <c r="F686" s="4" t="inlineStr">
        <is>
          <t>INFERIOR</t>
        </is>
      </c>
      <c r="G686" s="4" t="n">
        <v>1</v>
      </c>
      <c r="H686" s="5" t="n">
        <v>5449779906.838175</v>
      </c>
      <c r="I686" s="5" t="n">
        <v>5449780388.639925</v>
      </c>
      <c r="J686" s="5" t="n">
        <v>2574.69</v>
      </c>
      <c r="K686" s="4" t="inlineStr">
        <is>
          <t>S</t>
        </is>
      </c>
      <c r="L686" s="4" t="inlineStr">
        <is>
          <t>2025-08-09</t>
        </is>
      </c>
      <c r="M686" s="5" t="n">
        <v>2574.69</v>
      </c>
      <c r="N686" s="5">
        <f>J686-M686</f>
        <v/>
      </c>
      <c r="O686" s="6">
        <f>IF(F686="INFERIOR",N686/J686,"")</f>
        <v/>
      </c>
      <c r="P686" s="5">
        <f>IF(F686="INFERIOR",O686*MUS_parametros!$B$18,N686)</f>
        <v/>
      </c>
      <c r="Q686" s="4" t="inlineStr">
        <is>
          <t>Documento confere com o registro</t>
        </is>
      </c>
    </row>
    <row r="687">
      <c r="A687" s="4" t="inlineStr">
        <is>
          <t>IMB-0471357</t>
        </is>
      </c>
      <c r="B687" s="4" t="inlineStr">
        <is>
          <t>DESENVOLVIMENTO_CAMPOS</t>
        </is>
      </c>
      <c r="C687" s="4" t="inlineStr">
        <is>
          <t>1.2.03.04.001</t>
        </is>
      </c>
      <c r="D687" s="4" t="inlineStr">
        <is>
          <t>TARTARUGA</t>
        </is>
      </c>
      <c r="E687" s="4" t="inlineStr">
        <is>
          <t>PERFURACAO E COMPLETACAO</t>
        </is>
      </c>
      <c r="F687" s="4" t="inlineStr">
        <is>
          <t>INFERIOR</t>
        </is>
      </c>
      <c r="G687" s="4" t="n">
        <v>1</v>
      </c>
      <c r="H687" s="5" t="n">
        <v>5455512906.838175</v>
      </c>
      <c r="I687" s="5" t="n">
        <v>5455665812.34993</v>
      </c>
      <c r="J687" s="5" t="n">
        <v>749851.21</v>
      </c>
      <c r="K687" s="4" t="inlineStr">
        <is>
          <t>S</t>
        </is>
      </c>
      <c r="L687" s="4" t="inlineStr">
        <is>
          <t>2024-09-24</t>
        </is>
      </c>
      <c r="M687" s="5" t="n">
        <v>669388.76</v>
      </c>
      <c r="N687" s="5">
        <f>J687-M687</f>
        <v/>
      </c>
      <c r="O687" s="6">
        <f>IF(F687="INFERIOR",N687/J687,"")</f>
        <v/>
      </c>
      <c r="P687" s="5">
        <f>IF(F687="INFERIOR",O687*MUS_parametros!$B$18,N687)</f>
        <v/>
      </c>
      <c r="Q687" s="4" t="inlineStr">
        <is>
          <t>Nota/medicao suporta valor inferior ao registrado</t>
        </is>
      </c>
    </row>
    <row r="688">
      <c r="A688" s="4" t="inlineStr">
        <is>
          <t>IMB-0472396</t>
        </is>
      </c>
      <c r="B688" s="4" t="inlineStr">
        <is>
          <t>ALMOXARIFADO_INVERSOES_FIXAS</t>
        </is>
      </c>
      <c r="C688" s="4" t="inlineStr">
        <is>
          <t>1.2.03.07.002</t>
        </is>
      </c>
      <c r="D688" s="4" t="inlineStr">
        <is>
          <t>TARTARUGA</t>
        </is>
      </c>
      <c r="E688" s="4" t="inlineStr">
        <is>
          <t>BOMBA DE FUNDO EM ESTOQUE</t>
        </is>
      </c>
      <c r="F688" s="4" t="inlineStr">
        <is>
          <t>INFERIOR</t>
        </is>
      </c>
      <c r="G688" s="4" t="n">
        <v>1</v>
      </c>
      <c r="H688" s="5" t="n">
        <v>5461245906.838175</v>
      </c>
      <c r="I688" s="5" t="n">
        <v>5461247436.049913</v>
      </c>
      <c r="J688" s="5" t="n">
        <v>2519.5</v>
      </c>
      <c r="K688" s="4" t="inlineStr">
        <is>
          <t>S</t>
        </is>
      </c>
      <c r="L688" s="4" t="inlineStr">
        <is>
          <t>2023-05-15</t>
        </is>
      </c>
      <c r="M688" s="5" t="n">
        <v>2519.5</v>
      </c>
      <c r="N688" s="5">
        <f>J688-M688</f>
        <v/>
      </c>
      <c r="O688" s="6">
        <f>IF(F688="INFERIOR",N688/J688,"")</f>
        <v/>
      </c>
      <c r="P688" s="5">
        <f>IF(F688="INFERIOR",O688*MUS_parametros!$B$18,N688)</f>
        <v/>
      </c>
      <c r="Q688" s="4" t="inlineStr">
        <is>
          <t>Documento confere com o registro</t>
        </is>
      </c>
    </row>
    <row r="689">
      <c r="A689" s="4" t="inlineStr">
        <is>
          <t>IMB-0473197</t>
        </is>
      </c>
      <c r="B689" s="4" t="inlineStr">
        <is>
          <t>MAQUINAS_EQUIPAMENTOS</t>
        </is>
      </c>
      <c r="C689" s="4" t="inlineStr">
        <is>
          <t>1.2.03.01.002</t>
        </is>
      </c>
      <c r="D689" s="4" t="inlineStr">
        <is>
          <t>RIACHO DA FORQUILHA</t>
        </is>
      </c>
      <c r="E689" s="4" t="inlineStr">
        <is>
          <t>UNIDADE DE BOMBEIO MECANICO</t>
        </is>
      </c>
      <c r="F689" s="4" t="inlineStr">
        <is>
          <t>INFERIOR</t>
        </is>
      </c>
      <c r="G689" s="4" t="n">
        <v>1</v>
      </c>
      <c r="H689" s="5" t="n">
        <v>5466978906.838175</v>
      </c>
      <c r="I689" s="5" t="n">
        <v>5466995586.159913</v>
      </c>
      <c r="J689" s="5" t="n">
        <v>18370.95</v>
      </c>
      <c r="K689" s="4" t="inlineStr">
        <is>
          <t>S</t>
        </is>
      </c>
      <c r="L689" s="4" t="inlineStr">
        <is>
          <t>2023-09-11</t>
        </is>
      </c>
      <c r="M689" s="5" t="n">
        <v>18370.95</v>
      </c>
      <c r="N689" s="5">
        <f>J689-M689</f>
        <v/>
      </c>
      <c r="O689" s="6">
        <f>IF(F689="INFERIOR",N689/J689,"")</f>
        <v/>
      </c>
      <c r="P689" s="5">
        <f>IF(F689="INFERIOR",O689*MUS_parametros!$B$18,N689)</f>
        <v/>
      </c>
      <c r="Q689" s="4" t="inlineStr">
        <is>
          <t>Documento confere com o registro</t>
        </is>
      </c>
    </row>
    <row r="690">
      <c r="A690" s="4" t="inlineStr">
        <is>
          <t>IMB-0473538</t>
        </is>
      </c>
      <c r="B690" s="4" t="inlineStr">
        <is>
          <t>DIREITO_PRODUCAO_OLEO_GAS</t>
        </is>
      </c>
      <c r="C690" s="4" t="inlineStr">
        <is>
          <t>1.2.03.03.004</t>
        </is>
      </c>
      <c r="D690" s="4" t="inlineStr">
        <is>
          <t>RIO MOSSORO</t>
        </is>
      </c>
      <c r="E690" s="4" t="inlineStr">
        <is>
          <t>CUSTO DE AQUISICAO DA CONCESSAO</t>
        </is>
      </c>
      <c r="F690" s="4" t="inlineStr">
        <is>
          <t>SUPERIOR (VC &gt;= I)</t>
        </is>
      </c>
      <c r="G690" s="4" t="n">
        <v>9</v>
      </c>
      <c r="H690" s="5" t="n">
        <v>5472711906.838175</v>
      </c>
      <c r="I690" s="5" t="n">
        <v>5521508443.389917</v>
      </c>
      <c r="J690" s="5" t="n">
        <v>49917886.57</v>
      </c>
      <c r="K690" s="4" t="inlineStr">
        <is>
          <t>S</t>
        </is>
      </c>
      <c r="L690" s="4" t="inlineStr">
        <is>
          <t>2019-12-09</t>
        </is>
      </c>
      <c r="M690" s="5" t="n">
        <v>49917886.57</v>
      </c>
      <c r="N690" s="5">
        <f>J690-M690</f>
        <v/>
      </c>
      <c r="O690" s="6">
        <f>IF(F690="INFERIOR",N690/J690,"")</f>
        <v/>
      </c>
      <c r="P690" s="5">
        <f>IF(F690="INFERIOR",O690*MUS_parametros!$B$18,N690)</f>
        <v/>
      </c>
      <c r="Q690" s="4" t="inlineStr">
        <is>
          <t>Documento confere com o registro</t>
        </is>
      </c>
    </row>
    <row r="691">
      <c r="A691" s="4" t="inlineStr">
        <is>
          <t>IMB-0473911</t>
        </is>
      </c>
      <c r="B691" s="4" t="inlineStr">
        <is>
          <t>DESENVOLVIMENTO_CAMPOS</t>
        </is>
      </c>
      <c r="C691" s="4" t="inlineStr">
        <is>
          <t>1.2.03.04.001</t>
        </is>
      </c>
      <c r="D691" s="4" t="inlineStr">
        <is>
          <t>BAIXA DO ALGODAO</t>
        </is>
      </c>
      <c r="E691" s="4" t="inlineStr">
        <is>
          <t>PERFURACAO E COMPLETACAO</t>
        </is>
      </c>
      <c r="F691" s="4" t="inlineStr">
        <is>
          <t>INFERIOR</t>
        </is>
      </c>
      <c r="G691" s="4" t="n">
        <v>1</v>
      </c>
      <c r="H691" s="5" t="n">
        <v>5524308906.838175</v>
      </c>
      <c r="I691" s="5" t="n">
        <v>5524526194.29992</v>
      </c>
      <c r="J691" s="5" t="n">
        <v>602665.8100000001</v>
      </c>
      <c r="K691" s="4" t="inlineStr">
        <is>
          <t>S</t>
        </is>
      </c>
      <c r="L691" s="4" t="inlineStr">
        <is>
          <t>2025-09-10</t>
        </is>
      </c>
      <c r="M691" s="5" t="n">
        <v>602665.8100000001</v>
      </c>
      <c r="N691" s="5">
        <f>J691-M691</f>
        <v/>
      </c>
      <c r="O691" s="6">
        <f>IF(F691="INFERIOR",N691/J691,"")</f>
        <v/>
      </c>
      <c r="P691" s="5">
        <f>IF(F691="INFERIOR",O691*MUS_parametros!$B$18,N691)</f>
        <v/>
      </c>
      <c r="Q691" s="4" t="inlineStr">
        <is>
          <t>Documento confere com o registro</t>
        </is>
      </c>
    </row>
    <row r="692">
      <c r="A692" s="4" t="inlineStr">
        <is>
          <t>IMB-0474750</t>
        </is>
      </c>
      <c r="B692" s="4" t="inlineStr">
        <is>
          <t>DESENVOLVIMENTO_CAMPOS</t>
        </is>
      </c>
      <c r="C692" s="4" t="inlineStr">
        <is>
          <t>1.2.03.04.001</t>
        </is>
      </c>
      <c r="D692" s="4" t="inlineStr">
        <is>
          <t>POT-CONC-11 (SINTETICO)</t>
        </is>
      </c>
      <c r="E692" s="4" t="inlineStr">
        <is>
          <t>PERFURACAO E COMPLETACAO</t>
        </is>
      </c>
      <c r="F692" s="4" t="inlineStr">
        <is>
          <t>INFERIOR</t>
        </is>
      </c>
      <c r="G692" s="4" t="n">
        <v>1</v>
      </c>
      <c r="H692" s="5" t="n">
        <v>5530041906.838175</v>
      </c>
      <c r="I692" s="5" t="n">
        <v>5530059330.959918</v>
      </c>
      <c r="J692" s="5" t="n">
        <v>40880.01</v>
      </c>
      <c r="K692" s="4" t="inlineStr">
        <is>
          <t>S</t>
        </is>
      </c>
      <c r="L692" s="4" t="inlineStr">
        <is>
          <t>2024-04-24</t>
        </is>
      </c>
      <c r="M692" s="5" t="n">
        <v>40880.01</v>
      </c>
      <c r="N692" s="5">
        <f>J692-M692</f>
        <v/>
      </c>
      <c r="O692" s="6">
        <f>IF(F692="INFERIOR",N692/J692,"")</f>
        <v/>
      </c>
      <c r="P692" s="5">
        <f>IF(F692="INFERIOR",O692*MUS_parametros!$B$18,N692)</f>
        <v/>
      </c>
      <c r="Q692" s="4" t="inlineStr">
        <is>
          <t>Documento confere com o registro</t>
        </is>
      </c>
    </row>
    <row r="693">
      <c r="A693" s="4" t="inlineStr">
        <is>
          <t>IMB-0475527</t>
        </is>
      </c>
      <c r="B693" s="4" t="inlineStr">
        <is>
          <t>DESENVOLVIMENTO_CAMPOS</t>
        </is>
      </c>
      <c r="C693" s="4" t="inlineStr">
        <is>
          <t>1.2.03.04.001</t>
        </is>
      </c>
      <c r="D693" s="4" t="inlineStr">
        <is>
          <t>POT-CONC-19 (SINTETICO)</t>
        </is>
      </c>
      <c r="E693" s="4" t="inlineStr">
        <is>
          <t>PERFURACAO E COMPLETACAO</t>
        </is>
      </c>
      <c r="F693" s="4" t="inlineStr">
        <is>
          <t>INFERIOR</t>
        </is>
      </c>
      <c r="G693" s="4" t="n">
        <v>1</v>
      </c>
      <c r="H693" s="5" t="n">
        <v>5535774906.838175</v>
      </c>
      <c r="I693" s="5" t="n">
        <v>5535790385.709912</v>
      </c>
      <c r="J693" s="5" t="n">
        <v>117426.93</v>
      </c>
      <c r="K693" s="4" t="inlineStr">
        <is>
          <t>S</t>
        </is>
      </c>
      <c r="L693" s="4" t="inlineStr">
        <is>
          <t>2025-12-09</t>
        </is>
      </c>
      <c r="M693" s="5" t="n">
        <v>117426.93</v>
      </c>
      <c r="N693" s="5">
        <f>J693-M693</f>
        <v/>
      </c>
      <c r="O693" s="6">
        <f>IF(F693="INFERIOR",N693/J693,"")</f>
        <v/>
      </c>
      <c r="P693" s="5">
        <f>IF(F693="INFERIOR",O693*MUS_parametros!$B$18,N693)</f>
        <v/>
      </c>
      <c r="Q693" s="4" t="inlineStr">
        <is>
          <t>Documento confere com o registro</t>
        </is>
      </c>
    </row>
    <row r="694">
      <c r="A694" s="4" t="inlineStr">
        <is>
          <t>IMB-0476222</t>
        </is>
      </c>
      <c r="B694" s="4" t="inlineStr">
        <is>
          <t>DESENVOLVIMENTO_CAMPOS</t>
        </is>
      </c>
      <c r="C694" s="4" t="inlineStr">
        <is>
          <t>1.2.03.04.001</t>
        </is>
      </c>
      <c r="D694" s="4" t="inlineStr">
        <is>
          <t>FAZENDA CURRAL</t>
        </is>
      </c>
      <c r="E694" s="4" t="inlineStr">
        <is>
          <t>PERFURACAO E COMPLETACAO</t>
        </is>
      </c>
      <c r="F694" s="4" t="inlineStr">
        <is>
          <t>INFERIOR</t>
        </is>
      </c>
      <c r="G694" s="4" t="n">
        <v>1</v>
      </c>
      <c r="H694" s="5" t="n">
        <v>5541507906.838175</v>
      </c>
      <c r="I694" s="5" t="n">
        <v>5542054241.919923</v>
      </c>
      <c r="J694" s="5" t="n">
        <v>801961.52</v>
      </c>
      <c r="K694" s="4" t="inlineStr">
        <is>
          <t>S</t>
        </is>
      </c>
      <c r="L694" s="4" t="inlineStr">
        <is>
          <t>2025-12-23</t>
        </is>
      </c>
      <c r="M694" s="5" t="n">
        <v>801961.52</v>
      </c>
      <c r="N694" s="5">
        <f>J694-M694</f>
        <v/>
      </c>
      <c r="O694" s="6">
        <f>IF(F694="INFERIOR",N694/J694,"")</f>
        <v/>
      </c>
      <c r="P694" s="5">
        <f>IF(F694="INFERIOR",O694*MUS_parametros!$B$18,N694)</f>
        <v/>
      </c>
      <c r="Q694" s="4" t="inlineStr">
        <is>
          <t>Documento confere com o registro</t>
        </is>
      </c>
    </row>
    <row r="695">
      <c r="A695" s="4" t="inlineStr">
        <is>
          <t>IMB-0476769</t>
        </is>
      </c>
      <c r="B695" s="4" t="inlineStr">
        <is>
          <t>OUTROS</t>
        </is>
      </c>
      <c r="C695" s="4" t="inlineStr">
        <is>
          <t>1.2.03.09.005</t>
        </is>
      </c>
      <c r="D695" s="4" t="inlineStr">
        <is>
          <t>RIO MOSSORO</t>
        </is>
      </c>
      <c r="E695" s="4" t="inlineStr">
        <is>
          <t>VEICULO LEVE</t>
        </is>
      </c>
      <c r="F695" s="4" t="inlineStr">
        <is>
          <t>INFERIOR</t>
        </is>
      </c>
      <c r="G695" s="4" t="n">
        <v>1</v>
      </c>
      <c r="H695" s="5" t="n">
        <v>5547240906.838175</v>
      </c>
      <c r="I695" s="5" t="n">
        <v>5547484483.179922</v>
      </c>
      <c r="J695" s="5" t="n">
        <v>376485.54</v>
      </c>
      <c r="K695" s="4" t="inlineStr">
        <is>
          <t>S</t>
        </is>
      </c>
      <c r="L695" s="4" t="inlineStr">
        <is>
          <t>2024-03-13</t>
        </is>
      </c>
      <c r="M695" s="5" t="n">
        <v>376485.54</v>
      </c>
      <c r="N695" s="5">
        <f>J695-M695</f>
        <v/>
      </c>
      <c r="O695" s="6">
        <f>IF(F695="INFERIOR",N695/J695,"")</f>
        <v/>
      </c>
      <c r="P695" s="5">
        <f>IF(F695="INFERIOR",O695*MUS_parametros!$B$18,N695)</f>
        <v/>
      </c>
      <c r="Q695" s="4" t="inlineStr">
        <is>
          <t>Documento confere com o registro</t>
        </is>
      </c>
    </row>
    <row r="696">
      <c r="A696" s="4" t="inlineStr">
        <is>
          <t>IMB-0477436</t>
        </is>
      </c>
      <c r="B696" s="4" t="inlineStr">
        <is>
          <t>DESENVOLVIMENTO_CAMPOS</t>
        </is>
      </c>
      <c r="C696" s="4" t="inlineStr">
        <is>
          <t>1.2.03.04.001</t>
        </is>
      </c>
      <c r="D696" s="4" t="inlineStr">
        <is>
          <t>POT-CONC-07 (SINTETICO)</t>
        </is>
      </c>
      <c r="E696" s="4" t="inlineStr">
        <is>
          <t>PERFURACAO E COMPLETACAO</t>
        </is>
      </c>
      <c r="F696" s="4" t="inlineStr">
        <is>
          <t>INFERIOR</t>
        </is>
      </c>
      <c r="G696" s="4" t="n">
        <v>1</v>
      </c>
      <c r="H696" s="5" t="n">
        <v>5552973906.838175</v>
      </c>
      <c r="I696" s="5" t="n">
        <v>5553016819.699921</v>
      </c>
      <c r="J696" s="5" t="n">
        <v>402056.37</v>
      </c>
      <c r="K696" s="4" t="inlineStr">
        <is>
          <t>S</t>
        </is>
      </c>
      <c r="L696" s="4" t="inlineStr">
        <is>
          <t>2023-02-01</t>
        </is>
      </c>
      <c r="M696" s="5" t="n">
        <v>402056.37</v>
      </c>
      <c r="N696" s="5">
        <f>J696-M696</f>
        <v/>
      </c>
      <c r="O696" s="6">
        <f>IF(F696="INFERIOR",N696/J696,"")</f>
        <v/>
      </c>
      <c r="P696" s="5">
        <f>IF(F696="INFERIOR",O696*MUS_parametros!$B$18,N696)</f>
        <v/>
      </c>
      <c r="Q696" s="4" t="inlineStr">
        <is>
          <t>Documento confere com o registro</t>
        </is>
      </c>
    </row>
    <row r="697">
      <c r="A697" s="4" t="inlineStr">
        <is>
          <t>IMB-0478246</t>
        </is>
      </c>
      <c r="B697" s="4" t="inlineStr">
        <is>
          <t>MAQUINAS_EQUIPAMENTOS</t>
        </is>
      </c>
      <c r="C697" s="4" t="inlineStr">
        <is>
          <t>1.2.03.01.004</t>
        </is>
      </c>
      <c r="D697" s="4" t="inlineStr">
        <is>
          <t>UPGN GUAMARE</t>
        </is>
      </c>
      <c r="E697" s="4" t="inlineStr">
        <is>
          <t>UTILIDADES E INSTRUMENTACAO</t>
        </is>
      </c>
      <c r="F697" s="4" t="inlineStr">
        <is>
          <t>INFERIOR</t>
        </is>
      </c>
      <c r="G697" s="4" t="n">
        <v>1</v>
      </c>
      <c r="H697" s="5" t="n">
        <v>5558706906.838175</v>
      </c>
      <c r="I697" s="5" t="n">
        <v>5558730997.899921</v>
      </c>
      <c r="J697" s="5" t="n">
        <v>94748.27</v>
      </c>
      <c r="K697" s="4" t="inlineStr">
        <is>
          <t>S</t>
        </is>
      </c>
      <c r="L697" s="4" t="inlineStr">
        <is>
          <t>2025-09-30</t>
        </is>
      </c>
      <c r="M697" s="5" t="n">
        <v>94748.27</v>
      </c>
      <c r="N697" s="5">
        <f>J697-M697</f>
        <v/>
      </c>
      <c r="O697" s="6">
        <f>IF(F697="INFERIOR",N697/J697,"")</f>
        <v/>
      </c>
      <c r="P697" s="5">
        <f>IF(F697="INFERIOR",O697*MUS_parametros!$B$18,N697)</f>
        <v/>
      </c>
      <c r="Q697" s="4" t="inlineStr">
        <is>
          <t>Documento confere com o registro</t>
        </is>
      </c>
    </row>
    <row r="698">
      <c r="A698" s="4" t="inlineStr">
        <is>
          <t>IMB-0478948</t>
        </is>
      </c>
      <c r="B698" s="4" t="inlineStr">
        <is>
          <t>DESENVOLVIMENTO_CAMPOS</t>
        </is>
      </c>
      <c r="C698" s="4" t="inlineStr">
        <is>
          <t>1.2.03.04.001</t>
        </is>
      </c>
      <c r="D698" s="4" t="inlineStr">
        <is>
          <t>POT-CONC-16 (SINTETICO)</t>
        </is>
      </c>
      <c r="E698" s="4" t="inlineStr">
        <is>
          <t>PERFURACAO E COMPLETACAO</t>
        </is>
      </c>
      <c r="F698" s="4" t="inlineStr">
        <is>
          <t>INFERIOR</t>
        </is>
      </c>
      <c r="G698" s="4" t="n">
        <v>1</v>
      </c>
      <c r="H698" s="5" t="n">
        <v>5564439906.838175</v>
      </c>
      <c r="I698" s="5" t="n">
        <v>5564665454.179925</v>
      </c>
      <c r="J698" s="5" t="n">
        <v>231506.16</v>
      </c>
      <c r="K698" s="4" t="inlineStr">
        <is>
          <t>S</t>
        </is>
      </c>
      <c r="L698" s="4" t="inlineStr">
        <is>
          <t>2025-11-29</t>
        </is>
      </c>
      <c r="M698" s="5" t="n">
        <v>231506.16</v>
      </c>
      <c r="N698" s="5">
        <f>J698-M698</f>
        <v/>
      </c>
      <c r="O698" s="6">
        <f>IF(F698="INFERIOR",N698/J698,"")</f>
        <v/>
      </c>
      <c r="P698" s="5">
        <f>IF(F698="INFERIOR",O698*MUS_parametros!$B$18,N698)</f>
        <v/>
      </c>
      <c r="Q698" s="4" t="inlineStr">
        <is>
          <t>Documento confere com o registro</t>
        </is>
      </c>
    </row>
    <row r="699">
      <c r="A699" s="4" t="inlineStr">
        <is>
          <t>IMB-0479405</t>
        </is>
      </c>
      <c r="B699" s="4" t="inlineStr">
        <is>
          <t>DIREITO_PRODUCAO_OLEO_GAS</t>
        </is>
      </c>
      <c r="C699" s="4" t="inlineStr">
        <is>
          <t>1.2.03.03.004</t>
        </is>
      </c>
      <c r="D699" s="4" t="inlineStr">
        <is>
          <t>FAZENDA CURRAL</t>
        </is>
      </c>
      <c r="E699" s="4" t="inlineStr">
        <is>
          <t>CUSTO DE AQUISICAO DA CONCESSAO</t>
        </is>
      </c>
      <c r="F699" s="4" t="inlineStr">
        <is>
          <t>SUPERIOR (VC &gt;= I)</t>
        </is>
      </c>
      <c r="G699" s="4" t="n">
        <v>5</v>
      </c>
      <c r="H699" s="5" t="n">
        <v>5570172906.838175</v>
      </c>
      <c r="I699" s="5" t="n">
        <v>5596750462.759934</v>
      </c>
      <c r="J699" s="5" t="n">
        <v>27990309.04</v>
      </c>
      <c r="K699" s="4" t="inlineStr">
        <is>
          <t>S</t>
        </is>
      </c>
      <c r="L699" s="4" t="inlineStr">
        <is>
          <t>2019-12-09</t>
        </is>
      </c>
      <c r="M699" s="5" t="n">
        <v>27990309.04</v>
      </c>
      <c r="N699" s="5">
        <f>J699-M699</f>
        <v/>
      </c>
      <c r="O699" s="6">
        <f>IF(F699="INFERIOR",N699/J699,"")</f>
        <v/>
      </c>
      <c r="P699" s="5">
        <f>IF(F699="INFERIOR",O699*MUS_parametros!$B$18,N699)</f>
        <v/>
      </c>
      <c r="Q699" s="4" t="inlineStr">
        <is>
          <t>Documento confere com o registro</t>
        </is>
      </c>
    </row>
    <row r="700">
      <c r="A700" s="4" t="inlineStr">
        <is>
          <t>IMB-0479764</t>
        </is>
      </c>
      <c r="B700" s="4" t="inlineStr">
        <is>
          <t>DESENVOLVIMENTO_CAMPOS</t>
        </is>
      </c>
      <c r="C700" s="4" t="inlineStr">
        <is>
          <t>1.2.03.04.002</t>
        </is>
      </c>
      <c r="D700" s="4" t="inlineStr">
        <is>
          <t>TIE</t>
        </is>
      </c>
      <c r="E700" s="4" t="inlineStr">
        <is>
          <t>WORKOVER / RECOMPLETACAO CAPITALIZADO</t>
        </is>
      </c>
      <c r="F700" s="4" t="inlineStr">
        <is>
          <t>INFERIOR</t>
        </is>
      </c>
      <c r="G700" s="4" t="n">
        <v>1</v>
      </c>
      <c r="H700" s="5" t="n">
        <v>5598837906.838175</v>
      </c>
      <c r="I700" s="5" t="n">
        <v>5598860015.979942</v>
      </c>
      <c r="J700" s="5" t="n">
        <v>110920.04</v>
      </c>
      <c r="K700" s="4" t="inlineStr">
        <is>
          <t>S</t>
        </is>
      </c>
      <c r="L700" s="4" t="inlineStr">
        <is>
          <t>2025-07-19</t>
        </is>
      </c>
      <c r="M700" s="5" t="n">
        <v>110920.04</v>
      </c>
      <c r="N700" s="5">
        <f>J700-M700</f>
        <v/>
      </c>
      <c r="O700" s="6">
        <f>IF(F700="INFERIOR",N700/J700,"")</f>
        <v/>
      </c>
      <c r="P700" s="5">
        <f>IF(F700="INFERIOR",O700*MUS_parametros!$B$18,N700)</f>
        <v/>
      </c>
      <c r="Q700" s="4" t="inlineStr">
        <is>
          <t>Documento confere com o registro</t>
        </is>
      </c>
    </row>
    <row r="701">
      <c r="A701" s="4" t="inlineStr">
        <is>
          <t>IMB-0480830</t>
        </is>
      </c>
      <c r="B701" s="4" t="inlineStr">
        <is>
          <t>DESENVOLVIMENTO_CAMPOS</t>
        </is>
      </c>
      <c r="C701" s="4" t="inlineStr">
        <is>
          <t>1.2.03.04.001</t>
        </is>
      </c>
      <c r="D701" s="4" t="inlineStr">
        <is>
          <t>BIRIBA</t>
        </is>
      </c>
      <c r="E701" s="4" t="inlineStr">
        <is>
          <t>PERFURACAO E COMPLETACAO</t>
        </is>
      </c>
      <c r="F701" s="4" t="inlineStr">
        <is>
          <t>INFERIOR</t>
        </is>
      </c>
      <c r="G701" s="4" t="n">
        <v>1</v>
      </c>
      <c r="H701" s="5" t="n">
        <v>5604570906.838175</v>
      </c>
      <c r="I701" s="5" t="n">
        <v>5604595116.739927</v>
      </c>
      <c r="J701" s="5" t="n">
        <v>32121.15</v>
      </c>
      <c r="K701" s="4" t="inlineStr">
        <is>
          <t>S</t>
        </is>
      </c>
      <c r="L701" s="4" t="inlineStr">
        <is>
          <t>2025-12-16</t>
        </is>
      </c>
      <c r="M701" s="5" t="n">
        <v>32121.15</v>
      </c>
      <c r="N701" s="5">
        <f>J701-M701</f>
        <v/>
      </c>
      <c r="O701" s="6">
        <f>IF(F701="INFERIOR",N701/J701,"")</f>
        <v/>
      </c>
      <c r="P701" s="5">
        <f>IF(F701="INFERIOR",O701*MUS_parametros!$B$18,N701)</f>
        <v/>
      </c>
      <c r="Q701" s="4" t="inlineStr">
        <is>
          <t>Documento confere com o registro</t>
        </is>
      </c>
    </row>
    <row r="702">
      <c r="A702" s="4" t="inlineStr">
        <is>
          <t>IMB-0480884</t>
        </is>
      </c>
      <c r="B702" s="4" t="inlineStr">
        <is>
          <t>DIREITO_PRODUCAO_OLEO_GAS</t>
        </is>
      </c>
      <c r="C702" s="4" t="inlineStr">
        <is>
          <t>1.2.03.03.001</t>
        </is>
      </c>
      <c r="D702" s="4" t="inlineStr">
        <is>
          <t>CASSARONGONGO</t>
        </is>
      </c>
      <c r="E702" s="4" t="inlineStr">
        <is>
          <t>CUSTO DE AQUISICAO DA CONCESSAO</t>
        </is>
      </c>
      <c r="F702" s="4" t="inlineStr">
        <is>
          <t>SUPERIOR (VC &gt;= I)</t>
        </is>
      </c>
      <c r="G702" s="4" t="n">
        <v>1</v>
      </c>
      <c r="H702" s="5" t="n">
        <v>5610303906.838175</v>
      </c>
      <c r="I702" s="5" t="n">
        <v>5612299463.29993</v>
      </c>
      <c r="J702" s="5" t="n">
        <v>7477884.74</v>
      </c>
      <c r="K702" s="4" t="inlineStr">
        <is>
          <t>S</t>
        </is>
      </c>
      <c r="L702" s="4" t="inlineStr">
        <is>
          <t>2021-12-23</t>
        </is>
      </c>
      <c r="M702" s="5" t="n">
        <v>7477884.74</v>
      </c>
      <c r="N702" s="5">
        <f>J702-M702</f>
        <v/>
      </c>
      <c r="O702" s="6">
        <f>IF(F702="INFERIOR",N702/J702,"")</f>
        <v/>
      </c>
      <c r="P702" s="5">
        <f>IF(F702="INFERIOR",O702*MUS_parametros!$B$18,N702)</f>
        <v/>
      </c>
      <c r="Q702" s="4" t="inlineStr">
        <is>
          <t>Documento confere com o registro</t>
        </is>
      </c>
    </row>
    <row r="703">
      <c r="A703" s="4" t="inlineStr">
        <is>
          <t>IMB-0481262</t>
        </is>
      </c>
      <c r="B703" s="4" t="inlineStr">
        <is>
          <t>DESENVOLVIMENTO_CAMPOS</t>
        </is>
      </c>
      <c r="C703" s="4" t="inlineStr">
        <is>
          <t>1.2.03.04.001</t>
        </is>
      </c>
      <c r="D703" s="4" t="inlineStr">
        <is>
          <t>TIE</t>
        </is>
      </c>
      <c r="E703" s="4" t="inlineStr">
        <is>
          <t>PERFURACAO E COMPLETACAO</t>
        </is>
      </c>
      <c r="F703" s="4" t="inlineStr">
        <is>
          <t>INFERIOR</t>
        </is>
      </c>
      <c r="G703" s="4" t="n">
        <v>1</v>
      </c>
      <c r="H703" s="5" t="n">
        <v>5616036906.838175</v>
      </c>
      <c r="I703" s="5" t="n">
        <v>5617877281.089936</v>
      </c>
      <c r="J703" s="5" t="n">
        <v>3098616.94</v>
      </c>
      <c r="K703" s="4" t="inlineStr">
        <is>
          <t>S</t>
        </is>
      </c>
      <c r="L703" s="4" t="inlineStr">
        <is>
          <t>2025-01-06</t>
        </is>
      </c>
      <c r="M703" s="5" t="n">
        <v>3098616.94</v>
      </c>
      <c r="N703" s="5">
        <f>J703-M703</f>
        <v/>
      </c>
      <c r="O703" s="6">
        <f>IF(F703="INFERIOR",N703/J703,"")</f>
        <v/>
      </c>
      <c r="P703" s="5">
        <f>IF(F703="INFERIOR",O703*MUS_parametros!$B$18,N703)</f>
        <v/>
      </c>
      <c r="Q703" s="4" t="inlineStr">
        <is>
          <t>Documento confere com o registro</t>
        </is>
      </c>
    </row>
    <row r="704">
      <c r="A704" s="4" t="inlineStr">
        <is>
          <t>IMB-0481902</t>
        </is>
      </c>
      <c r="B704" s="4" t="inlineStr">
        <is>
          <t>DESENVOLVIMENTO_CAMPOS</t>
        </is>
      </c>
      <c r="C704" s="4" t="inlineStr">
        <is>
          <t>1.2.03.04.002</t>
        </is>
      </c>
      <c r="D704" s="4" t="inlineStr">
        <is>
          <t>POT-CONC-19 (SINTETICO)</t>
        </is>
      </c>
      <c r="E704" s="4" t="inlineStr">
        <is>
          <t>WORKOVER / RECOMPLETACAO CAPITALIZADO</t>
        </is>
      </c>
      <c r="F704" s="4" t="inlineStr">
        <is>
          <t>INFERIOR</t>
        </is>
      </c>
      <c r="G704" s="4" t="n">
        <v>1</v>
      </c>
      <c r="H704" s="5" t="n">
        <v>5621769906.838175</v>
      </c>
      <c r="I704" s="5" t="n">
        <v>5621770686.519938</v>
      </c>
      <c r="J704" s="5" t="n">
        <v>863.65</v>
      </c>
      <c r="K704" s="4" t="inlineStr">
        <is>
          <t>S</t>
        </is>
      </c>
      <c r="L704" s="4" t="inlineStr">
        <is>
          <t>2022-10-12</t>
        </is>
      </c>
      <c r="M704" s="5" t="n">
        <v>863.65</v>
      </c>
      <c r="N704" s="5">
        <f>J704-M704</f>
        <v/>
      </c>
      <c r="O704" s="6">
        <f>IF(F704="INFERIOR",N704/J704,"")</f>
        <v/>
      </c>
      <c r="P704" s="5">
        <f>IF(F704="INFERIOR",O704*MUS_parametros!$B$18,N704)</f>
        <v/>
      </c>
      <c r="Q704" s="4" t="inlineStr">
        <is>
          <t>Documento confere com o registro</t>
        </is>
      </c>
    </row>
    <row r="705">
      <c r="A705" s="4" t="inlineStr">
        <is>
          <t>IMB-0482804</t>
        </is>
      </c>
      <c r="B705" s="4" t="inlineStr">
        <is>
          <t>DESENVOLVIMENTO_CAMPOS</t>
        </is>
      </c>
      <c r="C705" s="4" t="inlineStr">
        <is>
          <t>1.2.03.04.001</t>
        </is>
      </c>
      <c r="D705" s="4" t="inlineStr">
        <is>
          <t>NORTE FAZENDA CARUACU</t>
        </is>
      </c>
      <c r="E705" s="4" t="inlineStr">
        <is>
          <t>PERFURACAO E COMPLETACAO</t>
        </is>
      </c>
      <c r="F705" s="4" t="inlineStr">
        <is>
          <t>INFERIOR</t>
        </is>
      </c>
      <c r="G705" s="4" t="n">
        <v>1</v>
      </c>
      <c r="H705" s="5" t="n">
        <v>5627502906.838175</v>
      </c>
      <c r="I705" s="5" t="n">
        <v>5627853432.689948</v>
      </c>
      <c r="J705" s="5" t="n">
        <v>360317.64</v>
      </c>
      <c r="K705" s="4" t="inlineStr">
        <is>
          <t>S</t>
        </is>
      </c>
      <c r="L705" s="4" t="inlineStr">
        <is>
          <t>2025-06-27</t>
        </is>
      </c>
      <c r="M705" s="5" t="n">
        <v>360317.64</v>
      </c>
      <c r="N705" s="5">
        <f>J705-M705</f>
        <v/>
      </c>
      <c r="O705" s="6">
        <f>IF(F705="INFERIOR",N705/J705,"")</f>
        <v/>
      </c>
      <c r="P705" s="5">
        <f>IF(F705="INFERIOR",O705*MUS_parametros!$B$18,N705)</f>
        <v/>
      </c>
      <c r="Q705" s="4" t="inlineStr">
        <is>
          <t>Documento confere com o registro</t>
        </is>
      </c>
    </row>
    <row r="706">
      <c r="A706" s="4" t="inlineStr">
        <is>
          <t>IMB-0483412</t>
        </is>
      </c>
      <c r="B706" s="4" t="inlineStr">
        <is>
          <t>DESENVOLVIMENTO_CAMPOS</t>
        </is>
      </c>
      <c r="C706" s="4" t="inlineStr">
        <is>
          <t>1.2.03.04.001</t>
        </is>
      </c>
      <c r="D706" s="4" t="inlineStr">
        <is>
          <t>TARTARUGA</t>
        </is>
      </c>
      <c r="E706" s="4" t="inlineStr">
        <is>
          <t>PERFURACAO E COMPLETACAO</t>
        </is>
      </c>
      <c r="F706" s="4" t="inlineStr">
        <is>
          <t>INFERIOR</t>
        </is>
      </c>
      <c r="G706" s="4" t="n">
        <v>1</v>
      </c>
      <c r="H706" s="5" t="n">
        <v>5633235906.838175</v>
      </c>
      <c r="I706" s="5" t="n">
        <v>5636997400.439957</v>
      </c>
      <c r="J706" s="5" t="n">
        <v>5146797.25</v>
      </c>
      <c r="K706" s="4" t="inlineStr">
        <is>
          <t>S</t>
        </is>
      </c>
      <c r="L706" s="4" t="inlineStr">
        <is>
          <t>2025-12-02</t>
        </is>
      </c>
      <c r="M706" s="5" t="n">
        <v>5146797.25</v>
      </c>
      <c r="N706" s="5">
        <f>J706-M706</f>
        <v/>
      </c>
      <c r="O706" s="6">
        <f>IF(F706="INFERIOR",N706/J706,"")</f>
        <v/>
      </c>
      <c r="P706" s="5">
        <f>IF(F706="INFERIOR",O706*MUS_parametros!$B$18,N706)</f>
        <v/>
      </c>
      <c r="Q706" s="4" t="inlineStr">
        <is>
          <t>Documento confere com o registro</t>
        </is>
      </c>
    </row>
    <row r="707">
      <c r="A707" s="4" t="inlineStr">
        <is>
          <t>IMB-0483666</t>
        </is>
      </c>
      <c r="B707" s="4" t="inlineStr">
        <is>
          <t>ALMOXARIFADO_INVERSOES_FIXAS</t>
        </is>
      </c>
      <c r="C707" s="4" t="inlineStr">
        <is>
          <t>1.2.03.07.002</t>
        </is>
      </c>
      <c r="D707" s="4" t="inlineStr">
        <is>
          <t>LAGOA DO PAULO SUL</t>
        </is>
      </c>
      <c r="E707" s="4" t="inlineStr">
        <is>
          <t>HASTE DE BOMBEIO (LOTE)</t>
        </is>
      </c>
      <c r="F707" s="4" t="inlineStr">
        <is>
          <t>INFERIOR</t>
        </is>
      </c>
      <c r="G707" s="4" t="n">
        <v>1</v>
      </c>
      <c r="H707" s="5" t="n">
        <v>5638968906.838175</v>
      </c>
      <c r="I707" s="5" t="n">
        <v>5638969361.279955</v>
      </c>
      <c r="J707" s="5" t="n">
        <v>1854.06</v>
      </c>
      <c r="K707" s="4" t="inlineStr">
        <is>
          <t>S</t>
        </is>
      </c>
      <c r="L707" s="4" t="inlineStr">
        <is>
          <t>2023-02-26</t>
        </is>
      </c>
      <c r="M707" s="5" t="n">
        <v>1854.06</v>
      </c>
      <c r="N707" s="5">
        <f>J707-M707</f>
        <v/>
      </c>
      <c r="O707" s="6">
        <f>IF(F707="INFERIOR",N707/J707,"")</f>
        <v/>
      </c>
      <c r="P707" s="5">
        <f>IF(F707="INFERIOR",O707*MUS_parametros!$B$18,N707)</f>
        <v/>
      </c>
      <c r="Q707" s="4" t="inlineStr">
        <is>
          <t>Documento confere com o registro</t>
        </is>
      </c>
    </row>
    <row r="708">
      <c r="A708" s="4" t="inlineStr">
        <is>
          <t>IMB-0484506</t>
        </is>
      </c>
      <c r="B708" s="4" t="inlineStr">
        <is>
          <t>DESENVOLVIMENTO_CAMPOS</t>
        </is>
      </c>
      <c r="C708" s="4" t="inlineStr">
        <is>
          <t>1.2.03.04.001</t>
        </is>
      </c>
      <c r="D708" s="4" t="inlineStr">
        <is>
          <t>POT-CONC-03 (SINTETICO)</t>
        </is>
      </c>
      <c r="E708" s="4" t="inlineStr">
        <is>
          <t>PERFURACAO E COMPLETACAO</t>
        </is>
      </c>
      <c r="F708" s="4" t="inlineStr">
        <is>
          <t>INFERIOR</t>
        </is>
      </c>
      <c r="G708" s="4" t="n">
        <v>1</v>
      </c>
      <c r="H708" s="5" t="n">
        <v>5644701906.838175</v>
      </c>
      <c r="I708" s="5" t="n">
        <v>5644930444.809957</v>
      </c>
      <c r="J708" s="5" t="n">
        <v>229076.79</v>
      </c>
      <c r="K708" s="4" t="inlineStr">
        <is>
          <t>S</t>
        </is>
      </c>
      <c r="L708" s="4" t="inlineStr">
        <is>
          <t>2025-06-20</t>
        </is>
      </c>
      <c r="M708" s="5" t="n">
        <v>229076.79</v>
      </c>
      <c r="N708" s="5">
        <f>J708-M708</f>
        <v/>
      </c>
      <c r="O708" s="6">
        <f>IF(F708="INFERIOR",N708/J708,"")</f>
        <v/>
      </c>
      <c r="P708" s="5">
        <f>IF(F708="INFERIOR",O708*MUS_parametros!$B$18,N708)</f>
        <v/>
      </c>
      <c r="Q708" s="4" t="inlineStr">
        <is>
          <t>Documento confere com o registro</t>
        </is>
      </c>
    </row>
    <row r="709">
      <c r="A709" s="4" t="inlineStr">
        <is>
          <t>IMB-0485075</t>
        </is>
      </c>
      <c r="B709" s="4" t="inlineStr">
        <is>
          <t>DESENVOLVIMENTO_CAMPOS</t>
        </is>
      </c>
      <c r="C709" s="4" t="inlineStr">
        <is>
          <t>1.2.03.04.001</t>
        </is>
      </c>
      <c r="D709" s="4" t="inlineStr">
        <is>
          <t>POT-CONC-19 (SINTETICO)</t>
        </is>
      </c>
      <c r="E709" s="4" t="inlineStr">
        <is>
          <t>PERFURACAO E COMPLETACAO</t>
        </is>
      </c>
      <c r="F709" s="4" t="inlineStr">
        <is>
          <t>INFERIOR</t>
        </is>
      </c>
      <c r="G709" s="4" t="n">
        <v>1</v>
      </c>
      <c r="H709" s="5" t="n">
        <v>5650434906.838175</v>
      </c>
      <c r="I709" s="5" t="n">
        <v>5650738066.259953</v>
      </c>
      <c r="J709" s="5" t="n">
        <v>1968855.98</v>
      </c>
      <c r="K709" s="4" t="inlineStr">
        <is>
          <t>S</t>
        </is>
      </c>
      <c r="L709" s="4" t="inlineStr">
        <is>
          <t>2024-11-04</t>
        </is>
      </c>
      <c r="M709" s="5" t="n">
        <v>1968855.98</v>
      </c>
      <c r="N709" s="5">
        <f>J709-M709</f>
        <v/>
      </c>
      <c r="O709" s="6">
        <f>IF(F709="INFERIOR",N709/J709,"")</f>
        <v/>
      </c>
      <c r="P709" s="5">
        <f>IF(F709="INFERIOR",O709*MUS_parametros!$B$18,N709)</f>
        <v/>
      </c>
      <c r="Q709" s="4" t="inlineStr">
        <is>
          <t>Documento confere com o registro</t>
        </is>
      </c>
    </row>
    <row r="710">
      <c r="A710" s="4" t="inlineStr">
        <is>
          <t>IMB-0485705</t>
        </is>
      </c>
      <c r="B710" s="4" t="inlineStr">
        <is>
          <t>DESENVOLVIMENTO_CAMPOS</t>
        </is>
      </c>
      <c r="C710" s="4" t="inlineStr">
        <is>
          <t>1.2.03.04.001</t>
        </is>
      </c>
      <c r="D710" s="4" t="inlineStr">
        <is>
          <t>MATA DE SAO JOAO</t>
        </is>
      </c>
      <c r="E710" s="4" t="inlineStr">
        <is>
          <t>PERFURACAO E COMPLETACAO</t>
        </is>
      </c>
      <c r="F710" s="4" t="inlineStr">
        <is>
          <t>INFERIOR</t>
        </is>
      </c>
      <c r="G710" s="4" t="n">
        <v>1</v>
      </c>
      <c r="H710" s="5" t="n">
        <v>5656167906.838175</v>
      </c>
      <c r="I710" s="5" t="n">
        <v>5656260306.789946</v>
      </c>
      <c r="J710" s="5" t="n">
        <v>806582.3100000001</v>
      </c>
      <c r="K710" s="4" t="inlineStr">
        <is>
          <t>S</t>
        </is>
      </c>
      <c r="L710" s="4" t="inlineStr">
        <is>
          <t>2025-06-03</t>
        </is>
      </c>
      <c r="M710" s="5" t="n">
        <v>806582.3100000001</v>
      </c>
      <c r="N710" s="5">
        <f>J710-M710</f>
        <v/>
      </c>
      <c r="O710" s="6">
        <f>IF(F710="INFERIOR",N710/J710,"")</f>
        <v/>
      </c>
      <c r="P710" s="5">
        <f>IF(F710="INFERIOR",O710*MUS_parametros!$B$18,N710)</f>
        <v/>
      </c>
      <c r="Q710" s="4" t="inlineStr">
        <is>
          <t>Documento confere com o registro</t>
        </is>
      </c>
    </row>
    <row r="711">
      <c r="A711" s="4" t="inlineStr">
        <is>
          <t>IMB-0486640</t>
        </is>
      </c>
      <c r="B711" s="4" t="inlineStr">
        <is>
          <t>DESENVOLVIMENTO_CAMPOS</t>
        </is>
      </c>
      <c r="C711" s="4" t="inlineStr">
        <is>
          <t>1.2.03.04.001</t>
        </is>
      </c>
      <c r="D711" s="4" t="inlineStr">
        <is>
          <t>ACAUA</t>
        </is>
      </c>
      <c r="E711" s="4" t="inlineStr">
        <is>
          <t>PERFURACAO E COMPLETACAO</t>
        </is>
      </c>
      <c r="F711" s="4" t="inlineStr">
        <is>
          <t>INFERIOR</t>
        </is>
      </c>
      <c r="G711" s="4" t="n">
        <v>1</v>
      </c>
      <c r="H711" s="5" t="n">
        <v>5661900906.838175</v>
      </c>
      <c r="I711" s="5" t="n">
        <v>5661947747.359951</v>
      </c>
      <c r="J711" s="5" t="n">
        <v>89954.85000000001</v>
      </c>
      <c r="K711" s="4" t="inlineStr">
        <is>
          <t>S</t>
        </is>
      </c>
      <c r="L711" s="4" t="inlineStr">
        <is>
          <t>2025-12-18</t>
        </is>
      </c>
      <c r="M711" s="5" t="n">
        <v>89954.85000000001</v>
      </c>
      <c r="N711" s="5">
        <f>J711-M711</f>
        <v/>
      </c>
      <c r="O711" s="6">
        <f>IF(F711="INFERIOR",N711/J711,"")</f>
        <v/>
      </c>
      <c r="P711" s="5">
        <f>IF(F711="INFERIOR",O711*MUS_parametros!$B$18,N711)</f>
        <v/>
      </c>
      <c r="Q711" s="4" t="inlineStr">
        <is>
          <t>Documento confere com o registro</t>
        </is>
      </c>
    </row>
    <row r="712">
      <c r="A712" s="4" t="inlineStr">
        <is>
          <t>IMB-0487433</t>
        </is>
      </c>
      <c r="B712" s="4" t="inlineStr">
        <is>
          <t>DESENVOLVIMENTO_CAMPOS</t>
        </is>
      </c>
      <c r="C712" s="4" t="inlineStr">
        <is>
          <t>1.2.03.04.001</t>
        </is>
      </c>
      <c r="D712" s="4" t="inlineStr">
        <is>
          <t>SUSSUARANA</t>
        </is>
      </c>
      <c r="E712" s="4" t="inlineStr">
        <is>
          <t>PERFURACAO E COMPLETACAO</t>
        </is>
      </c>
      <c r="F712" s="4" t="inlineStr">
        <is>
          <t>INFERIOR</t>
        </is>
      </c>
      <c r="G712" s="4" t="n">
        <v>1</v>
      </c>
      <c r="H712" s="5" t="n">
        <v>5667633906.838175</v>
      </c>
      <c r="I712" s="5" t="n">
        <v>5667696153.059946</v>
      </c>
      <c r="J712" s="5" t="n">
        <v>78137.95</v>
      </c>
      <c r="K712" s="4" t="inlineStr">
        <is>
          <t>S</t>
        </is>
      </c>
      <c r="L712" s="4" t="inlineStr">
        <is>
          <t>2024-12-26</t>
        </is>
      </c>
      <c r="M712" s="5" t="n">
        <v>78137.95</v>
      </c>
      <c r="N712" s="5">
        <f>J712-M712</f>
        <v/>
      </c>
      <c r="O712" s="6">
        <f>IF(F712="INFERIOR",N712/J712,"")</f>
        <v/>
      </c>
      <c r="P712" s="5">
        <f>IF(F712="INFERIOR",O712*MUS_parametros!$B$18,N712)</f>
        <v/>
      </c>
      <c r="Q712" s="4" t="inlineStr">
        <is>
          <t>Documento confere com o registro</t>
        </is>
      </c>
    </row>
    <row r="713">
      <c r="A713" s="4" t="inlineStr">
        <is>
          <t>IMB-0487474</t>
        </is>
      </c>
      <c r="B713" s="4" t="inlineStr">
        <is>
          <t>DIREITO_PRODUCAO_OLEO_GAS</t>
        </is>
      </c>
      <c r="C713" s="4" t="inlineStr">
        <is>
          <t>1.2.03.03.003</t>
        </is>
      </c>
      <c r="D713" s="4" t="inlineStr">
        <is>
          <t>JACUIPE</t>
        </is>
      </c>
      <c r="E713" s="4" t="inlineStr">
        <is>
          <t>AJUSTE DE PRECO DE AQUISICAO</t>
        </is>
      </c>
      <c r="F713" s="4" t="inlineStr">
        <is>
          <t>SUPERIOR (VC &gt;= I)</t>
        </is>
      </c>
      <c r="G713" s="4" t="n">
        <v>2</v>
      </c>
      <c r="H713" s="5" t="n">
        <v>5673366906.838175</v>
      </c>
      <c r="I713" s="5" t="n">
        <v>5683530265.039948</v>
      </c>
      <c r="J713" s="5" t="n">
        <v>15673375.48</v>
      </c>
      <c r="K713" s="4" t="inlineStr">
        <is>
          <t>S</t>
        </is>
      </c>
      <c r="L713" s="4" t="inlineStr">
        <is>
          <t>2022-07-13</t>
        </is>
      </c>
      <c r="M713" s="5" t="n">
        <v>15673375.48</v>
      </c>
      <c r="N713" s="5">
        <f>J713-M713</f>
        <v/>
      </c>
      <c r="O713" s="6">
        <f>IF(F713="INFERIOR",N713/J713,"")</f>
        <v/>
      </c>
      <c r="P713" s="5">
        <f>IF(F713="INFERIOR",O713*MUS_parametros!$B$18,N713)</f>
        <v/>
      </c>
      <c r="Q713" s="4" t="inlineStr">
        <is>
          <t>Documento confere com o registro</t>
        </is>
      </c>
    </row>
    <row r="714">
      <c r="A714" s="4" t="inlineStr">
        <is>
          <t>IMB-0487718</t>
        </is>
      </c>
      <c r="B714" s="4" t="inlineStr">
        <is>
          <t>DESENVOLVIMENTO_CAMPOS</t>
        </is>
      </c>
      <c r="C714" s="4" t="inlineStr">
        <is>
          <t>1.2.03.04.001</t>
        </is>
      </c>
      <c r="D714" s="4" t="inlineStr">
        <is>
          <t>CASSARONGONGO</t>
        </is>
      </c>
      <c r="E714" s="4" t="inlineStr">
        <is>
          <t>PERFURACAO E COMPLETACAO</t>
        </is>
      </c>
      <c r="F714" s="4" t="inlineStr">
        <is>
          <t>INFERIOR</t>
        </is>
      </c>
      <c r="G714" s="4" t="n">
        <v>1</v>
      </c>
      <c r="H714" s="5" t="n">
        <v>5684832906.838175</v>
      </c>
      <c r="I714" s="5" t="n">
        <v>5684843422.809945</v>
      </c>
      <c r="J714" s="5" t="n">
        <v>42502.81</v>
      </c>
      <c r="K714" s="4" t="inlineStr">
        <is>
          <t>S</t>
        </is>
      </c>
      <c r="L714" s="4" t="inlineStr">
        <is>
          <t>2022-11-22</t>
        </is>
      </c>
      <c r="M714" s="5" t="n">
        <v>42502.81</v>
      </c>
      <c r="N714" s="5">
        <f>J714-M714</f>
        <v/>
      </c>
      <c r="O714" s="6">
        <f>IF(F714="INFERIOR",N714/J714,"")</f>
        <v/>
      </c>
      <c r="P714" s="5">
        <f>IF(F714="INFERIOR",O714*MUS_parametros!$B$18,N714)</f>
        <v/>
      </c>
      <c r="Q714" s="4" t="inlineStr">
        <is>
          <t>Documento confere com o registro</t>
        </is>
      </c>
    </row>
    <row r="715">
      <c r="A715" s="4" t="inlineStr">
        <is>
          <t>IMB-0488521</t>
        </is>
      </c>
      <c r="B715" s="4" t="inlineStr">
        <is>
          <t>DESENVOLVIMENTO_CAMPOS</t>
        </is>
      </c>
      <c r="C715" s="4" t="inlineStr">
        <is>
          <t>1.2.03.04.001</t>
        </is>
      </c>
      <c r="D715" s="4" t="inlineStr">
        <is>
          <t>PAJEU</t>
        </is>
      </c>
      <c r="E715" s="4" t="inlineStr">
        <is>
          <t>PERFURACAO E COMPLETACAO</t>
        </is>
      </c>
      <c r="F715" s="4" t="inlineStr">
        <is>
          <t>INFERIOR</t>
        </is>
      </c>
      <c r="G715" s="4" t="n">
        <v>1</v>
      </c>
      <c r="H715" s="5" t="n">
        <v>5690565906.838175</v>
      </c>
      <c r="I715" s="5" t="n">
        <v>5690696179.729937</v>
      </c>
      <c r="J715" s="5" t="n">
        <v>188755.61</v>
      </c>
      <c r="K715" s="4" t="inlineStr">
        <is>
          <t>S</t>
        </is>
      </c>
      <c r="L715" s="4" t="inlineStr">
        <is>
          <t>2025-08-06</t>
        </is>
      </c>
      <c r="M715" s="5" t="n">
        <v>188755.61</v>
      </c>
      <c r="N715" s="5">
        <f>J715-M715</f>
        <v/>
      </c>
      <c r="O715" s="6">
        <f>IF(F715="INFERIOR",N715/J715,"")</f>
        <v/>
      </c>
      <c r="P715" s="5">
        <f>IF(F715="INFERIOR",O715*MUS_parametros!$B$18,N715)</f>
        <v/>
      </c>
      <c r="Q715" s="4" t="inlineStr">
        <is>
          <t>Documento confere com o registro</t>
        </is>
      </c>
    </row>
    <row r="716">
      <c r="A716" s="4" t="inlineStr">
        <is>
          <t>IMB-0489018</t>
        </is>
      </c>
      <c r="B716" s="4" t="inlineStr">
        <is>
          <t>MAQUINAS_EQUIPAMENTOS</t>
        </is>
      </c>
      <c r="C716" s="4" t="inlineStr">
        <is>
          <t>1.2.03.01.001</t>
        </is>
      </c>
      <c r="D716" s="4" t="inlineStr">
        <is>
          <t>POT-CONC-04 (SINTETICO)</t>
        </is>
      </c>
      <c r="E716" s="4" t="inlineStr">
        <is>
          <t>COMPONENTE DE SONDA PROPRIA (PERFURACAO/PRODUCAO)</t>
        </is>
      </c>
      <c r="F716" s="4" t="inlineStr">
        <is>
          <t>INFERIOR</t>
        </is>
      </c>
      <c r="G716" s="4" t="n">
        <v>1</v>
      </c>
      <c r="H716" s="5" t="n">
        <v>5696298906.838175</v>
      </c>
      <c r="I716" s="5" t="n">
        <v>5696346473.879945</v>
      </c>
      <c r="J716" s="5" t="n">
        <v>177351.66</v>
      </c>
      <c r="K716" s="4" t="inlineStr">
        <is>
          <t>S</t>
        </is>
      </c>
      <c r="L716" s="4" t="inlineStr">
        <is>
          <t>2016-02-07</t>
        </is>
      </c>
      <c r="M716" s="5" t="n">
        <v>177351.66</v>
      </c>
      <c r="N716" s="5">
        <f>J716-M716</f>
        <v/>
      </c>
      <c r="O716" s="6">
        <f>IF(F716="INFERIOR",N716/J716,"")</f>
        <v/>
      </c>
      <c r="P716" s="5">
        <f>IF(F716="INFERIOR",O716*MUS_parametros!$B$18,N716)</f>
        <v/>
      </c>
      <c r="Q716" s="4" t="inlineStr">
        <is>
          <t>Documento confere com o registro</t>
        </is>
      </c>
    </row>
    <row r="717">
      <c r="A717" s="4" t="inlineStr">
        <is>
          <t>IMB-0489793</t>
        </is>
      </c>
      <c r="B717" s="4" t="inlineStr">
        <is>
          <t>OUTROS</t>
        </is>
      </c>
      <c r="C717" s="4" t="inlineStr">
        <is>
          <t>1.2.03.09.002</t>
        </is>
      </c>
      <c r="D717" s="4" t="inlineStr">
        <is>
          <t>JACUIPE</t>
        </is>
      </c>
      <c r="E717" s="4" t="inlineStr">
        <is>
          <t>EDIFICACAO / BENFEITORIA</t>
        </is>
      </c>
      <c r="F717" s="4" t="inlineStr">
        <is>
          <t>INFERIOR</t>
        </is>
      </c>
      <c r="G717" s="4" t="n">
        <v>1</v>
      </c>
      <c r="H717" s="5" t="n">
        <v>5702031906.838175</v>
      </c>
      <c r="I717" s="5" t="n">
        <v>5702041129.419944</v>
      </c>
      <c r="J717" s="5" t="n">
        <v>10429.73</v>
      </c>
      <c r="K717" s="4" t="inlineStr">
        <is>
          <t>S</t>
        </is>
      </c>
      <c r="L717" s="4" t="inlineStr">
        <is>
          <t>2022-04-13</t>
        </is>
      </c>
      <c r="M717" s="5" t="n">
        <v>10429.73</v>
      </c>
      <c r="N717" s="5">
        <f>J717-M717</f>
        <v/>
      </c>
      <c r="O717" s="6">
        <f>IF(F717="INFERIOR",N717/J717,"")</f>
        <v/>
      </c>
      <c r="P717" s="5">
        <f>IF(F717="INFERIOR",O717*MUS_parametros!$B$18,N717)</f>
        <v/>
      </c>
      <c r="Q717" s="4" t="inlineStr">
        <is>
          <t>Documento confere com o registro</t>
        </is>
      </c>
    </row>
    <row r="718">
      <c r="A718" s="4" t="inlineStr">
        <is>
          <t>IMB-0490798</t>
        </is>
      </c>
      <c r="B718" s="4" t="inlineStr">
        <is>
          <t>DESENVOLVIMENTO_CAMPOS</t>
        </is>
      </c>
      <c r="C718" s="4" t="inlineStr">
        <is>
          <t>1.2.03.04.001</t>
        </is>
      </c>
      <c r="D718" s="4" t="inlineStr">
        <is>
          <t>JACUIPE</t>
        </is>
      </c>
      <c r="E718" s="4" t="inlineStr">
        <is>
          <t>PERFURACAO E COMPLETACAO</t>
        </is>
      </c>
      <c r="F718" s="4" t="inlineStr">
        <is>
          <t>INFERIOR</t>
        </is>
      </c>
      <c r="G718" s="4" t="n">
        <v>1</v>
      </c>
      <c r="H718" s="5" t="n">
        <v>5707764906.838175</v>
      </c>
      <c r="I718" s="5" t="n">
        <v>5707900414.239926</v>
      </c>
      <c r="J718" s="5" t="n">
        <v>154064.52</v>
      </c>
      <c r="K718" s="4" t="inlineStr">
        <is>
          <t>S</t>
        </is>
      </c>
      <c r="L718" s="4" t="inlineStr">
        <is>
          <t>2025-12-29</t>
        </is>
      </c>
      <c r="M718" s="5" t="n">
        <v>154064.52</v>
      </c>
      <c r="N718" s="5">
        <f>J718-M718</f>
        <v/>
      </c>
      <c r="O718" s="6">
        <f>IF(F718="INFERIOR",N718/J718,"")</f>
        <v/>
      </c>
      <c r="P718" s="5">
        <f>IF(F718="INFERIOR",O718*MUS_parametros!$B$18,N718)</f>
        <v/>
      </c>
      <c r="Q718" s="4" t="inlineStr">
        <is>
          <t>Documento confere com o registro</t>
        </is>
      </c>
    </row>
    <row r="719">
      <c r="A719" s="4" t="inlineStr">
        <is>
          <t>IMB-0491642</t>
        </is>
      </c>
      <c r="B719" s="4" t="inlineStr">
        <is>
          <t>DESENVOLVIMENTO_CAMPOS</t>
        </is>
      </c>
      <c r="C719" s="4" t="inlineStr">
        <is>
          <t>1.2.03.04.001</t>
        </is>
      </c>
      <c r="D719" s="4" t="inlineStr">
        <is>
          <t>POT-CONC-01 (SINTETICO)</t>
        </is>
      </c>
      <c r="E719" s="4" t="inlineStr">
        <is>
          <t>PERFURACAO E COMPLETACAO</t>
        </is>
      </c>
      <c r="F719" s="4" t="inlineStr">
        <is>
          <t>INFERIOR</t>
        </is>
      </c>
      <c r="G719" s="4" t="n">
        <v>1</v>
      </c>
      <c r="H719" s="5" t="n">
        <v>5713497906.838175</v>
      </c>
      <c r="I719" s="5" t="n">
        <v>5713699496.809927</v>
      </c>
      <c r="J719" s="5" t="n">
        <v>348540.3</v>
      </c>
      <c r="K719" s="4" t="inlineStr">
        <is>
          <t>S</t>
        </is>
      </c>
      <c r="L719" s="4" t="inlineStr">
        <is>
          <t>2024-06-10</t>
        </is>
      </c>
      <c r="M719" s="5" t="n">
        <v>348540.3</v>
      </c>
      <c r="N719" s="5">
        <f>J719-M719</f>
        <v/>
      </c>
      <c r="O719" s="6">
        <f>IF(F719="INFERIOR",N719/J719,"")</f>
        <v/>
      </c>
      <c r="P719" s="5">
        <f>IF(F719="INFERIOR",O719*MUS_parametros!$B$18,N719)</f>
        <v/>
      </c>
      <c r="Q719" s="4" t="inlineStr">
        <is>
          <t>Documento confere com o registro</t>
        </is>
      </c>
    </row>
    <row r="720">
      <c r="A720" s="4" t="inlineStr">
        <is>
          <t>IMB-0492222</t>
        </is>
      </c>
      <c r="B720" s="4" t="inlineStr">
        <is>
          <t>ALMOXARIFADO_INVERSOES_FIXAS</t>
        </is>
      </c>
      <c r="C720" s="4" t="inlineStr">
        <is>
          <t>1.2.03.07.003</t>
        </is>
      </c>
      <c r="D720" s="4" t="inlineStr">
        <is>
          <t>FAZENDA ONCA</t>
        </is>
      </c>
      <c r="E720" s="4" t="inlineStr">
        <is>
          <t>VALVULA/EQUIPAMENTO DE SUPERFICIE</t>
        </is>
      </c>
      <c r="F720" s="4" t="inlineStr">
        <is>
          <t>INFERIOR</t>
        </is>
      </c>
      <c r="G720" s="4" t="n">
        <v>1</v>
      </c>
      <c r="H720" s="5" t="n">
        <v>5719230906.838175</v>
      </c>
      <c r="I720" s="5" t="n">
        <v>5719231458.989927</v>
      </c>
      <c r="J720" s="5" t="n">
        <v>1360.38</v>
      </c>
      <c r="K720" s="4" t="inlineStr">
        <is>
          <t>S</t>
        </is>
      </c>
      <c r="L720" s="4" t="inlineStr">
        <is>
          <t>2024-11-06</t>
        </is>
      </c>
      <c r="M720" s="5" t="n">
        <v>1360.38</v>
      </c>
      <c r="N720" s="5">
        <f>J720-M720</f>
        <v/>
      </c>
      <c r="O720" s="6">
        <f>IF(F720="INFERIOR",N720/J720,"")</f>
        <v/>
      </c>
      <c r="P720" s="5">
        <f>IF(F720="INFERIOR",O720*MUS_parametros!$B$18,N720)</f>
        <v/>
      </c>
      <c r="Q720" s="4" t="inlineStr">
        <is>
          <t>Documento confere com o registro</t>
        </is>
      </c>
    </row>
    <row r="721">
      <c r="A721" s="4" t="inlineStr">
        <is>
          <t>IMB-0493090</t>
        </is>
      </c>
      <c r="B721" s="4" t="inlineStr">
        <is>
          <t>DESENVOLVIMENTO_CAMPOS</t>
        </is>
      </c>
      <c r="C721" s="4" t="inlineStr">
        <is>
          <t>1.2.03.04.001</t>
        </is>
      </c>
      <c r="D721" s="4" t="inlineStr">
        <is>
          <t>PAJEU</t>
        </is>
      </c>
      <c r="E721" s="4" t="inlineStr">
        <is>
          <t>PERFURACAO E COMPLETACAO</t>
        </is>
      </c>
      <c r="F721" s="4" t="inlineStr">
        <is>
          <t>INFERIOR</t>
        </is>
      </c>
      <c r="G721" s="4" t="n">
        <v>1</v>
      </c>
      <c r="H721" s="5" t="n">
        <v>5724963906.838175</v>
      </c>
      <c r="I721" s="5" t="n">
        <v>5726047615.26993</v>
      </c>
      <c r="J721" s="5" t="n">
        <v>1166368.22</v>
      </c>
      <c r="K721" s="4" t="inlineStr">
        <is>
          <t>S</t>
        </is>
      </c>
      <c r="L721" s="4" t="inlineStr">
        <is>
          <t>2025-03-06</t>
        </is>
      </c>
      <c r="M721" s="5" t="n">
        <v>1166368.22</v>
      </c>
      <c r="N721" s="5">
        <f>J721-M721</f>
        <v/>
      </c>
      <c r="O721" s="6">
        <f>IF(F721="INFERIOR",N721/J721,"")</f>
        <v/>
      </c>
      <c r="P721" s="5">
        <f>IF(F721="INFERIOR",O721*MUS_parametros!$B$18,N721)</f>
        <v/>
      </c>
      <c r="Q721" s="4" t="inlineStr">
        <is>
          <t>Documento confere com o registro</t>
        </is>
      </c>
    </row>
    <row r="722">
      <c r="A722" s="4" t="inlineStr">
        <is>
          <t>IMB-0493687</t>
        </is>
      </c>
      <c r="B722" s="4" t="inlineStr">
        <is>
          <t>DESENVOLVIMENTO_CAMPOS</t>
        </is>
      </c>
      <c r="C722" s="4" t="inlineStr">
        <is>
          <t>1.2.03.04.001</t>
        </is>
      </c>
      <c r="D722" s="4" t="inlineStr">
        <is>
          <t>POT-CONC-08 (SINTETICO)</t>
        </is>
      </c>
      <c r="E722" s="4" t="inlineStr">
        <is>
          <t>PERFURACAO E COMPLETACAO</t>
        </is>
      </c>
      <c r="F722" s="4" t="inlineStr">
        <is>
          <t>INFERIOR</t>
        </is>
      </c>
      <c r="G722" s="4" t="n">
        <v>1</v>
      </c>
      <c r="H722" s="5" t="n">
        <v>5730696906.838175</v>
      </c>
      <c r="I722" s="5" t="n">
        <v>5730860717.929929</v>
      </c>
      <c r="J722" s="5" t="n">
        <v>365616.22</v>
      </c>
      <c r="K722" s="4" t="inlineStr">
        <is>
          <t>S</t>
        </is>
      </c>
      <c r="L722" s="4" t="inlineStr">
        <is>
          <t>2024-10-22</t>
        </is>
      </c>
      <c r="M722" s="5" t="n">
        <v>365616.22</v>
      </c>
      <c r="N722" s="5">
        <f>J722-M722</f>
        <v/>
      </c>
      <c r="O722" s="6">
        <f>IF(F722="INFERIOR",N722/J722,"")</f>
        <v/>
      </c>
      <c r="P722" s="5">
        <f>IF(F722="INFERIOR",O722*MUS_parametros!$B$18,N722)</f>
        <v/>
      </c>
      <c r="Q722" s="4" t="inlineStr">
        <is>
          <t>Documento confere com o registro</t>
        </is>
      </c>
    </row>
    <row r="723">
      <c r="A723" s="4" t="inlineStr">
        <is>
          <t>IMB-0494600</t>
        </is>
      </c>
      <c r="B723" s="4" t="inlineStr">
        <is>
          <t>DESENVOLVIMENTO_CAMPOS</t>
        </is>
      </c>
      <c r="C723" s="4" t="inlineStr">
        <is>
          <t>1.2.03.04.001</t>
        </is>
      </c>
      <c r="D723" s="4" t="inlineStr">
        <is>
          <t>BAIXA DO ALGODAO</t>
        </is>
      </c>
      <c r="E723" s="4" t="inlineStr">
        <is>
          <t>PERFURACAO E COMPLETACAO</t>
        </is>
      </c>
      <c r="F723" s="4" t="inlineStr">
        <is>
          <t>INFERIOR</t>
        </is>
      </c>
      <c r="G723" s="4" t="n">
        <v>1</v>
      </c>
      <c r="H723" s="5" t="n">
        <v>5736429906.838175</v>
      </c>
      <c r="I723" s="5" t="n">
        <v>5736479176.689916</v>
      </c>
      <c r="J723" s="5" t="n">
        <v>50232.18</v>
      </c>
      <c r="K723" s="4" t="inlineStr">
        <is>
          <t>S</t>
        </is>
      </c>
      <c r="L723" s="4" t="inlineStr">
        <is>
          <t>2025-04-23</t>
        </is>
      </c>
      <c r="M723" s="5" t="n">
        <v>50232.18</v>
      </c>
      <c r="N723" s="5">
        <f>J723-M723</f>
        <v/>
      </c>
      <c r="O723" s="6">
        <f>IF(F723="INFERIOR",N723/J723,"")</f>
        <v/>
      </c>
      <c r="P723" s="5">
        <f>IF(F723="INFERIOR",O723*MUS_parametros!$B$18,N723)</f>
        <v/>
      </c>
      <c r="Q723" s="4" t="inlineStr">
        <is>
          <t>Documento confere com o registro</t>
        </is>
      </c>
    </row>
    <row r="724">
      <c r="A724" s="4" t="inlineStr">
        <is>
          <t>IMB-0495395</t>
        </is>
      </c>
      <c r="B724" s="4" t="inlineStr">
        <is>
          <t>DESENVOLVIMENTO_CAMPOS</t>
        </is>
      </c>
      <c r="C724" s="4" t="inlineStr">
        <is>
          <t>1.2.03.04.001</t>
        </is>
      </c>
      <c r="D724" s="4" t="inlineStr">
        <is>
          <t>TARTARUGA</t>
        </is>
      </c>
      <c r="E724" s="4" t="inlineStr">
        <is>
          <t>PERFURACAO E COMPLETACAO</t>
        </is>
      </c>
      <c r="F724" s="4" t="inlineStr">
        <is>
          <t>INFERIOR</t>
        </is>
      </c>
      <c r="G724" s="4" t="n">
        <v>1</v>
      </c>
      <c r="H724" s="5" t="n">
        <v>5742162906.838175</v>
      </c>
      <c r="I724" s="5" t="n">
        <v>5742190087.089918</v>
      </c>
      <c r="J724" s="5" t="n">
        <v>434252.6</v>
      </c>
      <c r="K724" s="4" t="inlineStr">
        <is>
          <t>S</t>
        </is>
      </c>
      <c r="L724" s="4" t="inlineStr">
        <is>
          <t>2024-11-30</t>
        </is>
      </c>
      <c r="M724" s="5" t="n">
        <v>434252.6</v>
      </c>
      <c r="N724" s="5">
        <f>J724-M724</f>
        <v/>
      </c>
      <c r="O724" s="6">
        <f>IF(F724="INFERIOR",N724/J724,"")</f>
        <v/>
      </c>
      <c r="P724" s="5">
        <f>IF(F724="INFERIOR",O724*MUS_parametros!$B$18,N724)</f>
        <v/>
      </c>
      <c r="Q724" s="4" t="inlineStr">
        <is>
          <t>Documento confere com o registro</t>
        </is>
      </c>
    </row>
    <row r="725">
      <c r="A725" s="4" t="inlineStr">
        <is>
          <t>IMB-0496361</t>
        </is>
      </c>
      <c r="B725" s="4" t="inlineStr">
        <is>
          <t>ALMOXARIFADO_INVERSOES_FIXAS</t>
        </is>
      </c>
      <c r="C725" s="4" t="inlineStr">
        <is>
          <t>1.2.03.07.002</t>
        </is>
      </c>
      <c r="D725" s="4" t="inlineStr">
        <is>
          <t>TARTARUGA</t>
        </is>
      </c>
      <c r="E725" s="4" t="inlineStr">
        <is>
          <t>BOMBA DE FUNDO EM ESTOQUE</t>
        </is>
      </c>
      <c r="F725" s="4" t="inlineStr">
        <is>
          <t>INFERIOR</t>
        </is>
      </c>
      <c r="G725" s="4" t="n">
        <v>1</v>
      </c>
      <c r="H725" s="5" t="n">
        <v>5747895906.838175</v>
      </c>
      <c r="I725" s="5" t="n">
        <v>5747897244.339928</v>
      </c>
      <c r="J725" s="5" t="n">
        <v>7035.49</v>
      </c>
      <c r="K725" s="4" t="inlineStr">
        <is>
          <t>S</t>
        </is>
      </c>
      <c r="L725" s="4" t="inlineStr">
        <is>
          <t>2025-12-17</t>
        </is>
      </c>
      <c r="M725" s="5" t="n">
        <v>7035.49</v>
      </c>
      <c r="N725" s="5">
        <f>J725-M725</f>
        <v/>
      </c>
      <c r="O725" s="6">
        <f>IF(F725="INFERIOR",N725/J725,"")</f>
        <v/>
      </c>
      <c r="P725" s="5">
        <f>IF(F725="INFERIOR",O725*MUS_parametros!$B$18,N725)</f>
        <v/>
      </c>
      <c r="Q725" s="4" t="inlineStr">
        <is>
          <t>Documento confere com o registro</t>
        </is>
      </c>
    </row>
    <row r="726">
      <c r="A726" s="4" t="inlineStr">
        <is>
          <t>IMB-0496949</t>
        </is>
      </c>
      <c r="B726" s="4" t="inlineStr">
        <is>
          <t>ALMOXARIFADO_INVERSOES_FIXAS</t>
        </is>
      </c>
      <c r="C726" s="4" t="inlineStr">
        <is>
          <t>1.2.03.07.001</t>
        </is>
      </c>
      <c r="D726" s="4" t="inlineStr">
        <is>
          <t>MIRANGA NORTE</t>
        </is>
      </c>
      <c r="E726" s="4" t="inlineStr">
        <is>
          <t>TUBO DE REVESTIMENTO/PRODUCAO (LOTE)</t>
        </is>
      </c>
      <c r="F726" s="4" t="inlineStr">
        <is>
          <t>INFERIOR</t>
        </is>
      </c>
      <c r="G726" s="4" t="n">
        <v>1</v>
      </c>
      <c r="H726" s="5" t="n">
        <v>5753628906.838175</v>
      </c>
      <c r="I726" s="5" t="n">
        <v>5753655996.889938</v>
      </c>
      <c r="J726" s="5" t="n">
        <v>53825.06</v>
      </c>
      <c r="K726" s="4" t="inlineStr">
        <is>
          <t>S</t>
        </is>
      </c>
      <c r="L726" s="4" t="inlineStr">
        <is>
          <t>2025-09-24</t>
        </is>
      </c>
      <c r="M726" s="5" t="n">
        <v>53825.06</v>
      </c>
      <c r="N726" s="5">
        <f>J726-M726</f>
        <v/>
      </c>
      <c r="O726" s="6">
        <f>IF(F726="INFERIOR",N726/J726,"")</f>
        <v/>
      </c>
      <c r="P726" s="5">
        <f>IF(F726="INFERIOR",O726*MUS_parametros!$B$18,N726)</f>
        <v/>
      </c>
      <c r="Q726" s="4" t="inlineStr">
        <is>
          <t>Documento confere com o registro</t>
        </is>
      </c>
    </row>
    <row r="727">
      <c r="A727" s="4" t="inlineStr">
        <is>
          <t>IMB-0497772</t>
        </is>
      </c>
      <c r="B727" s="4" t="inlineStr">
        <is>
          <t>MAQUINAS_EQUIPAMENTOS</t>
        </is>
      </c>
      <c r="C727" s="4" t="inlineStr">
        <is>
          <t>1.2.03.01.004</t>
        </is>
      </c>
      <c r="D727" s="4" t="inlineStr">
        <is>
          <t>UPGN GUAMARE</t>
        </is>
      </c>
      <c r="E727" s="4" t="inlineStr">
        <is>
          <t>MODULO DE PROCESSAMENTO UPGN III</t>
        </is>
      </c>
      <c r="F727" s="4" t="inlineStr">
        <is>
          <t>INFERIOR</t>
        </is>
      </c>
      <c r="G727" s="4" t="n">
        <v>1</v>
      </c>
      <c r="H727" s="5" t="n">
        <v>5759361906.838175</v>
      </c>
      <c r="I727" s="5" t="n">
        <v>5760874334.299936</v>
      </c>
      <c r="J727" s="5" t="n">
        <v>1580559.05</v>
      </c>
      <c r="K727" s="4" t="inlineStr">
        <is>
          <t>S</t>
        </is>
      </c>
      <c r="L727" s="4" t="inlineStr">
        <is>
          <t>2025-09-30</t>
        </is>
      </c>
      <c r="M727" s="5" t="n">
        <v>1580559.05</v>
      </c>
      <c r="N727" s="5">
        <f>J727-M727</f>
        <v/>
      </c>
      <c r="O727" s="6">
        <f>IF(F727="INFERIOR",N727/J727,"")</f>
        <v/>
      </c>
      <c r="P727" s="5">
        <f>IF(F727="INFERIOR",O727*MUS_parametros!$B$18,N727)</f>
        <v/>
      </c>
      <c r="Q727" s="4" t="inlineStr">
        <is>
          <t>Documento confere com o registro</t>
        </is>
      </c>
    </row>
    <row r="728">
      <c r="A728" s="4" t="inlineStr">
        <is>
          <t>IMB-0498524</t>
        </is>
      </c>
      <c r="B728" s="4" t="inlineStr">
        <is>
          <t>DESENVOLVIMENTO_CAMPOS</t>
        </is>
      </c>
      <c r="C728" s="4" t="inlineStr">
        <is>
          <t>1.2.03.04.005</t>
        </is>
      </c>
      <c r="D728" s="4" t="inlineStr">
        <is>
          <t>TARTARUGA</t>
        </is>
      </c>
      <c r="E728" s="4" t="inlineStr">
        <is>
          <t>CONVERSAO EM POCO INJETOR</t>
        </is>
      </c>
      <c r="F728" s="4" t="inlineStr">
        <is>
          <t>INFERIOR</t>
        </is>
      </c>
      <c r="G728" s="4" t="n">
        <v>1</v>
      </c>
      <c r="H728" s="5" t="n">
        <v>5765094906.838175</v>
      </c>
      <c r="I728" s="5" t="n">
        <v>5765121347.859942</v>
      </c>
      <c r="J728" s="5" t="n">
        <v>115065.3</v>
      </c>
      <c r="K728" s="4" t="inlineStr">
        <is>
          <t>S</t>
        </is>
      </c>
      <c r="L728" s="4" t="inlineStr">
        <is>
          <t>2025-11-18</t>
        </is>
      </c>
      <c r="M728" s="5" t="n">
        <v>115065.3</v>
      </c>
      <c r="N728" s="5">
        <f>J728-M728</f>
        <v/>
      </c>
      <c r="O728" s="6">
        <f>IF(F728="INFERIOR",N728/J728,"")</f>
        <v/>
      </c>
      <c r="P728" s="5">
        <f>IF(F728="INFERIOR",O728*MUS_parametros!$B$18,N728)</f>
        <v/>
      </c>
      <c r="Q728" s="4" t="inlineStr">
        <is>
          <t>Documento confere com o registro</t>
        </is>
      </c>
    </row>
    <row r="729">
      <c r="A729" s="4" t="inlineStr">
        <is>
          <t>IMB-0499210</t>
        </is>
      </c>
      <c r="B729" s="4" t="inlineStr">
        <is>
          <t>MAQUINAS_EQUIPAMENTOS</t>
        </is>
      </c>
      <c r="C729" s="4" t="inlineStr">
        <is>
          <t>1.2.03.01.002</t>
        </is>
      </c>
      <c r="D729" s="4" t="inlineStr">
        <is>
          <t>RIACHO SAO PEDRO</t>
        </is>
      </c>
      <c r="E729" s="4" t="inlineStr">
        <is>
          <t>UNIDADE DE BOMBEIO MECANICO</t>
        </is>
      </c>
      <c r="F729" s="4" t="inlineStr">
        <is>
          <t>INFERIOR</t>
        </is>
      </c>
      <c r="G729" s="4" t="n">
        <v>1</v>
      </c>
      <c r="H729" s="5" t="n">
        <v>5770827906.838175</v>
      </c>
      <c r="I729" s="5" t="n">
        <v>5770845386.289945</v>
      </c>
      <c r="J729" s="5" t="n">
        <v>29766.86</v>
      </c>
      <c r="K729" s="4" t="inlineStr">
        <is>
          <t>S</t>
        </is>
      </c>
      <c r="L729" s="4" t="inlineStr">
        <is>
          <t>2016-06-08</t>
        </is>
      </c>
      <c r="M729" s="5" t="n">
        <v>29766.86</v>
      </c>
      <c r="N729" s="5">
        <f>J729-M729</f>
        <v/>
      </c>
      <c r="O729" s="6">
        <f>IF(F729="INFERIOR",N729/J729,"")</f>
        <v/>
      </c>
      <c r="P729" s="5">
        <f>IF(F729="INFERIOR",O729*MUS_parametros!$B$18,N729)</f>
        <v/>
      </c>
      <c r="Q729" s="4" t="inlineStr">
        <is>
          <t>Documento confere com o registro</t>
        </is>
      </c>
    </row>
    <row r="730">
      <c r="A730" s="4" t="inlineStr">
        <is>
          <t>IMB-0499982</t>
        </is>
      </c>
      <c r="B730" s="4" t="inlineStr">
        <is>
          <t>DIREITO_PRODUCAO_OLEO_GAS</t>
        </is>
      </c>
      <c r="C730" s="4" t="inlineStr">
        <is>
          <t>1.2.03.03.004</t>
        </is>
      </c>
      <c r="D730" s="4" t="inlineStr">
        <is>
          <t>POT-CONC-09 (SINTETICO)</t>
        </is>
      </c>
      <c r="E730" s="4" t="inlineStr">
        <is>
          <t>CUSTO DE AQUISICAO DA CONCESSAO</t>
        </is>
      </c>
      <c r="F730" s="4" t="inlineStr">
        <is>
          <t>SUPERIOR (VC &gt;= I)</t>
        </is>
      </c>
      <c r="G730" s="4" t="n">
        <v>4</v>
      </c>
      <c r="H730" s="5" t="n">
        <v>5776560906.838175</v>
      </c>
      <c r="I730" s="5" t="n">
        <v>5795631027.739955</v>
      </c>
      <c r="J730" s="5" t="n">
        <v>19530502.66</v>
      </c>
      <c r="K730" s="4" t="inlineStr">
        <is>
          <t>S</t>
        </is>
      </c>
      <c r="L730" s="4" t="inlineStr">
        <is>
          <t>2019-12-09</t>
        </is>
      </c>
      <c r="M730" s="5" t="n">
        <v>19530502.66</v>
      </c>
      <c r="N730" s="5">
        <f>J730-M730</f>
        <v/>
      </c>
      <c r="O730" s="6">
        <f>IF(F730="INFERIOR",N730/J730,"")</f>
        <v/>
      </c>
      <c r="P730" s="5">
        <f>IF(F730="INFERIOR",O730*MUS_parametros!$B$18,N730)</f>
        <v/>
      </c>
      <c r="Q730" s="4" t="inlineStr">
        <is>
          <t>Documento confere com o registro</t>
        </is>
      </c>
    </row>
    <row r="731">
      <c r="A731" s="4" t="inlineStr">
        <is>
          <t>IMB-0500626</t>
        </is>
      </c>
      <c r="B731" s="4" t="inlineStr">
        <is>
          <t>DESENVOLVIMENTO_CAMPOS</t>
        </is>
      </c>
      <c r="C731" s="4" t="inlineStr">
        <is>
          <t>1.2.03.04.002</t>
        </is>
      </c>
      <c r="D731" s="4" t="inlineStr">
        <is>
          <t>RIACHO DA FORQUILHA</t>
        </is>
      </c>
      <c r="E731" s="4" t="inlineStr">
        <is>
          <t>WORKOVER / RECOMPLETACAO CAPITALIZADO</t>
        </is>
      </c>
      <c r="F731" s="4" t="inlineStr">
        <is>
          <t>INFERIOR</t>
        </is>
      </c>
      <c r="G731" s="4" t="n">
        <v>1</v>
      </c>
      <c r="H731" s="5" t="n">
        <v>5799492906.838175</v>
      </c>
      <c r="I731" s="5" t="n">
        <v>5799494107.919949</v>
      </c>
      <c r="J731" s="5" t="n">
        <v>1531.12</v>
      </c>
      <c r="K731" s="4" t="inlineStr">
        <is>
          <t>S</t>
        </is>
      </c>
      <c r="L731" s="4" t="inlineStr">
        <is>
          <t>2021-08-20</t>
        </is>
      </c>
      <c r="M731" s="5" t="n">
        <v>1531.12</v>
      </c>
      <c r="N731" s="5">
        <f>J731-M731</f>
        <v/>
      </c>
      <c r="O731" s="6">
        <f>IF(F731="INFERIOR",N731/J731,"")</f>
        <v/>
      </c>
      <c r="P731" s="5">
        <f>IF(F731="INFERIOR",O731*MUS_parametros!$B$18,N731)</f>
        <v/>
      </c>
      <c r="Q731" s="4" t="inlineStr">
        <is>
          <t>Documento confere com o registro</t>
        </is>
      </c>
    </row>
    <row r="732">
      <c r="A732" s="4" t="inlineStr">
        <is>
          <t>IMB-0501614</t>
        </is>
      </c>
      <c r="B732" s="4" t="inlineStr">
        <is>
          <t>MAQUINAS_EQUIPAMENTOS</t>
        </is>
      </c>
      <c r="C732" s="4" t="inlineStr">
        <is>
          <t>1.2.03.01.002</t>
        </is>
      </c>
      <c r="D732" s="4" t="inlineStr">
        <is>
          <t>LIVRAMENTO</t>
        </is>
      </c>
      <c r="E732" s="4" t="inlineStr">
        <is>
          <t>UNIDADE DE BOMBEIO MECANICO</t>
        </is>
      </c>
      <c r="F732" s="4" t="inlineStr">
        <is>
          <t>INFERIOR</t>
        </is>
      </c>
      <c r="G732" s="4" t="n">
        <v>1</v>
      </c>
      <c r="H732" s="5" t="n">
        <v>5805225906.838175</v>
      </c>
      <c r="I732" s="5" t="n">
        <v>5805236882.559938</v>
      </c>
      <c r="J732" s="5" t="n">
        <v>28271.89</v>
      </c>
      <c r="K732" s="4" t="inlineStr">
        <is>
          <t>S</t>
        </is>
      </c>
      <c r="L732" s="4" t="inlineStr">
        <is>
          <t>2021-11-16</t>
        </is>
      </c>
      <c r="M732" s="5" t="n">
        <v>28271.89</v>
      </c>
      <c r="N732" s="5">
        <f>J732-M732</f>
        <v/>
      </c>
      <c r="O732" s="6">
        <f>IF(F732="INFERIOR",N732/J732,"")</f>
        <v/>
      </c>
      <c r="P732" s="5">
        <f>IF(F732="INFERIOR",O732*MUS_parametros!$B$18,N732)</f>
        <v/>
      </c>
      <c r="Q732" s="4" t="inlineStr">
        <is>
          <t>Documento confere com o registro</t>
        </is>
      </c>
    </row>
    <row r="733">
      <c r="A733" s="4" t="inlineStr">
        <is>
          <t>IMB-0502355</t>
        </is>
      </c>
      <c r="B733" s="4" t="inlineStr">
        <is>
          <t>DESENVOLVIMENTO_CAMPOS</t>
        </is>
      </c>
      <c r="C733" s="4" t="inlineStr">
        <is>
          <t>1.2.03.04.002</t>
        </is>
      </c>
      <c r="D733" s="4" t="inlineStr">
        <is>
          <t>APRAIUS</t>
        </is>
      </c>
      <c r="E733" s="4" t="inlineStr">
        <is>
          <t>FRATURAMENTO / ESTIMULACAO CAPITALIZADA</t>
        </is>
      </c>
      <c r="F733" s="4" t="inlineStr">
        <is>
          <t>INFERIOR</t>
        </is>
      </c>
      <c r="G733" s="4" t="n">
        <v>1</v>
      </c>
      <c r="H733" s="5" t="n">
        <v>5810958906.838175</v>
      </c>
      <c r="I733" s="5" t="n">
        <v>5810961618.61993</v>
      </c>
      <c r="J733" s="5" t="n">
        <v>3188.89</v>
      </c>
      <c r="K733" s="4" t="inlineStr">
        <is>
          <t>S</t>
        </is>
      </c>
      <c r="L733" s="4" t="inlineStr">
        <is>
          <t>2025-12-13</t>
        </is>
      </c>
      <c r="M733" s="5" t="n">
        <v>3188.89</v>
      </c>
      <c r="N733" s="5">
        <f>J733-M733</f>
        <v/>
      </c>
      <c r="O733" s="6">
        <f>IF(F733="INFERIOR",N733/J733,"")</f>
        <v/>
      </c>
      <c r="P733" s="5">
        <f>IF(F733="INFERIOR",O733*MUS_parametros!$B$18,N733)</f>
        <v/>
      </c>
      <c r="Q733" s="4" t="inlineStr">
        <is>
          <t>Documento confere com o registro</t>
        </is>
      </c>
    </row>
    <row r="734">
      <c r="A734" s="4" t="inlineStr">
        <is>
          <t>IMB-0503189</t>
        </is>
      </c>
      <c r="B734" s="4" t="inlineStr">
        <is>
          <t>MAQUINAS_EQUIPAMENTOS</t>
        </is>
      </c>
      <c r="C734" s="4" t="inlineStr">
        <is>
          <t>1.2.03.01.005</t>
        </is>
      </c>
      <c r="D734" s="4" t="inlineStr">
        <is>
          <t>SUSSUARANA</t>
        </is>
      </c>
      <c r="E734" s="4" t="inlineStr">
        <is>
          <t>FERRAMENTA/EQUIPAMENTO DE CAMPO</t>
        </is>
      </c>
      <c r="F734" s="4" t="inlineStr">
        <is>
          <t>INFERIOR</t>
        </is>
      </c>
      <c r="G734" s="4" t="n">
        <v>1</v>
      </c>
      <c r="H734" s="5" t="n">
        <v>5816691906.838175</v>
      </c>
      <c r="I734" s="5" t="n">
        <v>5816692524.579942</v>
      </c>
      <c r="J734" s="5" t="n">
        <v>2835.56</v>
      </c>
      <c r="K734" s="4" t="inlineStr">
        <is>
          <t>S</t>
        </is>
      </c>
      <c r="L734" s="4" t="inlineStr">
        <is>
          <t>2023-10-26</t>
        </is>
      </c>
      <c r="M734" s="5" t="n">
        <v>2835.56</v>
      </c>
      <c r="N734" s="5">
        <f>J734-M734</f>
        <v/>
      </c>
      <c r="O734" s="6">
        <f>IF(F734="INFERIOR",N734/J734,"")</f>
        <v/>
      </c>
      <c r="P734" s="5">
        <f>IF(F734="INFERIOR",O734*MUS_parametros!$B$18,N734)</f>
        <v/>
      </c>
      <c r="Q734" s="4" t="inlineStr">
        <is>
          <t>Documento confere com o registro</t>
        </is>
      </c>
    </row>
    <row r="735">
      <c r="A735" s="4" t="inlineStr">
        <is>
          <t>IMB-0503895</t>
        </is>
      </c>
      <c r="B735" s="4" t="inlineStr">
        <is>
          <t>DESENVOLVIMENTO_CAMPOS</t>
        </is>
      </c>
      <c r="C735" s="4" t="inlineStr">
        <is>
          <t>1.2.03.04.002</t>
        </is>
      </c>
      <c r="D735" s="4" t="inlineStr">
        <is>
          <t>POT-CONC-07 (SINTETICO)</t>
        </is>
      </c>
      <c r="E735" s="4" t="inlineStr">
        <is>
          <t>WORKOVER / RECOMPLETACAO CAPITALIZADO</t>
        </is>
      </c>
      <c r="F735" s="4" t="inlineStr">
        <is>
          <t>INFERIOR</t>
        </is>
      </c>
      <c r="G735" s="4" t="n">
        <v>1</v>
      </c>
      <c r="H735" s="5" t="n">
        <v>5822424906.838175</v>
      </c>
      <c r="I735" s="5" t="n">
        <v>5822452327.529959</v>
      </c>
      <c r="J735" s="5" t="n">
        <v>42901.06</v>
      </c>
      <c r="K735" s="4" t="inlineStr">
        <is>
          <t>S</t>
        </is>
      </c>
      <c r="L735" s="4" t="inlineStr">
        <is>
          <t>2025-10-26</t>
        </is>
      </c>
      <c r="M735" s="5" t="n">
        <v>42901.06</v>
      </c>
      <c r="N735" s="5">
        <f>J735-M735</f>
        <v/>
      </c>
      <c r="O735" s="6">
        <f>IF(F735="INFERIOR",N735/J735,"")</f>
        <v/>
      </c>
      <c r="P735" s="5">
        <f>IF(F735="INFERIOR",O735*MUS_parametros!$B$18,N735)</f>
        <v/>
      </c>
      <c r="Q735" s="4" t="inlineStr">
        <is>
          <t>Documento confere com o registro</t>
        </is>
      </c>
    </row>
    <row r="736">
      <c r="A736" s="4" t="inlineStr">
        <is>
          <t>IMB-0504534</t>
        </is>
      </c>
      <c r="B736" s="4" t="inlineStr">
        <is>
          <t>DESENVOLVIMENTO_CAMPOS</t>
        </is>
      </c>
      <c r="C736" s="4" t="inlineStr">
        <is>
          <t>1.2.03.04.001</t>
        </is>
      </c>
      <c r="D736" s="4" t="inlineStr">
        <is>
          <t>MATA DE SAO JOAO</t>
        </is>
      </c>
      <c r="E736" s="4" t="inlineStr">
        <is>
          <t>PERFURACAO E COMPLETACAO</t>
        </is>
      </c>
      <c r="F736" s="4" t="inlineStr">
        <is>
          <t>INFERIOR</t>
        </is>
      </c>
      <c r="G736" s="4" t="n">
        <v>1</v>
      </c>
      <c r="H736" s="5" t="n">
        <v>5828157906.838175</v>
      </c>
      <c r="I736" s="5" t="n">
        <v>5828441960.219968</v>
      </c>
      <c r="J736" s="5" t="n">
        <v>1309917.31</v>
      </c>
      <c r="K736" s="4" t="inlineStr">
        <is>
          <t>S</t>
        </is>
      </c>
      <c r="L736" s="4" t="inlineStr">
        <is>
          <t>2025-12-20</t>
        </is>
      </c>
      <c r="M736" s="5" t="n">
        <v>1309917.31</v>
      </c>
      <c r="N736" s="5">
        <f>J736-M736</f>
        <v/>
      </c>
      <c r="O736" s="6">
        <f>IF(F736="INFERIOR",N736/J736,"")</f>
        <v/>
      </c>
      <c r="P736" s="5">
        <f>IF(F736="INFERIOR",O736*MUS_parametros!$B$18,N736)</f>
        <v/>
      </c>
      <c r="Q736" s="4" t="inlineStr">
        <is>
          <t>Documento confere com o registro</t>
        </is>
      </c>
    </row>
    <row r="737">
      <c r="A737" s="4" t="inlineStr">
        <is>
          <t>IMB-0505116</t>
        </is>
      </c>
      <c r="B737" s="4" t="inlineStr">
        <is>
          <t>OUTROS</t>
        </is>
      </c>
      <c r="C737" s="4" t="inlineStr">
        <is>
          <t>1.2.03.09.003</t>
        </is>
      </c>
      <c r="D737" s="4" t="inlineStr">
        <is>
          <t>POT-CONC-19 (SINTETICO)</t>
        </is>
      </c>
      <c r="E737" s="4" t="inlineStr">
        <is>
          <t>MOVEL E UTENSILIO</t>
        </is>
      </c>
      <c r="F737" s="4" t="inlineStr">
        <is>
          <t>INFERIOR</t>
        </is>
      </c>
      <c r="G737" s="4" t="n">
        <v>1</v>
      </c>
      <c r="H737" s="5" t="n">
        <v>5833890906.838175</v>
      </c>
      <c r="I737" s="5" t="n">
        <v>5833891293.649959</v>
      </c>
      <c r="J737" s="5" t="n">
        <v>910.35</v>
      </c>
      <c r="K737" s="4" t="inlineStr">
        <is>
          <t>S</t>
        </is>
      </c>
      <c r="L737" s="4" t="inlineStr">
        <is>
          <t>2023-06-27</t>
        </is>
      </c>
      <c r="M737" s="5" t="n">
        <v>910.35</v>
      </c>
      <c r="N737" s="5">
        <f>J737-M737</f>
        <v/>
      </c>
      <c r="O737" s="6">
        <f>IF(F737="INFERIOR",N737/J737,"")</f>
        <v/>
      </c>
      <c r="P737" s="5">
        <f>IF(F737="INFERIOR",O737*MUS_parametros!$B$18,N737)</f>
        <v/>
      </c>
      <c r="Q737" s="4" t="inlineStr">
        <is>
          <t>Documento confere com o registro</t>
        </is>
      </c>
    </row>
    <row r="738">
      <c r="A738" s="4" t="inlineStr">
        <is>
          <t>IMB-0505789</t>
        </is>
      </c>
      <c r="B738" s="4" t="inlineStr">
        <is>
          <t>DESENVOLVIMENTO_CAMPOS</t>
        </is>
      </c>
      <c r="C738" s="4" t="inlineStr">
        <is>
          <t>1.2.03.04.002</t>
        </is>
      </c>
      <c r="D738" s="4" t="inlineStr">
        <is>
          <t>BREJINHO</t>
        </is>
      </c>
      <c r="E738" s="4" t="inlineStr">
        <is>
          <t>WORKOVER / RECOMPLETACAO CAPITALIZADO</t>
        </is>
      </c>
      <c r="F738" s="4" t="inlineStr">
        <is>
          <t>INFERIOR</t>
        </is>
      </c>
      <c r="G738" s="4" t="n">
        <v>1</v>
      </c>
      <c r="H738" s="5" t="n">
        <v>5839623906.838175</v>
      </c>
      <c r="I738" s="5" t="n">
        <v>5839624378.53995</v>
      </c>
      <c r="J738" s="5" t="n">
        <v>3771.72</v>
      </c>
      <c r="K738" s="4" t="inlineStr">
        <is>
          <t>S</t>
        </is>
      </c>
      <c r="L738" s="4" t="inlineStr">
        <is>
          <t>2025-02-01</t>
        </is>
      </c>
      <c r="M738" s="5" t="n">
        <v>3771.72</v>
      </c>
      <c r="N738" s="5">
        <f>J738-M738</f>
        <v/>
      </c>
      <c r="O738" s="6">
        <f>IF(F738="INFERIOR",N738/J738,"")</f>
        <v/>
      </c>
      <c r="P738" s="5">
        <f>IF(F738="INFERIOR",O738*MUS_parametros!$B$18,N738)</f>
        <v/>
      </c>
      <c r="Q738" s="4" t="inlineStr">
        <is>
          <t>Documento confere com o registro</t>
        </is>
      </c>
    </row>
    <row r="739">
      <c r="A739" s="4" t="inlineStr">
        <is>
          <t>IMB-0506225</t>
        </is>
      </c>
      <c r="B739" s="4" t="inlineStr">
        <is>
          <t>DESENVOLVIMENTO_CAMPOS</t>
        </is>
      </c>
      <c r="C739" s="4" t="inlineStr">
        <is>
          <t>1.2.03.04.001</t>
        </is>
      </c>
      <c r="D739" s="4" t="inlineStr">
        <is>
          <t>RIO DOS OVOS</t>
        </is>
      </c>
      <c r="E739" s="4" t="inlineStr">
        <is>
          <t>PERFURACAO E COMPLETACAO</t>
        </is>
      </c>
      <c r="F739" s="4" t="inlineStr">
        <is>
          <t>INFERIOR</t>
        </is>
      </c>
      <c r="G739" s="4" t="n">
        <v>1</v>
      </c>
      <c r="H739" s="5" t="n">
        <v>5845356906.838175</v>
      </c>
      <c r="I739" s="5" t="n">
        <v>5845383811.599949</v>
      </c>
      <c r="J739" s="5" t="n">
        <v>37398.71</v>
      </c>
      <c r="K739" s="4" t="inlineStr">
        <is>
          <t>S</t>
        </is>
      </c>
      <c r="L739" s="4" t="inlineStr">
        <is>
          <t>2023-08-21</t>
        </is>
      </c>
      <c r="M739" s="5" t="n">
        <v>37398.71</v>
      </c>
      <c r="N739" s="5">
        <f>J739-M739</f>
        <v/>
      </c>
      <c r="O739" s="6">
        <f>IF(F739="INFERIOR",N739/J739,"")</f>
        <v/>
      </c>
      <c r="P739" s="5">
        <f>IF(F739="INFERIOR",O739*MUS_parametros!$B$18,N739)</f>
        <v/>
      </c>
      <c r="Q739" s="4" t="inlineStr">
        <is>
          <t>Documento confere com o registro</t>
        </is>
      </c>
    </row>
    <row r="740">
      <c r="A740" s="4" t="inlineStr">
        <is>
          <t>IMB-0507186</t>
        </is>
      </c>
      <c r="B740" s="4" t="inlineStr">
        <is>
          <t>MAQUINAS_EQUIPAMENTOS</t>
        </is>
      </c>
      <c r="C740" s="4" t="inlineStr">
        <is>
          <t>1.2.03.01.005</t>
        </is>
      </c>
      <c r="D740" s="4" t="inlineStr">
        <is>
          <t>POT-CONC-07 (SINTETICO)</t>
        </is>
      </c>
      <c r="E740" s="4" t="inlineStr">
        <is>
          <t>FERRAMENTA/EQUIPAMENTO DE CAMPO</t>
        </is>
      </c>
      <c r="F740" s="4" t="inlineStr">
        <is>
          <t>INFERIOR</t>
        </is>
      </c>
      <c r="G740" s="4" t="n">
        <v>1</v>
      </c>
      <c r="H740" s="5" t="n">
        <v>5851089906.838175</v>
      </c>
      <c r="I740" s="5" t="n">
        <v>5851097612.239939</v>
      </c>
      <c r="J740" s="5" t="n">
        <v>9382.610000000001</v>
      </c>
      <c r="K740" s="4" t="inlineStr">
        <is>
          <t>S</t>
        </is>
      </c>
      <c r="L740" s="4" t="inlineStr">
        <is>
          <t>2022-12-21</t>
        </is>
      </c>
      <c r="M740" s="5" t="n">
        <v>9382.610000000001</v>
      </c>
      <c r="N740" s="5">
        <f>J740-M740</f>
        <v/>
      </c>
      <c r="O740" s="6">
        <f>IF(F740="INFERIOR",N740/J740,"")</f>
        <v/>
      </c>
      <c r="P740" s="5">
        <f>IF(F740="INFERIOR",O740*MUS_parametros!$B$18,N740)</f>
        <v/>
      </c>
      <c r="Q740" s="4" t="inlineStr">
        <is>
          <t>Documento confere com o registro</t>
        </is>
      </c>
    </row>
    <row r="741">
      <c r="A741" s="4" t="inlineStr">
        <is>
          <t>IMB-0507902</t>
        </is>
      </c>
      <c r="B741" s="4" t="inlineStr">
        <is>
          <t>ALMOXARIFADO_INVERSOES_FIXAS</t>
        </is>
      </c>
      <c r="C741" s="4" t="inlineStr">
        <is>
          <t>1.2.03.07.004</t>
        </is>
      </c>
      <c r="D741" s="4" t="inlineStr">
        <is>
          <t>LAGOA DO PAULO NORTE</t>
        </is>
      </c>
      <c r="E741" s="4" t="inlineStr">
        <is>
          <t>MATERIAL DIVERSO DE INVESTIMENTO</t>
        </is>
      </c>
      <c r="F741" s="4" t="inlineStr">
        <is>
          <t>INFERIOR</t>
        </is>
      </c>
      <c r="G741" s="4" t="n">
        <v>1</v>
      </c>
      <c r="H741" s="5" t="n">
        <v>5856822906.838175</v>
      </c>
      <c r="I741" s="5" t="n">
        <v>5856823618.519948</v>
      </c>
      <c r="J741" s="5" t="n">
        <v>2171.48</v>
      </c>
      <c r="K741" s="4" t="inlineStr">
        <is>
          <t>S</t>
        </is>
      </c>
      <c r="L741" s="4" t="inlineStr">
        <is>
          <t>2025-11-30</t>
        </is>
      </c>
      <c r="M741" s="5" t="n">
        <v>2171.48</v>
      </c>
      <c r="N741" s="5">
        <f>J741-M741</f>
        <v/>
      </c>
      <c r="O741" s="6">
        <f>IF(F741="INFERIOR",N741/J741,"")</f>
        <v/>
      </c>
      <c r="P741" s="5">
        <f>IF(F741="INFERIOR",O741*MUS_parametros!$B$18,N741)</f>
        <v/>
      </c>
      <c r="Q741" s="4" t="inlineStr">
        <is>
          <t>Documento confere com o registro</t>
        </is>
      </c>
    </row>
    <row r="742">
      <c r="A742" s="4" t="inlineStr">
        <is>
          <t>IMB-0508867</t>
        </is>
      </c>
      <c r="B742" s="4" t="inlineStr">
        <is>
          <t>ALMOXARIFADO_INVERSOES_FIXAS</t>
        </is>
      </c>
      <c r="C742" s="4" t="inlineStr">
        <is>
          <t>1.2.03.07.002</t>
        </is>
      </c>
      <c r="D742" s="4" t="inlineStr">
        <is>
          <t>POT-CONC-15 (SINTETICO)</t>
        </is>
      </c>
      <c r="E742" s="4" t="inlineStr">
        <is>
          <t>BOMBA DE FUNDO EM ESTOQUE</t>
        </is>
      </c>
      <c r="F742" s="4" t="inlineStr">
        <is>
          <t>INFERIOR</t>
        </is>
      </c>
      <c r="G742" s="4" t="n">
        <v>1</v>
      </c>
      <c r="H742" s="5" t="n">
        <v>5862555906.838175</v>
      </c>
      <c r="I742" s="5" t="n">
        <v>5862557214.499941</v>
      </c>
      <c r="J742" s="5" t="n">
        <v>5642.3</v>
      </c>
      <c r="K742" s="4" t="inlineStr">
        <is>
          <t>S</t>
        </is>
      </c>
      <c r="L742" s="4" t="inlineStr">
        <is>
          <t>2024-03-09</t>
        </is>
      </c>
      <c r="M742" s="5" t="n">
        <v>5642.3</v>
      </c>
      <c r="N742" s="5">
        <f>J742-M742</f>
        <v/>
      </c>
      <c r="O742" s="6">
        <f>IF(F742="INFERIOR",N742/J742,"")</f>
        <v/>
      </c>
      <c r="P742" s="5">
        <f>IF(F742="INFERIOR",O742*MUS_parametros!$B$18,N742)</f>
        <v/>
      </c>
      <c r="Q742" s="4" t="inlineStr">
        <is>
          <t>Documento confere com o registro</t>
        </is>
      </c>
    </row>
    <row r="743">
      <c r="A743" s="4" t="inlineStr">
        <is>
          <t>IMB-0509424</t>
        </is>
      </c>
      <c r="B743" s="4" t="inlineStr">
        <is>
          <t>MAQUINAS_EQUIPAMENTOS</t>
        </is>
      </c>
      <c r="C743" s="4" t="inlineStr">
        <is>
          <t>1.2.03.01.001</t>
        </is>
      </c>
      <c r="D743" s="4" t="inlineStr">
        <is>
          <t>POT-CONC-11 (SINTETICO)</t>
        </is>
      </c>
      <c r="E743" s="4" t="inlineStr">
        <is>
          <t>COMPONENTE DE SONDA PROPRIA (PERFURACAO/PRODUCAO)</t>
        </is>
      </c>
      <c r="F743" s="4" t="inlineStr">
        <is>
          <t>INFERIOR</t>
        </is>
      </c>
      <c r="G743" s="4" t="n">
        <v>1</v>
      </c>
      <c r="H743" s="5" t="n">
        <v>5868288906.838175</v>
      </c>
      <c r="I743" s="5" t="n">
        <v>5868327329.549943</v>
      </c>
      <c r="J743" s="5" t="n">
        <v>185094.38</v>
      </c>
      <c r="K743" s="4" t="inlineStr">
        <is>
          <t>S</t>
        </is>
      </c>
      <c r="L743" s="4" t="inlineStr">
        <is>
          <t>2025-08-15</t>
        </is>
      </c>
      <c r="M743" s="5" t="n">
        <v>185094.38</v>
      </c>
      <c r="N743" s="5">
        <f>J743-M743</f>
        <v/>
      </c>
      <c r="O743" s="6">
        <f>IF(F743="INFERIOR",N743/J743,"")</f>
        <v/>
      </c>
      <c r="P743" s="5">
        <f>IF(F743="INFERIOR",O743*MUS_parametros!$B$18,N743)</f>
        <v/>
      </c>
      <c r="Q743" s="4" t="inlineStr">
        <is>
          <t>Documento confere com o registro</t>
        </is>
      </c>
    </row>
    <row r="744">
      <c r="A744" s="4" t="inlineStr">
        <is>
          <t>IMB-0510049</t>
        </is>
      </c>
      <c r="B744" s="4" t="inlineStr">
        <is>
          <t>DESENVOLVIMENTO_CAMPOS</t>
        </is>
      </c>
      <c r="C744" s="4" t="inlineStr">
        <is>
          <t>1.2.03.04.001</t>
        </is>
      </c>
      <c r="D744" s="4" t="inlineStr">
        <is>
          <t>SUSSUARANA</t>
        </is>
      </c>
      <c r="E744" s="4" t="inlineStr">
        <is>
          <t>PERFURACAO E COMPLETACAO</t>
        </is>
      </c>
      <c r="F744" s="4" t="inlineStr">
        <is>
          <t>INFERIOR</t>
        </is>
      </c>
      <c r="G744" s="4" t="n">
        <v>1</v>
      </c>
      <c r="H744" s="5" t="n">
        <v>5874021906.838175</v>
      </c>
      <c r="I744" s="5" t="n">
        <v>5874063102.359937</v>
      </c>
      <c r="J744" s="5" t="n">
        <v>57794.52</v>
      </c>
      <c r="K744" s="4" t="inlineStr">
        <is>
          <t>S</t>
        </is>
      </c>
      <c r="L744" s="4" t="inlineStr">
        <is>
          <t>2025-02-26</t>
        </is>
      </c>
      <c r="M744" s="5" t="n">
        <v>57794.52</v>
      </c>
      <c r="N744" s="5">
        <f>J744-M744</f>
        <v/>
      </c>
      <c r="O744" s="6">
        <f>IF(F744="INFERIOR",N744/J744,"")</f>
        <v/>
      </c>
      <c r="P744" s="5">
        <f>IF(F744="INFERIOR",O744*MUS_parametros!$B$18,N744)</f>
        <v/>
      </c>
      <c r="Q744" s="4" t="inlineStr">
        <is>
          <t>Documento confere com o registro</t>
        </is>
      </c>
    </row>
    <row r="745">
      <c r="A745" s="4" t="inlineStr">
        <is>
          <t>IMB-0510751</t>
        </is>
      </c>
      <c r="B745" s="4" t="inlineStr">
        <is>
          <t>DESENVOLVIMENTO_CAMPOS</t>
        </is>
      </c>
      <c r="C745" s="4" t="inlineStr">
        <is>
          <t>1.2.03.04.001</t>
        </is>
      </c>
      <c r="D745" s="4" t="inlineStr">
        <is>
          <t>PAJEU</t>
        </is>
      </c>
      <c r="E745" s="4" t="inlineStr">
        <is>
          <t>PERFURACAO E COMPLETACAO</t>
        </is>
      </c>
      <c r="F745" s="4" t="inlineStr">
        <is>
          <t>INFERIOR</t>
        </is>
      </c>
      <c r="G745" s="4" t="n">
        <v>1</v>
      </c>
      <c r="H745" s="5" t="n">
        <v>5879754906.838175</v>
      </c>
      <c r="I745" s="5" t="n">
        <v>5879816159.459929</v>
      </c>
      <c r="J745" s="5" t="n">
        <v>81648.27</v>
      </c>
      <c r="K745" s="4" t="inlineStr">
        <is>
          <t>S</t>
        </is>
      </c>
      <c r="L745" s="4" t="inlineStr">
        <is>
          <t>2022-06-29</t>
        </is>
      </c>
      <c r="M745" s="5" t="n">
        <v>81648.27</v>
      </c>
      <c r="N745" s="5">
        <f>J745-M745</f>
        <v/>
      </c>
      <c r="O745" s="6">
        <f>IF(F745="INFERIOR",N745/J745,"")</f>
        <v/>
      </c>
      <c r="P745" s="5">
        <f>IF(F745="INFERIOR",O745*MUS_parametros!$B$18,N745)</f>
        <v/>
      </c>
      <c r="Q745" s="4" t="inlineStr">
        <is>
          <t>Documento confere com o registro</t>
        </is>
      </c>
    </row>
    <row r="746">
      <c r="A746" s="4" t="inlineStr">
        <is>
          <t>IMB-0511610</t>
        </is>
      </c>
      <c r="B746" s="4" t="inlineStr">
        <is>
          <t>DESENVOLVIMENTO_CAMPOS</t>
        </is>
      </c>
      <c r="C746" s="4" t="inlineStr">
        <is>
          <t>1.2.03.04.001</t>
        </is>
      </c>
      <c r="D746" s="4" t="inlineStr">
        <is>
          <t>POT-CONC-10 (SINTETICO)</t>
        </is>
      </c>
      <c r="E746" s="4" t="inlineStr">
        <is>
          <t>PERFURACAO E COMPLETACAO</t>
        </is>
      </c>
      <c r="F746" s="4" t="inlineStr">
        <is>
          <t>INFERIOR</t>
        </is>
      </c>
      <c r="G746" s="4" t="n">
        <v>1</v>
      </c>
      <c r="H746" s="5" t="n">
        <v>5885487906.838175</v>
      </c>
      <c r="I746" s="5" t="n">
        <v>5885499748.199932</v>
      </c>
      <c r="J746" s="5" t="n">
        <v>180128.79</v>
      </c>
      <c r="K746" s="4" t="inlineStr">
        <is>
          <t>S</t>
        </is>
      </c>
      <c r="L746" s="4" t="inlineStr">
        <is>
          <t>2022-11-19</t>
        </is>
      </c>
      <c r="M746" s="5" t="n">
        <v>180128.79</v>
      </c>
      <c r="N746" s="5">
        <f>J746-M746</f>
        <v/>
      </c>
      <c r="O746" s="6">
        <f>IF(F746="INFERIOR",N746/J746,"")</f>
        <v/>
      </c>
      <c r="P746" s="5">
        <f>IF(F746="INFERIOR",O746*MUS_parametros!$B$18,N746)</f>
        <v/>
      </c>
      <c r="Q746" s="4" t="inlineStr">
        <is>
          <t>Documento confere com o registro</t>
        </is>
      </c>
    </row>
    <row r="747">
      <c r="A747" s="4" t="inlineStr">
        <is>
          <t>IMB-0512212</t>
        </is>
      </c>
      <c r="B747" s="4" t="inlineStr">
        <is>
          <t>DESENVOLVIMENTO_CAMPOS</t>
        </is>
      </c>
      <c r="C747" s="4" t="inlineStr">
        <is>
          <t>1.2.03.04.001</t>
        </is>
      </c>
      <c r="D747" s="4" t="inlineStr">
        <is>
          <t>PAJEU</t>
        </is>
      </c>
      <c r="E747" s="4" t="inlineStr">
        <is>
          <t>PERFURACAO E COMPLETACAO</t>
        </is>
      </c>
      <c r="F747" s="4" t="inlineStr">
        <is>
          <t>INFERIOR</t>
        </is>
      </c>
      <c r="G747" s="4" t="n">
        <v>1</v>
      </c>
      <c r="H747" s="5" t="n">
        <v>5891220906.838175</v>
      </c>
      <c r="I747" s="5" t="n">
        <v>5891250827.12993</v>
      </c>
      <c r="J747" s="5" t="n">
        <v>123779.83</v>
      </c>
      <c r="K747" s="4" t="inlineStr">
        <is>
          <t>S</t>
        </is>
      </c>
      <c r="L747" s="4" t="inlineStr">
        <is>
          <t>2022-09-17</t>
        </is>
      </c>
      <c r="M747" s="5" t="n">
        <v>123779.83</v>
      </c>
      <c r="N747" s="5">
        <f>J747-M747</f>
        <v/>
      </c>
      <c r="O747" s="6">
        <f>IF(F747="INFERIOR",N747/J747,"")</f>
        <v/>
      </c>
      <c r="P747" s="5">
        <f>IF(F747="INFERIOR",O747*MUS_parametros!$B$18,N747)</f>
        <v/>
      </c>
      <c r="Q747" s="4" t="inlineStr">
        <is>
          <t>Documento confere com o registro</t>
        </is>
      </c>
    </row>
    <row r="748">
      <c r="A748" s="4" t="inlineStr">
        <is>
          <t>IMB-0513034</t>
        </is>
      </c>
      <c r="B748" s="4" t="inlineStr">
        <is>
          <t>DESENVOLVIMENTO_CAMPOS</t>
        </is>
      </c>
      <c r="C748" s="4" t="inlineStr">
        <is>
          <t>1.2.03.04.001</t>
        </is>
      </c>
      <c r="D748" s="4" t="inlineStr">
        <is>
          <t>SAO PEDRO</t>
        </is>
      </c>
      <c r="E748" s="4" t="inlineStr">
        <is>
          <t>PERFURACAO E COMPLETACAO</t>
        </is>
      </c>
      <c r="F748" s="4" t="inlineStr">
        <is>
          <t>INFERIOR</t>
        </is>
      </c>
      <c r="G748" s="4" t="n">
        <v>1</v>
      </c>
      <c r="H748" s="5" t="n">
        <v>5896953906.838175</v>
      </c>
      <c r="I748" s="5" t="n">
        <v>5896989962.409931</v>
      </c>
      <c r="J748" s="5" t="n">
        <v>68237.92999999999</v>
      </c>
      <c r="K748" s="4" t="inlineStr">
        <is>
          <t>S</t>
        </is>
      </c>
      <c r="L748" s="4" t="inlineStr">
        <is>
          <t>2023-06-18</t>
        </is>
      </c>
      <c r="M748" s="5" t="n">
        <v>68237.92999999999</v>
      </c>
      <c r="N748" s="5">
        <f>J748-M748</f>
        <v/>
      </c>
      <c r="O748" s="6">
        <f>IF(F748="INFERIOR",N748/J748,"")</f>
        <v/>
      </c>
      <c r="P748" s="5">
        <f>IF(F748="INFERIOR",O748*MUS_parametros!$B$18,N748)</f>
        <v/>
      </c>
      <c r="Q748" s="4" t="inlineStr">
        <is>
          <t>Documento confere com o registro</t>
        </is>
      </c>
    </row>
    <row r="749">
      <c r="A749" s="4" t="inlineStr">
        <is>
          <t>IMB-0514050</t>
        </is>
      </c>
      <c r="B749" s="4" t="inlineStr">
        <is>
          <t>DESENVOLVIMENTO_CAMPOS</t>
        </is>
      </c>
      <c r="C749" s="4" t="inlineStr">
        <is>
          <t>1.2.03.04.002</t>
        </is>
      </c>
      <c r="D749" s="4" t="inlineStr">
        <is>
          <t>REMANSO</t>
        </is>
      </c>
      <c r="E749" s="4" t="inlineStr">
        <is>
          <t>FRATURAMENTO / ESTIMULACAO CAPITALIZADA</t>
        </is>
      </c>
      <c r="F749" s="4" t="inlineStr">
        <is>
          <t>INFERIOR</t>
        </is>
      </c>
      <c r="G749" s="4" t="n">
        <v>1</v>
      </c>
      <c r="H749" s="5" t="n">
        <v>5902686906.838175</v>
      </c>
      <c r="I749" s="5" t="n">
        <v>5902716551.589919</v>
      </c>
      <c r="J749" s="5" t="n">
        <v>37681.12</v>
      </c>
      <c r="K749" s="4" t="inlineStr">
        <is>
          <t>S</t>
        </is>
      </c>
      <c r="L749" s="4" t="inlineStr">
        <is>
          <t>2025-04-26</t>
        </is>
      </c>
      <c r="M749" s="5" t="n">
        <v>37681.12</v>
      </c>
      <c r="N749" s="5">
        <f>J749-M749</f>
        <v/>
      </c>
      <c r="O749" s="6">
        <f>IF(F749="INFERIOR",N749/J749,"")</f>
        <v/>
      </c>
      <c r="P749" s="5">
        <f>IF(F749="INFERIOR",O749*MUS_parametros!$B$18,N749)</f>
        <v/>
      </c>
      <c r="Q749" s="4" t="inlineStr">
        <is>
          <t>Documento confere com o registro</t>
        </is>
      </c>
    </row>
    <row r="750">
      <c r="A750" s="4" t="inlineStr">
        <is>
          <t>IMB-0514807</t>
        </is>
      </c>
      <c r="B750" s="4" t="inlineStr">
        <is>
          <t>ALMOXARIFADO_INVERSOES_FIXAS</t>
        </is>
      </c>
      <c r="C750" s="4" t="inlineStr">
        <is>
          <t>1.2.03.07.001</t>
        </is>
      </c>
      <c r="D750" s="4" t="inlineStr">
        <is>
          <t>TARTARUGA</t>
        </is>
      </c>
      <c r="E750" s="4" t="inlineStr">
        <is>
          <t>TUBO DE REVESTIMENTO/PRODUCAO (LOTE)</t>
        </is>
      </c>
      <c r="F750" s="4" t="inlineStr">
        <is>
          <t>INFERIOR</t>
        </is>
      </c>
      <c r="G750" s="4" t="n">
        <v>1</v>
      </c>
      <c r="H750" s="5" t="n">
        <v>5908419906.838175</v>
      </c>
      <c r="I750" s="5" t="n">
        <v>5908420870.089929</v>
      </c>
      <c r="J750" s="5" t="n">
        <v>1347.77</v>
      </c>
      <c r="K750" s="4" t="inlineStr">
        <is>
          <t>S</t>
        </is>
      </c>
      <c r="L750" s="4" t="inlineStr">
        <is>
          <t>2025-09-17</t>
        </is>
      </c>
      <c r="M750" s="5" t="n">
        <v>1347.77</v>
      </c>
      <c r="N750" s="5">
        <f>J750-M750</f>
        <v/>
      </c>
      <c r="O750" s="6">
        <f>IF(F750="INFERIOR",N750/J750,"")</f>
        <v/>
      </c>
      <c r="P750" s="5">
        <f>IF(F750="INFERIOR",O750*MUS_parametros!$B$18,N750)</f>
        <v/>
      </c>
      <c r="Q750" s="4" t="inlineStr">
        <is>
          <t>Documento confere com o registro</t>
        </is>
      </c>
    </row>
    <row r="751">
      <c r="A751" s="4" t="inlineStr">
        <is>
          <t>IMB-0515427</t>
        </is>
      </c>
      <c r="B751" s="4" t="inlineStr">
        <is>
          <t>DESENVOLVIMENTO_CAMPOS</t>
        </is>
      </c>
      <c r="C751" s="4" t="inlineStr">
        <is>
          <t>1.2.03.04.002</t>
        </is>
      </c>
      <c r="D751" s="4" t="inlineStr">
        <is>
          <t>GOMO</t>
        </is>
      </c>
      <c r="E751" s="4" t="inlineStr">
        <is>
          <t>WORKOVER / RECOMPLETACAO CAPITALIZADO</t>
        </is>
      </c>
      <c r="F751" s="4" t="inlineStr">
        <is>
          <t>INFERIOR</t>
        </is>
      </c>
      <c r="G751" s="4" t="n">
        <v>1</v>
      </c>
      <c r="H751" s="5" t="n">
        <v>5914152906.838175</v>
      </c>
      <c r="I751" s="5" t="n">
        <v>5914154044.669922</v>
      </c>
      <c r="J751" s="5" t="n">
        <v>1737.18</v>
      </c>
      <c r="K751" s="4" t="inlineStr">
        <is>
          <t>S</t>
        </is>
      </c>
      <c r="L751" s="4" t="inlineStr">
        <is>
          <t>2025-04-25</t>
        </is>
      </c>
      <c r="M751" s="5" t="n">
        <v>1737.18</v>
      </c>
      <c r="N751" s="5">
        <f>J751-M751</f>
        <v/>
      </c>
      <c r="O751" s="6">
        <f>IF(F751="INFERIOR",N751/J751,"")</f>
        <v/>
      </c>
      <c r="P751" s="5">
        <f>IF(F751="INFERIOR",O751*MUS_parametros!$B$18,N751)</f>
        <v/>
      </c>
      <c r="Q751" s="4" t="inlineStr">
        <is>
          <t>Documento confere com o registro</t>
        </is>
      </c>
    </row>
    <row r="752">
      <c r="A752" s="4" t="inlineStr">
        <is>
          <t>IMB-0516015</t>
        </is>
      </c>
      <c r="B752" s="4" t="inlineStr">
        <is>
          <t>MAQUINAS_EQUIPAMENTOS</t>
        </is>
      </c>
      <c r="C752" s="4" t="inlineStr">
        <is>
          <t>1.2.03.01.004</t>
        </is>
      </c>
      <c r="D752" s="4" t="inlineStr">
        <is>
          <t>UPGN GUAMARE</t>
        </is>
      </c>
      <c r="E752" s="4" t="inlineStr">
        <is>
          <t>MODULO DE PROCESSAMENTO UPGN III</t>
        </is>
      </c>
      <c r="F752" s="4" t="inlineStr">
        <is>
          <t>INFERIOR</t>
        </is>
      </c>
      <c r="G752" s="4" t="n">
        <v>1</v>
      </c>
      <c r="H752" s="5" t="n">
        <v>5919885906.838175</v>
      </c>
      <c r="I752" s="5" t="n">
        <v>5919979708.58992</v>
      </c>
      <c r="J752" s="5" t="n">
        <v>701771.01</v>
      </c>
      <c r="K752" s="4" t="inlineStr">
        <is>
          <t>S</t>
        </is>
      </c>
      <c r="L752" s="4" t="inlineStr">
        <is>
          <t>2025-09-30</t>
        </is>
      </c>
      <c r="M752" s="5" t="n">
        <v>701771.01</v>
      </c>
      <c r="N752" s="5">
        <f>J752-M752</f>
        <v/>
      </c>
      <c r="O752" s="6">
        <f>IF(F752="INFERIOR",N752/J752,"")</f>
        <v/>
      </c>
      <c r="P752" s="5">
        <f>IF(F752="INFERIOR",O752*MUS_parametros!$B$18,N752)</f>
        <v/>
      </c>
      <c r="Q752" s="4" t="inlineStr">
        <is>
          <t>Documento confere com o registro</t>
        </is>
      </c>
    </row>
    <row r="753">
      <c r="A753" s="4" t="inlineStr">
        <is>
          <t>IMB-0516765</t>
        </is>
      </c>
      <c r="B753" s="4" t="inlineStr">
        <is>
          <t>DESENVOLVIMENTO_CAMPOS</t>
        </is>
      </c>
      <c r="C753" s="4" t="inlineStr">
        <is>
          <t>1.2.03.04.004</t>
        </is>
      </c>
      <c r="D753" s="4" t="inlineStr">
        <is>
          <t>BAIXA DO ALGODAO</t>
        </is>
      </c>
      <c r="E753" s="4" t="inlineStr">
        <is>
          <t>LINHA DE SURGENCIA E MANIFOLD</t>
        </is>
      </c>
      <c r="F753" s="4" t="inlineStr">
        <is>
          <t>INFERIOR</t>
        </is>
      </c>
      <c r="G753" s="4" t="n">
        <v>1</v>
      </c>
      <c r="H753" s="5" t="n">
        <v>5925618906.838175</v>
      </c>
      <c r="I753" s="5" t="n">
        <v>5925618940.849911</v>
      </c>
      <c r="J753" s="5" t="n">
        <v>2160.38</v>
      </c>
      <c r="K753" s="4" t="inlineStr">
        <is>
          <t>S</t>
        </is>
      </c>
      <c r="L753" s="4" t="inlineStr">
        <is>
          <t>2025-11-17</t>
        </is>
      </c>
      <c r="M753" s="5" t="n">
        <v>2160.38</v>
      </c>
      <c r="N753" s="5">
        <f>J753-M753</f>
        <v/>
      </c>
      <c r="O753" s="6">
        <f>IF(F753="INFERIOR",N753/J753,"")</f>
        <v/>
      </c>
      <c r="P753" s="5">
        <f>IF(F753="INFERIOR",O753*MUS_parametros!$B$18,N753)</f>
        <v/>
      </c>
      <c r="Q753" s="4" t="inlineStr">
        <is>
          <t>Documento confere com o registro</t>
        </is>
      </c>
    </row>
    <row r="754">
      <c r="A754" s="4" t="inlineStr">
        <is>
          <t>IMB-0517782</t>
        </is>
      </c>
      <c r="B754" s="4" t="inlineStr">
        <is>
          <t>ALMOXARIFADO_INVERSOES_FIXAS</t>
        </is>
      </c>
      <c r="C754" s="4" t="inlineStr">
        <is>
          <t>1.2.03.07.001</t>
        </is>
      </c>
      <c r="D754" s="4" t="inlineStr">
        <is>
          <t>POT-CONC-01 (SINTETICO)</t>
        </is>
      </c>
      <c r="E754" s="4" t="inlineStr">
        <is>
          <t>TUBO DE REVESTIMENTO/PRODUCAO (LOTE)</t>
        </is>
      </c>
      <c r="F754" s="4" t="inlineStr">
        <is>
          <t>INFERIOR</t>
        </is>
      </c>
      <c r="G754" s="4" t="n">
        <v>1</v>
      </c>
      <c r="H754" s="5" t="n">
        <v>5931351906.838175</v>
      </c>
      <c r="I754" s="5" t="n">
        <v>5931363929.909902</v>
      </c>
      <c r="J754" s="5" t="n">
        <v>15206.3</v>
      </c>
      <c r="K754" s="4" t="inlineStr">
        <is>
          <t>S</t>
        </is>
      </c>
      <c r="L754" s="4" t="inlineStr">
        <is>
          <t>2025-01-26</t>
        </is>
      </c>
      <c r="M754" s="5" t="n">
        <v>15206.3</v>
      </c>
      <c r="N754" s="5">
        <f>J754-M754</f>
        <v/>
      </c>
      <c r="O754" s="6">
        <f>IF(F754="INFERIOR",N754/J754,"")</f>
        <v/>
      </c>
      <c r="P754" s="5">
        <f>IF(F754="INFERIOR",O754*MUS_parametros!$B$18,N754)</f>
        <v/>
      </c>
      <c r="Q754" s="4" t="inlineStr">
        <is>
          <t>Documento confere com o registro</t>
        </is>
      </c>
    </row>
    <row r="755">
      <c r="A755" s="4" t="inlineStr">
        <is>
          <t>IMB-0518618</t>
        </is>
      </c>
      <c r="B755" s="4" t="inlineStr">
        <is>
          <t>DESENVOLVIMENTO_CAMPOS</t>
        </is>
      </c>
      <c r="C755" s="4" t="inlineStr">
        <is>
          <t>1.2.03.04.001</t>
        </is>
      </c>
      <c r="D755" s="4" t="inlineStr">
        <is>
          <t>JACUIPE</t>
        </is>
      </c>
      <c r="E755" s="4" t="inlineStr">
        <is>
          <t>PERFURACAO E COMPLETACAO</t>
        </is>
      </c>
      <c r="F755" s="4" t="inlineStr">
        <is>
          <t>INFERIOR</t>
        </is>
      </c>
      <c r="G755" s="4" t="n">
        <v>1</v>
      </c>
      <c r="H755" s="5" t="n">
        <v>5937084906.838175</v>
      </c>
      <c r="I755" s="5" t="n">
        <v>5937106295.179889</v>
      </c>
      <c r="J755" s="5" t="n">
        <v>156066.61</v>
      </c>
      <c r="K755" s="4" t="inlineStr">
        <is>
          <t>S</t>
        </is>
      </c>
      <c r="L755" s="4" t="inlineStr">
        <is>
          <t>2024-08-03</t>
        </is>
      </c>
      <c r="M755" s="5" t="n">
        <v>156066.61</v>
      </c>
      <c r="N755" s="5">
        <f>J755-M755</f>
        <v/>
      </c>
      <c r="O755" s="6">
        <f>IF(F755="INFERIOR",N755/J755,"")</f>
        <v/>
      </c>
      <c r="P755" s="5">
        <f>IF(F755="INFERIOR",O755*MUS_parametros!$B$18,N755)</f>
        <v/>
      </c>
      <c r="Q755" s="4" t="inlineStr">
        <is>
          <t>Documento confere com o registro</t>
        </is>
      </c>
    </row>
    <row r="756">
      <c r="A756" s="4" t="inlineStr">
        <is>
          <t>IMB-0519142</t>
        </is>
      </c>
      <c r="B756" s="4" t="inlineStr">
        <is>
          <t>DESENVOLVIMENTO_CAMPOS</t>
        </is>
      </c>
      <c r="C756" s="4" t="inlineStr">
        <is>
          <t>1.2.03.04.001</t>
        </is>
      </c>
      <c r="D756" s="4" t="inlineStr">
        <is>
          <t>TIE</t>
        </is>
      </c>
      <c r="E756" s="4" t="inlineStr">
        <is>
          <t>PERFURACAO E COMPLETACAO</t>
        </is>
      </c>
      <c r="F756" s="4" t="inlineStr">
        <is>
          <t>INFERIOR</t>
        </is>
      </c>
      <c r="G756" s="4" t="n">
        <v>1</v>
      </c>
      <c r="H756" s="5" t="n">
        <v>5942817906.838175</v>
      </c>
      <c r="I756" s="5" t="n">
        <v>5942924573.539884</v>
      </c>
      <c r="J756" s="5" t="n">
        <v>3586761.45</v>
      </c>
      <c r="K756" s="4" t="inlineStr">
        <is>
          <t>S</t>
        </is>
      </c>
      <c r="L756" s="4" t="inlineStr">
        <is>
          <t>2025-05-09</t>
        </is>
      </c>
      <c r="M756" s="5" t="n">
        <v>3586761.45</v>
      </c>
      <c r="N756" s="5">
        <f>J756-M756</f>
        <v/>
      </c>
      <c r="O756" s="6">
        <f>IF(F756="INFERIOR",N756/J756,"")</f>
        <v/>
      </c>
      <c r="P756" s="5">
        <f>IF(F756="INFERIOR",O756*MUS_parametros!$B$18,N756)</f>
        <v/>
      </c>
      <c r="Q756" s="4" t="inlineStr">
        <is>
          <t>Documento confere com o registro</t>
        </is>
      </c>
    </row>
    <row r="757">
      <c r="A757" s="4" t="inlineStr">
        <is>
          <t>IMB-0519831</t>
        </is>
      </c>
      <c r="B757" s="4" t="inlineStr">
        <is>
          <t>DESENVOLVIMENTO_CAMPOS</t>
        </is>
      </c>
      <c r="C757" s="4" t="inlineStr">
        <is>
          <t>1.2.03.04.002</t>
        </is>
      </c>
      <c r="D757" s="4" t="inlineStr">
        <is>
          <t>POT-CONC-07 (SINTETICO)</t>
        </is>
      </c>
      <c r="E757" s="4" t="inlineStr">
        <is>
          <t>FRATURAMENTO / ESTIMULACAO CAPITALIZADA</t>
        </is>
      </c>
      <c r="F757" s="4" t="inlineStr">
        <is>
          <t>INFERIOR</t>
        </is>
      </c>
      <c r="G757" s="4" t="n">
        <v>1</v>
      </c>
      <c r="H757" s="5" t="n">
        <v>5948550906.838175</v>
      </c>
      <c r="I757" s="5" t="n">
        <v>5948559283.689878</v>
      </c>
      <c r="J757" s="5" t="n">
        <v>10031.46</v>
      </c>
      <c r="K757" s="4" t="inlineStr">
        <is>
          <t>S</t>
        </is>
      </c>
      <c r="L757" s="4" t="inlineStr">
        <is>
          <t>2025-04-18</t>
        </is>
      </c>
      <c r="M757" s="5" t="n">
        <v>10031.46</v>
      </c>
      <c r="N757" s="5">
        <f>J757-M757</f>
        <v/>
      </c>
      <c r="O757" s="6">
        <f>IF(F757="INFERIOR",N757/J757,"")</f>
        <v/>
      </c>
      <c r="P757" s="5">
        <f>IF(F757="INFERIOR",O757*MUS_parametros!$B$18,N757)</f>
        <v/>
      </c>
      <c r="Q757" s="4" t="inlineStr">
        <is>
          <t>Documento confere com o registro</t>
        </is>
      </c>
    </row>
    <row r="758">
      <c r="A758" s="4" t="inlineStr">
        <is>
          <t>IMB-0519950</t>
        </is>
      </c>
      <c r="B758" s="4" t="inlineStr">
        <is>
          <t>DESENVOLVIMENTO_CAMPOS</t>
        </is>
      </c>
      <c r="C758" s="4" t="inlineStr">
        <is>
          <t>1.2.03.04.001</t>
        </is>
      </c>
      <c r="D758" s="4" t="inlineStr">
        <is>
          <t>TIE</t>
        </is>
      </c>
      <c r="E758" s="4" t="inlineStr">
        <is>
          <t>PERFURACAO E COMPLETACAO</t>
        </is>
      </c>
      <c r="F758" s="4" t="inlineStr">
        <is>
          <t>SUPERIOR (VC &gt;= I)</t>
        </is>
      </c>
      <c r="G758" s="4" t="n">
        <v>1</v>
      </c>
      <c r="H758" s="5" t="n">
        <v>5954283906.838175</v>
      </c>
      <c r="I758" s="5" t="n">
        <v>5959198380.989882</v>
      </c>
      <c r="J758" s="5" t="n">
        <v>9790575.939999999</v>
      </c>
      <c r="K758" s="4" t="inlineStr">
        <is>
          <t>S</t>
        </is>
      </c>
      <c r="L758" s="4" t="inlineStr">
        <is>
          <t>2025-07-30</t>
        </is>
      </c>
      <c r="M758" s="5" t="n">
        <v>9790575.939999999</v>
      </c>
      <c r="N758" s="5">
        <f>J758-M758</f>
        <v/>
      </c>
      <c r="O758" s="6">
        <f>IF(F758="INFERIOR",N758/J758,"")</f>
        <v/>
      </c>
      <c r="P758" s="5">
        <f>IF(F758="INFERIOR",O758*MUS_parametros!$B$18,N758)</f>
        <v/>
      </c>
      <c r="Q758" s="4" t="inlineStr">
        <is>
          <t>Documento confere com o registro</t>
        </is>
      </c>
    </row>
    <row r="759">
      <c r="A759" s="4" t="inlineStr">
        <is>
          <t>IMB-0520200</t>
        </is>
      </c>
      <c r="B759" s="4" t="inlineStr">
        <is>
          <t>MAQUINAS_EQUIPAMENTOS</t>
        </is>
      </c>
      <c r="C759" s="4" t="inlineStr">
        <is>
          <t>1.2.03.01.005</t>
        </is>
      </c>
      <c r="D759" s="4" t="inlineStr">
        <is>
          <t>POT-CONC-19 (SINTETICO)</t>
        </is>
      </c>
      <c r="E759" s="4" t="inlineStr">
        <is>
          <t>FERRAMENTA/EQUIPAMENTO DE CAMPO</t>
        </is>
      </c>
      <c r="F759" s="4" t="inlineStr">
        <is>
          <t>INFERIOR</t>
        </is>
      </c>
      <c r="G759" s="4" t="n">
        <v>1</v>
      </c>
      <c r="H759" s="5" t="n">
        <v>5960016906.838175</v>
      </c>
      <c r="I759" s="5" t="n">
        <v>5960019483.979891</v>
      </c>
      <c r="J759" s="5" t="n">
        <v>4289.89</v>
      </c>
      <c r="K759" s="4" t="inlineStr">
        <is>
          <t>S</t>
        </is>
      </c>
      <c r="L759" s="4" t="inlineStr">
        <is>
          <t>2021-09-21</t>
        </is>
      </c>
      <c r="M759" s="5" t="n">
        <v>4289.89</v>
      </c>
      <c r="N759" s="5">
        <f>J759-M759</f>
        <v/>
      </c>
      <c r="O759" s="6">
        <f>IF(F759="INFERIOR",N759/J759,"")</f>
        <v/>
      </c>
      <c r="P759" s="5">
        <f>IF(F759="INFERIOR",O759*MUS_parametros!$B$18,N759)</f>
        <v/>
      </c>
      <c r="Q759" s="4" t="inlineStr">
        <is>
          <t>Documento confere com o registro</t>
        </is>
      </c>
    </row>
    <row r="760">
      <c r="A760" s="4" t="inlineStr">
        <is>
          <t>IMB-0521326</t>
        </is>
      </c>
      <c r="B760" s="4" t="inlineStr">
        <is>
          <t>DESENVOLVIMENTO_CAMPOS</t>
        </is>
      </c>
      <c r="C760" s="4" t="inlineStr">
        <is>
          <t>1.2.03.04.002</t>
        </is>
      </c>
      <c r="D760" s="4" t="inlineStr">
        <is>
          <t>MATA DE SAO JOAO</t>
        </is>
      </c>
      <c r="E760" s="4" t="inlineStr">
        <is>
          <t>WORKOVER / RECOMPLETACAO CAPITALIZADO</t>
        </is>
      </c>
      <c r="F760" s="4" t="inlineStr">
        <is>
          <t>INFERIOR</t>
        </is>
      </c>
      <c r="G760" s="4" t="n">
        <v>1</v>
      </c>
      <c r="H760" s="5" t="n">
        <v>5965749906.838175</v>
      </c>
      <c r="I760" s="5" t="n">
        <v>5965751923.199883</v>
      </c>
      <c r="J760" s="5" t="n">
        <v>13986.91</v>
      </c>
      <c r="K760" s="4" t="inlineStr">
        <is>
          <t>S</t>
        </is>
      </c>
      <c r="L760" s="4" t="inlineStr">
        <is>
          <t>2025-10-23</t>
        </is>
      </c>
      <c r="M760" s="5" t="n">
        <v>13986.91</v>
      </c>
      <c r="N760" s="5">
        <f>J760-M760</f>
        <v/>
      </c>
      <c r="O760" s="6">
        <f>IF(F760="INFERIOR",N760/J760,"")</f>
        <v/>
      </c>
      <c r="P760" s="5">
        <f>IF(F760="INFERIOR",O760*MUS_parametros!$B$18,N760)</f>
        <v/>
      </c>
      <c r="Q760" s="4" t="inlineStr">
        <is>
          <t>Documento confere com o registro</t>
        </is>
      </c>
    </row>
    <row r="761">
      <c r="A761" s="4" t="inlineStr">
        <is>
          <t>IMB-0522242</t>
        </is>
      </c>
      <c r="B761" s="4" t="inlineStr">
        <is>
          <t>MAQUINAS_EQUIPAMENTOS</t>
        </is>
      </c>
      <c r="C761" s="4" t="inlineStr">
        <is>
          <t>1.2.03.01.003</t>
        </is>
      </c>
      <c r="D761" s="4" t="inlineStr">
        <is>
          <t>SUSSUARANA</t>
        </is>
      </c>
      <c r="E761" s="4" t="inlineStr">
        <is>
          <t>COMPRESSOR/SEPARADOR/TANQUE/FACILITY</t>
        </is>
      </c>
      <c r="F761" s="4" t="inlineStr">
        <is>
          <t>INFERIOR</t>
        </is>
      </c>
      <c r="G761" s="4" t="n">
        <v>1</v>
      </c>
      <c r="H761" s="5" t="n">
        <v>5971482906.838175</v>
      </c>
      <c r="I761" s="5" t="n">
        <v>5971490756.189888</v>
      </c>
      <c r="J761" s="5" t="n">
        <v>50517.46</v>
      </c>
      <c r="K761" s="4" t="inlineStr">
        <is>
          <t>S</t>
        </is>
      </c>
      <c r="L761" s="4" t="inlineStr">
        <is>
          <t>2025-05-03</t>
        </is>
      </c>
      <c r="M761" s="5" t="n">
        <v>50517.46</v>
      </c>
      <c r="N761" s="5">
        <f>J761-M761</f>
        <v/>
      </c>
      <c r="O761" s="6">
        <f>IF(F761="INFERIOR",N761/J761,"")</f>
        <v/>
      </c>
      <c r="P761" s="5">
        <f>IF(F761="INFERIOR",O761*MUS_parametros!$B$18,N761)</f>
        <v/>
      </c>
      <c r="Q761" s="4" t="inlineStr">
        <is>
          <t>Documento confere com o registro</t>
        </is>
      </c>
    </row>
    <row r="762">
      <c r="A762" s="4" t="inlineStr">
        <is>
          <t>IMB-0522893</t>
        </is>
      </c>
      <c r="B762" s="4" t="inlineStr">
        <is>
          <t>ALMOXARIFADO_INVERSOES_FIXAS</t>
        </is>
      </c>
      <c r="C762" s="4" t="inlineStr">
        <is>
          <t>1.2.03.07.002</t>
        </is>
      </c>
      <c r="D762" s="4" t="inlineStr">
        <is>
          <t>JACUIPE</t>
        </is>
      </c>
      <c r="E762" s="4" t="inlineStr">
        <is>
          <t>HASTE DE BOMBEIO (LOTE)</t>
        </is>
      </c>
      <c r="F762" s="4" t="inlineStr">
        <is>
          <t>INFERIOR</t>
        </is>
      </c>
      <c r="G762" s="4" t="n">
        <v>1</v>
      </c>
      <c r="H762" s="5" t="n">
        <v>5977215906.838175</v>
      </c>
      <c r="I762" s="5" t="n">
        <v>5977216235.989883</v>
      </c>
      <c r="J762" s="5" t="n">
        <v>1177.53</v>
      </c>
      <c r="K762" s="4" t="inlineStr">
        <is>
          <t>S</t>
        </is>
      </c>
      <c r="L762" s="4" t="inlineStr">
        <is>
          <t>2023-08-06</t>
        </is>
      </c>
      <c r="M762" s="5" t="n">
        <v>1177.53</v>
      </c>
      <c r="N762" s="5">
        <f>J762-M762</f>
        <v/>
      </c>
      <c r="O762" s="6">
        <f>IF(F762="INFERIOR",N762/J762,"")</f>
        <v/>
      </c>
      <c r="P762" s="5">
        <f>IF(F762="INFERIOR",O762*MUS_parametros!$B$18,N762)</f>
        <v/>
      </c>
      <c r="Q762" s="4" t="inlineStr">
        <is>
          <t>Documento confere com o registro</t>
        </is>
      </c>
    </row>
    <row r="763">
      <c r="A763" s="4" t="inlineStr">
        <is>
          <t>IMB-0522989</t>
        </is>
      </c>
      <c r="B763" s="4" t="inlineStr">
        <is>
          <t>DIREITO_PRODUCAO_OLEO_GAS</t>
        </is>
      </c>
      <c r="C763" s="4" t="inlineStr">
        <is>
          <t>1.2.03.03.003</t>
        </is>
      </c>
      <c r="D763" s="4" t="inlineStr">
        <is>
          <t>MIRANGA</t>
        </is>
      </c>
      <c r="E763" s="4" t="inlineStr">
        <is>
          <t>CUSTO DE AQUISICAO DA CONCESSAO</t>
        </is>
      </c>
      <c r="F763" s="4" t="inlineStr">
        <is>
          <t>SUPERIOR (VC &gt;= I)</t>
        </is>
      </c>
      <c r="G763" s="4" t="n">
        <v>4</v>
      </c>
      <c r="H763" s="5" t="n">
        <v>5982948906.838175</v>
      </c>
      <c r="I763" s="5" t="n">
        <v>6005233739.409885</v>
      </c>
      <c r="J763" s="5" t="n">
        <v>27373987.44</v>
      </c>
      <c r="K763" s="4" t="inlineStr">
        <is>
          <t>S</t>
        </is>
      </c>
      <c r="L763" s="4" t="inlineStr">
        <is>
          <t>2021-12-07</t>
        </is>
      </c>
      <c r="M763" s="5" t="n">
        <v>27373987.44</v>
      </c>
      <c r="N763" s="5">
        <f>J763-M763</f>
        <v/>
      </c>
      <c r="O763" s="6">
        <f>IF(F763="INFERIOR",N763/J763,"")</f>
        <v/>
      </c>
      <c r="P763" s="5">
        <f>IF(F763="INFERIOR",O763*MUS_parametros!$B$18,N763)</f>
        <v/>
      </c>
      <c r="Q763" s="4" t="inlineStr">
        <is>
          <t>Documento confere com o registro</t>
        </is>
      </c>
    </row>
    <row r="764">
      <c r="A764" s="4" t="inlineStr">
        <is>
          <t>IMB-0523111</t>
        </is>
      </c>
      <c r="B764" s="4" t="inlineStr">
        <is>
          <t>DESENVOLVIMENTO_CAMPOS</t>
        </is>
      </c>
      <c r="C764" s="4" t="inlineStr">
        <is>
          <t>1.2.03.04.004</t>
        </is>
      </c>
      <c r="D764" s="4" t="inlineStr">
        <is>
          <t>POT-CONC-04 (SINTETICO)</t>
        </is>
      </c>
      <c r="E764" s="4" t="inlineStr">
        <is>
          <t>LINHA DE SURGENCIA E MANIFOLD</t>
        </is>
      </c>
      <c r="F764" s="4" t="inlineStr">
        <is>
          <t>INFERIOR</t>
        </is>
      </c>
      <c r="G764" s="4" t="n">
        <v>1</v>
      </c>
      <c r="H764" s="5" t="n">
        <v>6005880906.838175</v>
      </c>
      <c r="I764" s="5" t="n">
        <v>6005884054.179884</v>
      </c>
      <c r="J764" s="5" t="n">
        <v>7610.87</v>
      </c>
      <c r="K764" s="4" t="inlineStr">
        <is>
          <t>S</t>
        </is>
      </c>
      <c r="L764" s="4" t="inlineStr">
        <is>
          <t>2025-04-07</t>
        </is>
      </c>
      <c r="M764" s="5" t="n">
        <v>7610.87</v>
      </c>
      <c r="N764" s="5">
        <f>J764-M764</f>
        <v/>
      </c>
      <c r="O764" s="6">
        <f>IF(F764="INFERIOR",N764/J764,"")</f>
        <v/>
      </c>
      <c r="P764" s="5">
        <f>IF(F764="INFERIOR",O764*MUS_parametros!$B$18,N764)</f>
        <v/>
      </c>
      <c r="Q764" s="4" t="inlineStr">
        <is>
          <t>Documento confere com o registro</t>
        </is>
      </c>
    </row>
    <row r="765">
      <c r="A765" s="4" t="inlineStr">
        <is>
          <t>IMB-0523954</t>
        </is>
      </c>
      <c r="B765" s="4" t="inlineStr">
        <is>
          <t>DESENVOLVIMENTO_CAMPOS</t>
        </is>
      </c>
      <c r="C765" s="4" t="inlineStr">
        <is>
          <t>1.2.03.04.001</t>
        </is>
      </c>
      <c r="D765" s="4" t="inlineStr">
        <is>
          <t>MATA DE SAO JOAO</t>
        </is>
      </c>
      <c r="E765" s="4" t="inlineStr">
        <is>
          <t>PERFURACAO E COMPLETACAO</t>
        </is>
      </c>
      <c r="F765" s="4" t="inlineStr">
        <is>
          <t>INFERIOR</t>
        </is>
      </c>
      <c r="G765" s="4" t="n">
        <v>1</v>
      </c>
      <c r="H765" s="5" t="n">
        <v>6011613906.838175</v>
      </c>
      <c r="I765" s="5" t="n">
        <v>6011732906.539877</v>
      </c>
      <c r="J765" s="5" t="n">
        <v>156719.45</v>
      </c>
      <c r="K765" s="4" t="inlineStr">
        <is>
          <t>S</t>
        </is>
      </c>
      <c r="L765" s="4" t="inlineStr">
        <is>
          <t>2025-10-19</t>
        </is>
      </c>
      <c r="M765" s="5" t="n">
        <v>156719.45</v>
      </c>
      <c r="N765" s="5">
        <f>J765-M765</f>
        <v/>
      </c>
      <c r="O765" s="6">
        <f>IF(F765="INFERIOR",N765/J765,"")</f>
        <v/>
      </c>
      <c r="P765" s="5">
        <f>IF(F765="INFERIOR",O765*MUS_parametros!$B$18,N765)</f>
        <v/>
      </c>
      <c r="Q765" s="4" t="inlineStr">
        <is>
          <t>Documento confere com o registro</t>
        </is>
      </c>
    </row>
    <row r="766">
      <c r="A766" s="4" t="inlineStr">
        <is>
          <t>IMB-0524741</t>
        </is>
      </c>
      <c r="B766" s="4" t="inlineStr">
        <is>
          <t>DESENVOLVIMENTO_CAMPOS</t>
        </is>
      </c>
      <c r="C766" s="4" t="inlineStr">
        <is>
          <t>1.2.03.04.002</t>
        </is>
      </c>
      <c r="D766" s="4" t="inlineStr">
        <is>
          <t>POT-CONC-07 (SINTETICO)</t>
        </is>
      </c>
      <c r="E766" s="4" t="inlineStr">
        <is>
          <t>FRATURAMENTO / ESTIMULACAO CAPITALIZADA</t>
        </is>
      </c>
      <c r="F766" s="4" t="inlineStr">
        <is>
          <t>INFERIOR</t>
        </is>
      </c>
      <c r="G766" s="4" t="n">
        <v>1</v>
      </c>
      <c r="H766" s="5" t="n">
        <v>6017346906.838175</v>
      </c>
      <c r="I766" s="5" t="n">
        <v>6017347904.949877</v>
      </c>
      <c r="J766" s="5" t="n">
        <v>3512.24</v>
      </c>
      <c r="K766" s="4" t="inlineStr">
        <is>
          <t>S</t>
        </is>
      </c>
      <c r="L766" s="4" t="inlineStr">
        <is>
          <t>2025-03-26</t>
        </is>
      </c>
      <c r="M766" s="5" t="n">
        <v>3512.24</v>
      </c>
      <c r="N766" s="5">
        <f>J766-M766</f>
        <v/>
      </c>
      <c r="O766" s="6">
        <f>IF(F766="INFERIOR",N766/J766,"")</f>
        <v/>
      </c>
      <c r="P766" s="5">
        <f>IF(F766="INFERIOR",O766*MUS_parametros!$B$18,N766)</f>
        <v/>
      </c>
      <c r="Q766" s="4" t="inlineStr">
        <is>
          <t>Documento confere com o registro</t>
        </is>
      </c>
    </row>
    <row r="767">
      <c r="A767" s="4" t="inlineStr">
        <is>
          <t>IMB-0525521</t>
        </is>
      </c>
      <c r="B767" s="4" t="inlineStr">
        <is>
          <t>ALMOXARIFADO_INVERSOES_FIXAS</t>
        </is>
      </c>
      <c r="C767" s="4" t="inlineStr">
        <is>
          <t>1.2.03.07.002</t>
        </is>
      </c>
      <c r="D767" s="4" t="inlineStr">
        <is>
          <t>REMANSO</t>
        </is>
      </c>
      <c r="E767" s="4" t="inlineStr">
        <is>
          <t>BOMBA DE FUNDO EM ESTOQUE</t>
        </is>
      </c>
      <c r="F767" s="4" t="inlineStr">
        <is>
          <t>INFERIOR</t>
        </is>
      </c>
      <c r="G767" s="4" t="n">
        <v>1</v>
      </c>
      <c r="H767" s="5" t="n">
        <v>6023079906.838175</v>
      </c>
      <c r="I767" s="5" t="n">
        <v>6023081444.669877</v>
      </c>
      <c r="J767" s="5" t="n">
        <v>3282.96</v>
      </c>
      <c r="K767" s="4" t="inlineStr">
        <is>
          <t>S</t>
        </is>
      </c>
      <c r="L767" s="4" t="inlineStr">
        <is>
          <t>2024-08-20</t>
        </is>
      </c>
      <c r="M767" s="5" t="n">
        <v>3282.96</v>
      </c>
      <c r="N767" s="5">
        <f>J767-M767</f>
        <v/>
      </c>
      <c r="O767" s="6">
        <f>IF(F767="INFERIOR",N767/J767,"")</f>
        <v/>
      </c>
      <c r="P767" s="5">
        <f>IF(F767="INFERIOR",O767*MUS_parametros!$B$18,N767)</f>
        <v/>
      </c>
      <c r="Q767" s="4" t="inlineStr">
        <is>
          <t>Documento confere com o registro</t>
        </is>
      </c>
    </row>
    <row r="768">
      <c r="A768" s="4" t="inlineStr">
        <is>
          <t>IMB-0526314</t>
        </is>
      </c>
      <c r="B768" s="4" t="inlineStr">
        <is>
          <t>DESENVOLVIMENTO_CAMPOS</t>
        </is>
      </c>
      <c r="C768" s="4" t="inlineStr">
        <is>
          <t>1.2.03.04.001</t>
        </is>
      </c>
      <c r="D768" s="4" t="inlineStr">
        <is>
          <t>POT-CONC-08 (SINTETICO)</t>
        </is>
      </c>
      <c r="E768" s="4" t="inlineStr">
        <is>
          <t>PERFURACAO E COMPLETACAO</t>
        </is>
      </c>
      <c r="F768" s="4" t="inlineStr">
        <is>
          <t>INFERIOR</t>
        </is>
      </c>
      <c r="G768" s="4" t="n">
        <v>1</v>
      </c>
      <c r="H768" s="5" t="n">
        <v>6028812906.838175</v>
      </c>
      <c r="I768" s="5" t="n">
        <v>6028874348.859872</v>
      </c>
      <c r="J768" s="5" t="n">
        <v>369598.23</v>
      </c>
      <c r="K768" s="4" t="inlineStr">
        <is>
          <t>S</t>
        </is>
      </c>
      <c r="L768" s="4" t="inlineStr">
        <is>
          <t>2025-03-20</t>
        </is>
      </c>
      <c r="M768" s="5" t="n">
        <v>369598.23</v>
      </c>
      <c r="N768" s="5">
        <f>J768-M768</f>
        <v/>
      </c>
      <c r="O768" s="6">
        <f>IF(F768="INFERIOR",N768/J768,"")</f>
        <v/>
      </c>
      <c r="P768" s="5">
        <f>IF(F768="INFERIOR",O768*MUS_parametros!$B$18,N768)</f>
        <v/>
      </c>
      <c r="Q768" s="4" t="inlineStr">
        <is>
          <t>Documento confere com o registro</t>
        </is>
      </c>
    </row>
    <row r="769">
      <c r="A769" s="4" t="inlineStr">
        <is>
          <t>IMB-0527419</t>
        </is>
      </c>
      <c r="B769" s="4" t="inlineStr">
        <is>
          <t>DESENVOLVIMENTO_CAMPOS</t>
        </is>
      </c>
      <c r="C769" s="4" t="inlineStr">
        <is>
          <t>1.2.03.04.001</t>
        </is>
      </c>
      <c r="D769" s="4" t="inlineStr">
        <is>
          <t>REMANSO</t>
        </is>
      </c>
      <c r="E769" s="4" t="inlineStr">
        <is>
          <t>PERFURACAO E COMPLETACAO</t>
        </is>
      </c>
      <c r="F769" s="4" t="inlineStr">
        <is>
          <t>INFERIOR</t>
        </is>
      </c>
      <c r="G769" s="4" t="n">
        <v>1</v>
      </c>
      <c r="H769" s="5" t="n">
        <v>6034545906.838175</v>
      </c>
      <c r="I769" s="5" t="n">
        <v>6034747551.37986</v>
      </c>
      <c r="J769" s="5" t="n">
        <v>415783.05</v>
      </c>
      <c r="K769" s="4" t="inlineStr">
        <is>
          <t>S</t>
        </is>
      </c>
      <c r="L769" s="4" t="inlineStr">
        <is>
          <t>2024-10-03</t>
        </is>
      </c>
      <c r="M769" s="5" t="n">
        <v>415783.05</v>
      </c>
      <c r="N769" s="5">
        <f>J769-M769</f>
        <v/>
      </c>
      <c r="O769" s="6">
        <f>IF(F769="INFERIOR",N769/J769,"")</f>
        <v/>
      </c>
      <c r="P769" s="5">
        <f>IF(F769="INFERIOR",O769*MUS_parametros!$B$18,N769)</f>
        <v/>
      </c>
      <c r="Q769" s="4" t="inlineStr">
        <is>
          <t>Documento confere com o registro</t>
        </is>
      </c>
    </row>
    <row r="770">
      <c r="A770" s="4" t="inlineStr">
        <is>
          <t>IMB-0528188</t>
        </is>
      </c>
      <c r="B770" s="4" t="inlineStr">
        <is>
          <t>MAQUINAS_EQUIPAMENTOS</t>
        </is>
      </c>
      <c r="C770" s="4" t="inlineStr">
        <is>
          <t>1.2.03.01.003</t>
        </is>
      </c>
      <c r="D770" s="4" t="inlineStr">
        <is>
          <t>POT-CONC-01 (SINTETICO)</t>
        </is>
      </c>
      <c r="E770" s="4" t="inlineStr">
        <is>
          <t>COMPRESSOR/SEPARADOR/TANQUE/FACILITY</t>
        </is>
      </c>
      <c r="F770" s="4" t="inlineStr">
        <is>
          <t>INFERIOR</t>
        </is>
      </c>
      <c r="G770" s="4" t="n">
        <v>1</v>
      </c>
      <c r="H770" s="5" t="n">
        <v>6040278906.838175</v>
      </c>
      <c r="I770" s="5" t="n">
        <v>6040284047.129855</v>
      </c>
      <c r="J770" s="5" t="n">
        <v>9391.41</v>
      </c>
      <c r="K770" s="4" t="inlineStr">
        <is>
          <t>S</t>
        </is>
      </c>
      <c r="L770" s="4" t="inlineStr">
        <is>
          <t>2017-08-11</t>
        </is>
      </c>
      <c r="M770" s="5" t="n">
        <v>9391.41</v>
      </c>
      <c r="N770" s="5">
        <f>J770-M770</f>
        <v/>
      </c>
      <c r="O770" s="6">
        <f>IF(F770="INFERIOR",N770/J770,"")</f>
        <v/>
      </c>
      <c r="P770" s="5">
        <f>IF(F770="INFERIOR",O770*MUS_parametros!$B$18,N770)</f>
        <v/>
      </c>
      <c r="Q770" s="4" t="inlineStr">
        <is>
          <t>Documento confere com o registro</t>
        </is>
      </c>
    </row>
    <row r="771">
      <c r="A771" s="4" t="inlineStr">
        <is>
          <t>IMB-0528739</t>
        </is>
      </c>
      <c r="B771" s="4" t="inlineStr">
        <is>
          <t>DIREITO_PRODUCAO_OLEO_GAS</t>
        </is>
      </c>
      <c r="C771" s="4" t="inlineStr">
        <is>
          <t>1.2.03.03.003</t>
        </is>
      </c>
      <c r="D771" s="4" t="inlineStr">
        <is>
          <t>SUSSUARANA</t>
        </is>
      </c>
      <c r="E771" s="4" t="inlineStr">
        <is>
          <t>CUSTO DE AQUISICAO DA CONCESSAO</t>
        </is>
      </c>
      <c r="F771" s="4" t="inlineStr">
        <is>
          <t>SUPERIOR (VC &gt;= I)</t>
        </is>
      </c>
      <c r="G771" s="4" t="n">
        <v>17</v>
      </c>
      <c r="H771" s="5" t="n">
        <v>6046011906.838175</v>
      </c>
      <c r="I771" s="5" t="n">
        <v>6143316909.049851</v>
      </c>
      <c r="J771" s="5" t="n">
        <v>99360422.37</v>
      </c>
      <c r="K771" s="4" t="inlineStr">
        <is>
          <t>S</t>
        </is>
      </c>
      <c r="L771" s="4" t="inlineStr">
        <is>
          <t>2021-12-07</t>
        </is>
      </c>
      <c r="M771" s="5" t="n">
        <v>99360422.37</v>
      </c>
      <c r="N771" s="5">
        <f>J771-M771</f>
        <v/>
      </c>
      <c r="O771" s="6">
        <f>IF(F771="INFERIOR",N771/J771,"")</f>
        <v/>
      </c>
      <c r="P771" s="5">
        <f>IF(F771="INFERIOR",O771*MUS_parametros!$B$18,N771)</f>
        <v/>
      </c>
      <c r="Q771" s="4" t="inlineStr">
        <is>
          <t>Documento confere com o registro</t>
        </is>
      </c>
    </row>
    <row r="772">
      <c r="A772" s="4" t="inlineStr">
        <is>
          <t>IMB-0528798</t>
        </is>
      </c>
      <c r="B772" s="4" t="inlineStr">
        <is>
          <t>DESENVOLVIMENTO_CAMPOS</t>
        </is>
      </c>
      <c r="C772" s="4" t="inlineStr">
        <is>
          <t>1.2.03.04.003</t>
        </is>
      </c>
      <c r="D772" s="4" t="inlineStr">
        <is>
          <t>MATA DE SAO JOAO</t>
        </is>
      </c>
      <c r="E772" s="4" t="inlineStr">
        <is>
          <t>CABECA DE POCO / ARVORE DE NATAL</t>
        </is>
      </c>
      <c r="F772" s="4" t="inlineStr">
        <is>
          <t>INFERIOR</t>
        </is>
      </c>
      <c r="G772" s="4" t="n">
        <v>1</v>
      </c>
      <c r="H772" s="5" t="n">
        <v>6143472906.838175</v>
      </c>
      <c r="I772" s="5" t="n">
        <v>6143473581.549854</v>
      </c>
      <c r="J772" s="5" t="n">
        <v>1339.9</v>
      </c>
      <c r="K772" s="4" t="inlineStr">
        <is>
          <t>S</t>
        </is>
      </c>
      <c r="L772" s="4" t="inlineStr">
        <is>
          <t>2024-12-30</t>
        </is>
      </c>
      <c r="M772" s="5" t="n">
        <v>1339.9</v>
      </c>
      <c r="N772" s="5">
        <f>J772-M772</f>
        <v/>
      </c>
      <c r="O772" s="6">
        <f>IF(F772="INFERIOR",N772/J772,"")</f>
        <v/>
      </c>
      <c r="P772" s="5">
        <f>IF(F772="INFERIOR",O772*MUS_parametros!$B$18,N772)</f>
        <v/>
      </c>
      <c r="Q772" s="4" t="inlineStr">
        <is>
          <t>Documento confere com o registro</t>
        </is>
      </c>
    </row>
    <row r="773">
      <c r="A773" s="4" t="inlineStr">
        <is>
          <t>IMB-0529467</t>
        </is>
      </c>
      <c r="B773" s="4" t="inlineStr">
        <is>
          <t>DESENVOLVIMENTO_CAMPOS</t>
        </is>
      </c>
      <c r="C773" s="4" t="inlineStr">
        <is>
          <t>1.2.03.04.002</t>
        </is>
      </c>
      <c r="D773" s="4" t="inlineStr">
        <is>
          <t>JACUIPE</t>
        </is>
      </c>
      <c r="E773" s="4" t="inlineStr">
        <is>
          <t>WORKOVER / RECOMPLETACAO CAPITALIZADO</t>
        </is>
      </c>
      <c r="F773" s="4" t="inlineStr">
        <is>
          <t>INFERIOR</t>
        </is>
      </c>
      <c r="G773" s="4" t="n">
        <v>1</v>
      </c>
      <c r="H773" s="5" t="n">
        <v>6149205906.838175</v>
      </c>
      <c r="I773" s="5" t="n">
        <v>6149207302.079865</v>
      </c>
      <c r="J773" s="5" t="n">
        <v>3569.42</v>
      </c>
      <c r="K773" s="4" t="inlineStr">
        <is>
          <t>S</t>
        </is>
      </c>
      <c r="L773" s="4" t="inlineStr">
        <is>
          <t>2024-06-15</t>
        </is>
      </c>
      <c r="M773" s="5" t="n">
        <v>3569.42</v>
      </c>
      <c r="N773" s="5">
        <f>J773-M773</f>
        <v/>
      </c>
      <c r="O773" s="6">
        <f>IF(F773="INFERIOR",N773/J773,"")</f>
        <v/>
      </c>
      <c r="P773" s="5">
        <f>IF(F773="INFERIOR",O773*MUS_parametros!$B$18,N773)</f>
        <v/>
      </c>
      <c r="Q773" s="4" t="inlineStr">
        <is>
          <t>Documento confere com o registro</t>
        </is>
      </c>
    </row>
    <row r="774">
      <c r="A774" s="4" t="inlineStr">
        <is>
          <t>IMB-0530353</t>
        </is>
      </c>
      <c r="B774" s="4" t="inlineStr">
        <is>
          <t>DESENVOLVIMENTO_CAMPOS</t>
        </is>
      </c>
      <c r="C774" s="4" t="inlineStr">
        <is>
          <t>1.2.03.04.001</t>
        </is>
      </c>
      <c r="D774" s="4" t="inlineStr">
        <is>
          <t>POT-CONC-01 (SINTETICO)</t>
        </is>
      </c>
      <c r="E774" s="4" t="inlineStr">
        <is>
          <t>PERFURACAO E COMPLETACAO</t>
        </is>
      </c>
      <c r="F774" s="4" t="inlineStr">
        <is>
          <t>INFERIOR</t>
        </is>
      </c>
      <c r="G774" s="4" t="n">
        <v>1</v>
      </c>
      <c r="H774" s="5" t="n">
        <v>6154938906.838175</v>
      </c>
      <c r="I774" s="5" t="n">
        <v>6155130061.619847</v>
      </c>
      <c r="J774" s="5" t="n">
        <v>284055.76</v>
      </c>
      <c r="K774" s="4" t="inlineStr">
        <is>
          <t>S</t>
        </is>
      </c>
      <c r="L774" s="4" t="inlineStr">
        <is>
          <t>2024-11-16</t>
        </is>
      </c>
      <c r="M774" s="5" t="n">
        <v>284055.76</v>
      </c>
      <c r="N774" s="5">
        <f>J774-M774</f>
        <v/>
      </c>
      <c r="O774" s="6">
        <f>IF(F774="INFERIOR",N774/J774,"")</f>
        <v/>
      </c>
      <c r="P774" s="5">
        <f>IF(F774="INFERIOR",O774*MUS_parametros!$B$18,N774)</f>
        <v/>
      </c>
      <c r="Q774" s="4" t="inlineStr">
        <is>
          <t>Documento confere com o registro</t>
        </is>
      </c>
    </row>
    <row r="775">
      <c r="A775" s="4" t="inlineStr">
        <is>
          <t>IMB-0531035</t>
        </is>
      </c>
      <c r="B775" s="4" t="inlineStr">
        <is>
          <t>DESENVOLVIMENTO_CAMPOS</t>
        </is>
      </c>
      <c r="C775" s="4" t="inlineStr">
        <is>
          <t>1.2.03.04.001</t>
        </is>
      </c>
      <c r="D775" s="4" t="inlineStr">
        <is>
          <t>POT-CONC-02 (SINTETICO)</t>
        </is>
      </c>
      <c r="E775" s="4" t="inlineStr">
        <is>
          <t>PERFURACAO E COMPLETACAO</t>
        </is>
      </c>
      <c r="F775" s="4" t="inlineStr">
        <is>
          <t>INFERIOR</t>
        </is>
      </c>
      <c r="G775" s="4" t="n">
        <v>1</v>
      </c>
      <c r="H775" s="5" t="n">
        <v>6160671906.838175</v>
      </c>
      <c r="I775" s="5" t="n">
        <v>6160682440.919849</v>
      </c>
      <c r="J775" s="5" t="n">
        <v>427807.21</v>
      </c>
      <c r="K775" s="4" t="inlineStr">
        <is>
          <t>S</t>
        </is>
      </c>
      <c r="L775" s="4" t="inlineStr">
        <is>
          <t>2025-12-10</t>
        </is>
      </c>
      <c r="M775" s="5" t="n">
        <v>427807.21</v>
      </c>
      <c r="N775" s="5">
        <f>J775-M775</f>
        <v/>
      </c>
      <c r="O775" s="6">
        <f>IF(F775="INFERIOR",N775/J775,"")</f>
        <v/>
      </c>
      <c r="P775" s="5">
        <f>IF(F775="INFERIOR",O775*MUS_parametros!$B$18,N775)</f>
        <v/>
      </c>
      <c r="Q775" s="4" t="inlineStr">
        <is>
          <t>Documento confere com o registro</t>
        </is>
      </c>
    </row>
    <row r="776">
      <c r="A776" s="4" t="inlineStr">
        <is>
          <t>IMB-0531805</t>
        </is>
      </c>
      <c r="B776" s="4" t="inlineStr">
        <is>
          <t>DESENVOLVIMENTO_CAMPOS</t>
        </is>
      </c>
      <c r="C776" s="4" t="inlineStr">
        <is>
          <t>1.2.03.04.001</t>
        </is>
      </c>
      <c r="D776" s="4" t="inlineStr">
        <is>
          <t>POT-CONC-08 (SINTETICO)</t>
        </is>
      </c>
      <c r="E776" s="4" t="inlineStr">
        <is>
          <t>PERFURACAO E COMPLETACAO</t>
        </is>
      </c>
      <c r="F776" s="4" t="inlineStr">
        <is>
          <t>INFERIOR</t>
        </is>
      </c>
      <c r="G776" s="4" t="n">
        <v>1</v>
      </c>
      <c r="H776" s="5" t="n">
        <v>6166404906.838175</v>
      </c>
      <c r="I776" s="5" t="n">
        <v>6166426576.339842</v>
      </c>
      <c r="J776" s="5" t="n">
        <v>185555.76</v>
      </c>
      <c r="K776" s="4" t="inlineStr">
        <is>
          <t>S</t>
        </is>
      </c>
      <c r="L776" s="4" t="inlineStr">
        <is>
          <t>2024-05-17</t>
        </is>
      </c>
      <c r="M776" s="5" t="n">
        <v>185555.76</v>
      </c>
      <c r="N776" s="5">
        <f>J776-M776</f>
        <v/>
      </c>
      <c r="O776" s="6">
        <f>IF(F776="INFERIOR",N776/J776,"")</f>
        <v/>
      </c>
      <c r="P776" s="5">
        <f>IF(F776="INFERIOR",O776*MUS_parametros!$B$18,N776)</f>
        <v/>
      </c>
      <c r="Q776" s="4" t="inlineStr">
        <is>
          <t>Documento confere com o registro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90" customWidth="1" min="3" max="3"/>
  </cols>
  <sheetData>
    <row r="1">
      <c r="A1" s="1" t="inlineStr">
        <is>
          <t>MUS - avaliacao: LSI = precisao basica + incorrecao mais provavel + ajuste incremental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Componente</t>
        </is>
      </c>
      <c r="B4" s="3" t="inlineStr">
        <is>
          <t>Valor (R$)</t>
        </is>
      </c>
      <c r="C4" s="3" t="inlineStr">
        <is>
          <t>Formula / explicacao</t>
        </is>
      </c>
    </row>
    <row r="5">
      <c r="A5" s="4" t="inlineStr">
        <is>
          <t>Precisao basica (PB)</t>
        </is>
      </c>
      <c r="B5" s="5">
        <f>MUS_parametros!B16*MUS_parametros!$B$18</f>
        <v/>
      </c>
      <c r="C5" s="4" t="inlineStr">
        <is>
          <t>FC x I (LSI se nenhum erro fosse encontrado)</t>
        </is>
      </c>
    </row>
    <row r="6">
      <c r="A6" s="4" t="inlineStr">
        <is>
          <t>Incorrecao mais provavel - estrato inferior (projetada)</t>
        </is>
      </c>
      <c r="B6" s="5">
        <f>SUMIFS(MUS_amostra!P5:P776,MUS_amostra!F5:F776,"INFERIOR",MUS_amostra!N5:N776,"&gt;0")</f>
        <v/>
      </c>
      <c r="C6" s="4" t="inlineStr">
        <is>
          <t>soma de tainting x I</t>
        </is>
      </c>
    </row>
    <row r="7">
      <c r="A7" s="4" t="inlineStr">
        <is>
          <t>Incorrecao - estrato superior (real, sem projecao)</t>
        </is>
      </c>
      <c r="B7" s="5">
        <f>SUMIFS(MUS_amostra!N5:N776,MUS_amostra!F5:F776,"&lt;&gt;INFERIOR",MUS_amostra!N5:N776,"&gt;0")</f>
        <v/>
      </c>
      <c r="C7" s="4" t="inlineStr">
        <is>
          <t>diferenca efetiva</t>
        </is>
      </c>
    </row>
    <row r="8">
      <c r="A8" s="4" t="inlineStr">
        <is>
          <t>Incorrecao mais provavel (IMP)</t>
        </is>
      </c>
      <c r="B8" s="5">
        <f>B6+B7</f>
        <v/>
      </c>
      <c r="C8" s="4" t="inlineStr">
        <is>
          <t>projetada + real</t>
        </is>
      </c>
    </row>
    <row r="9">
      <c r="A9" s="4" t="inlineStr">
        <is>
          <t>Ajuste incremental (IA)</t>
        </is>
      </c>
      <c r="B9" s="5">
        <f>SUM(E13:E200)</f>
        <v/>
      </c>
      <c r="C9" s="4" t="inlineStr">
        <is>
          <t>taintings em ordem decrescente x fator incremental x I (tabela abaixo)</t>
        </is>
      </c>
    </row>
    <row r="10">
      <c r="A10" s="9" t="inlineStr">
        <is>
          <t>LIMITE SUPERIOR DE INCORRECAO (LSI)</t>
        </is>
      </c>
      <c r="B10" s="10">
        <f>B5+B8+B9</f>
        <v/>
      </c>
      <c r="C10" s="4" t="inlineStr">
        <is>
          <t>PB + IMP + IA</t>
        </is>
      </c>
    </row>
    <row r="11">
      <c r="A11" s="4" t="inlineStr">
        <is>
          <t>Incorrecao toleravel (IT)</t>
        </is>
      </c>
      <c r="B11" s="5">
        <f>MUS_parametros!B8</f>
        <v/>
      </c>
      <c r="C11" s="4" t="inlineStr"/>
    </row>
    <row r="12">
      <c r="A12" s="3" t="inlineStr">
        <is>
          <t>Ordem</t>
        </is>
      </c>
      <c r="B12" s="3" t="inlineStr">
        <is>
          <t>id_registro</t>
        </is>
      </c>
      <c r="C12" s="3" t="inlineStr">
        <is>
          <t>Tainting</t>
        </is>
      </c>
      <c r="D12" s="3" t="inlineStr">
        <is>
          <t>Fator incremental (col. RD)</t>
        </is>
      </c>
      <c r="E12" s="3" t="inlineStr">
        <is>
          <t>Ajuste incremental (R$)</t>
        </is>
      </c>
    </row>
    <row r="13">
      <c r="A13" t="n">
        <v>1</v>
      </c>
      <c r="B13" t="inlineStr">
        <is>
          <t>IMB-0033499</t>
        </is>
      </c>
      <c r="C13" s="11" t="n">
        <v>1</v>
      </c>
      <c r="D13" t="n">
        <v>0.75</v>
      </c>
      <c r="E13" s="12">
        <f>C13*D13*MUS_parametros!$B$18</f>
        <v/>
      </c>
    </row>
    <row r="14">
      <c r="A14" t="n">
        <v>2</v>
      </c>
      <c r="B14" t="inlineStr">
        <is>
          <t>IMB-0262098</t>
        </is>
      </c>
      <c r="C14" s="11" t="n">
        <v>1</v>
      </c>
      <c r="D14" t="n">
        <v>0.55</v>
      </c>
      <c r="E14" s="12">
        <f>C14*D14*MUS_parametros!$B$18</f>
        <v/>
      </c>
    </row>
    <row r="15">
      <c r="A15" t="n">
        <v>3</v>
      </c>
      <c r="B15" t="inlineStr">
        <is>
          <t>IMB-0468355</t>
        </is>
      </c>
      <c r="C15" s="11" t="n">
        <v>1</v>
      </c>
      <c r="D15" t="n">
        <v>0.46</v>
      </c>
      <c r="E15" s="12">
        <f>C15*D15*MUS_parametros!$B$18</f>
        <v/>
      </c>
    </row>
    <row r="16">
      <c r="A16" t="n">
        <v>4</v>
      </c>
      <c r="B16" t="inlineStr">
        <is>
          <t>IMB-0469519</t>
        </is>
      </c>
      <c r="C16" s="11" t="n">
        <v>0.6301347204947044</v>
      </c>
      <c r="D16" t="n">
        <v>0.4</v>
      </c>
      <c r="E16" s="12">
        <f>C16*D16*MUS_parametros!$B$18</f>
        <v/>
      </c>
    </row>
    <row r="17">
      <c r="A17" t="n">
        <v>5</v>
      </c>
      <c r="B17" t="inlineStr">
        <is>
          <t>IMB-0471357</t>
        </is>
      </c>
      <c r="C17" s="11" t="n">
        <v>0.1073045544595441</v>
      </c>
      <c r="D17" t="n">
        <v>0.36</v>
      </c>
      <c r="E17" s="12">
        <f>C17*D17*MUS_parametros!$B$18</f>
        <v/>
      </c>
    </row>
    <row r="19">
      <c r="A19" t="inlineStr">
        <is>
          <t>Premissa: a Ilustracao 8.7 traz fatores ate o 10o erro; para erros adicionais foi usado o ultimo fator da coluna (premissa conservadora documentada).</t>
        </is>
      </c>
    </row>
    <row r="20">
      <c r="A20" t="inlineStr">
        <is>
          <t>Subavaliacoes (valor auditado &gt; contabil) nao entram no LSI de superavaliacao; sao avaliadas a parte no PT 450.</t>
        </is>
      </c>
    </row>
    <row r="21">
      <c r="A21" t="inlineStr">
        <is>
          <t>Resultado calculado em Python (conferencia): PB=17,199,000.00; IMP=21,426,739.36; IA=11,756,568.66; LSI=50,382,308.03; IT=20,475,000.00.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Comparacao: erros INSERIDOS (log de controle) x DETECTADOS pelos testes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tipo_erro</t>
        </is>
      </c>
      <c r="B4" s="3" t="inlineStr">
        <is>
          <t>descricao</t>
        </is>
      </c>
      <c r="C4" s="3" t="inlineStr">
        <is>
          <t>teste</t>
        </is>
      </c>
      <c r="D4" s="3" t="inlineStr">
        <is>
          <t>inseridos</t>
        </is>
      </c>
      <c r="E4" s="3" t="inlineStr">
        <is>
          <t>detectados_pelo_teste</t>
        </is>
      </c>
      <c r="F4" s="3" t="inlineStr">
        <is>
          <t>verdadeiros_positivos</t>
        </is>
      </c>
      <c r="G4" s="3" t="inlineStr">
        <is>
          <t>nao_detectados</t>
        </is>
      </c>
      <c r="H4" s="3" t="inlineStr">
        <is>
          <t>detectados_de_outro_tipo_inserido</t>
        </is>
      </c>
      <c r="I4" s="3" t="inlineStr">
        <is>
          <t>falsos_positivos</t>
        </is>
      </c>
      <c r="J4" s="3" t="inlineStr">
        <is>
          <t>taxa_deteccao</t>
        </is>
      </c>
      <c r="K4" s="3" t="inlineStr">
        <is>
          <t>efeito_inserido</t>
        </is>
      </c>
    </row>
    <row r="5">
      <c r="A5" s="4" t="inlineStr">
        <is>
          <t>E01</t>
        </is>
      </c>
      <c r="B5" s="4" t="inlineStr">
        <is>
          <t>Registro duplicado (mesmo documento, fornecedor, valor e data de aquisicao do registro original)</t>
        </is>
      </c>
      <c r="C5" s="4" t="inlineStr">
        <is>
          <t>T01_DUPLICIDADE</t>
        </is>
      </c>
      <c r="D5" s="4" t="n">
        <v>160</v>
      </c>
      <c r="E5" s="4" t="n">
        <v>160</v>
      </c>
      <c r="F5" s="4" t="n">
        <v>160</v>
      </c>
      <c r="G5" s="4" t="n">
        <v>0</v>
      </c>
      <c r="H5" s="4" t="n">
        <v>0</v>
      </c>
      <c r="I5" s="4" t="n">
        <v>0</v>
      </c>
      <c r="J5" s="13" t="n">
        <v>1</v>
      </c>
      <c r="K5" s="5" t="n">
        <v>6737989.18</v>
      </c>
    </row>
    <row r="6">
      <c r="A6" s="4" t="inlineStr">
        <is>
          <t>E02</t>
        </is>
      </c>
      <c r="B6" s="4" t="inlineStr">
        <is>
          <t>Corte: data de aquisicao/capitalizacao posterior a 31/12/2025 (item nao existia na data-base)</t>
        </is>
      </c>
      <c r="C6" s="4" t="inlineStr">
        <is>
          <t>T02_CORTE</t>
        </is>
      </c>
      <c r="D6" s="4" t="n">
        <v>46</v>
      </c>
      <c r="E6" s="4" t="n">
        <v>46</v>
      </c>
      <c r="F6" s="4" t="n">
        <v>46</v>
      </c>
      <c r="G6" s="4" t="n">
        <v>0</v>
      </c>
      <c r="H6" s="4" t="n">
        <v>0</v>
      </c>
      <c r="I6" s="4" t="n">
        <v>0</v>
      </c>
      <c r="J6" s="13" t="n">
        <v>1</v>
      </c>
      <c r="K6" s="5" t="n">
        <v>2502284.36</v>
      </c>
    </row>
    <row r="7">
      <c r="A7" s="4" t="inlineStr">
        <is>
          <t>E03</t>
        </is>
      </c>
      <c r="B7" s="4" t="inlineStr">
        <is>
          <t>Depreciacao acumulada superior ao custo (valor contabil liquido negativo)</t>
        </is>
      </c>
      <c r="C7" s="4" t="inlineStr">
        <is>
          <t>T03_VCL_NEGATIVO</t>
        </is>
      </c>
      <c r="D7" s="4" t="n">
        <v>40</v>
      </c>
      <c r="E7" s="4" t="n">
        <v>40</v>
      </c>
      <c r="F7" s="4" t="n">
        <v>40</v>
      </c>
      <c r="G7" s="4" t="n">
        <v>0</v>
      </c>
      <c r="H7" s="4" t="n">
        <v>0</v>
      </c>
      <c r="I7" s="4" t="n">
        <v>0</v>
      </c>
      <c r="J7" s="13" t="n">
        <v>1</v>
      </c>
      <c r="K7" s="5" t="n">
        <v>-530782.38</v>
      </c>
    </row>
    <row r="8">
      <c r="A8" s="4" t="inlineStr">
        <is>
          <t>E04</t>
        </is>
      </c>
      <c r="B8" s="4" t="inlineStr">
        <is>
          <t>Depreciacao acumulada registrada a menor que o recalculo (taxa x tempo de uso)</t>
        </is>
      </c>
      <c r="C8" s="4" t="inlineStr">
        <is>
          <t>T04_RECALCULO_DEPRECIACAO</t>
        </is>
      </c>
      <c r="D8" s="4" t="n">
        <v>70</v>
      </c>
      <c r="E8" s="4" t="n">
        <v>115</v>
      </c>
      <c r="F8" s="4" t="n">
        <v>70</v>
      </c>
      <c r="G8" s="4" t="n">
        <v>0</v>
      </c>
      <c r="H8" s="4" t="n">
        <v>45</v>
      </c>
      <c r="I8" s="4" t="n">
        <v>0</v>
      </c>
      <c r="J8" s="13" t="n">
        <v>1</v>
      </c>
      <c r="K8" s="5" t="n">
        <v>1511583.78</v>
      </c>
    </row>
    <row r="9">
      <c r="A9" s="4" t="inlineStr">
        <is>
          <t>E05</t>
        </is>
      </c>
      <c r="B9" s="4" t="inlineStr">
        <is>
          <t>Item com status BAIXADO (baixa em 2025) mantido com saldo no subrazao</t>
        </is>
      </c>
      <c r="C9" s="4" t="inlineStr">
        <is>
          <t>T05_BAIXADO_COM_SALDO</t>
        </is>
      </c>
      <c r="D9" s="4" t="n">
        <v>63</v>
      </c>
      <c r="E9" s="4" t="n">
        <v>63</v>
      </c>
      <c r="F9" s="4" t="n">
        <v>63</v>
      </c>
      <c r="G9" s="4" t="n">
        <v>0</v>
      </c>
      <c r="H9" s="4" t="n">
        <v>0</v>
      </c>
      <c r="I9" s="4" t="n">
        <v>0</v>
      </c>
      <c r="J9" s="13" t="n">
        <v>1</v>
      </c>
      <c r="K9" s="5" t="n">
        <v>2553787.67</v>
      </c>
    </row>
    <row r="10">
      <c r="A10" s="4" t="inlineStr">
        <is>
          <t>E06</t>
        </is>
      </c>
      <c r="B10" s="4" t="inlineStr">
        <is>
          <t>Material de almoxarifado de investimento sem movimentacao ha mais de 5 anos (indicio de obsolescencia)</t>
        </is>
      </c>
      <c r="C10" s="4" t="inlineStr">
        <is>
          <t>T06_ALMOX_SEM_MOVIMENTO_5A</t>
        </is>
      </c>
      <c r="D10" s="4" t="n">
        <v>95</v>
      </c>
      <c r="E10" s="4" t="n">
        <v>95</v>
      </c>
      <c r="F10" s="4" t="n">
        <v>95</v>
      </c>
      <c r="G10" s="4" t="n">
        <v>0</v>
      </c>
      <c r="H10" s="4" t="n">
        <v>0</v>
      </c>
      <c r="I10" s="4" t="n">
        <v>0</v>
      </c>
      <c r="J10" s="13" t="n">
        <v>1</v>
      </c>
      <c r="K10" s="5" t="n">
        <v>0</v>
      </c>
    </row>
    <row r="11">
      <c r="A11" s="4" t="inlineStr">
        <is>
          <t>E07</t>
        </is>
      </c>
      <c r="B11" s="4" t="inlineStr">
        <is>
          <t>Cadastro sem aprovacao (campo usuario_aprovacao vazio)</t>
        </is>
      </c>
      <c r="C11" s="4" t="inlineStr">
        <is>
          <t>T07_MAKER_CHECKER</t>
        </is>
      </c>
      <c r="D11" s="4" t="n">
        <v>620</v>
      </c>
      <c r="E11" s="4" t="n">
        <v>627</v>
      </c>
      <c r="F11" s="4" t="n">
        <v>620</v>
      </c>
      <c r="G11" s="4" t="n">
        <v>0</v>
      </c>
      <c r="H11" s="4" t="n">
        <v>7</v>
      </c>
      <c r="I11" s="4" t="n">
        <v>0</v>
      </c>
      <c r="J11" s="13" t="n">
        <v>1</v>
      </c>
      <c r="K11" s="5" t="n">
        <v>0</v>
      </c>
    </row>
    <row r="12">
      <c r="A12" s="4" t="inlineStr">
        <is>
          <t>E08</t>
        </is>
      </c>
      <c r="B12" s="4" t="inlineStr">
        <is>
          <t>Campo nao cadastrado entre as 58 concessoes e documento de suporte inexistente (existencia)</t>
        </is>
      </c>
      <c r="C12" s="4" t="inlineStr">
        <is>
          <t>T08_CAMPO_NAO_CADASTRADO</t>
        </is>
      </c>
      <c r="D12" s="4" t="n">
        <v>35</v>
      </c>
      <c r="E12" s="4" t="n">
        <v>35</v>
      </c>
      <c r="F12" s="4" t="n">
        <v>35</v>
      </c>
      <c r="G12" s="4" t="n">
        <v>0</v>
      </c>
      <c r="H12" s="4" t="n">
        <v>0</v>
      </c>
      <c r="I12" s="4" t="n">
        <v>0</v>
      </c>
      <c r="J12" s="13" t="n">
        <v>1</v>
      </c>
      <c r="K12" s="5" t="n">
        <v>1234406.07</v>
      </c>
    </row>
    <row r="13">
      <c r="A13" s="4" t="inlineStr">
        <is>
          <t>E09</t>
        </is>
      </c>
      <c r="B13" s="4" t="inlineStr">
        <is>
          <t>Custo registrado acima do suportado por documento (inclui despesa de manutencao capitalizada)</t>
        </is>
      </c>
      <c r="C13" s="4" t="inlineStr">
        <is>
          <t>MUS (inspecao documental)</t>
        </is>
      </c>
      <c r="D13" s="4" t="n">
        <v>97</v>
      </c>
      <c r="E13" s="4" t="n">
        <v>5</v>
      </c>
      <c r="F13" s="4" t="n">
        <v>2</v>
      </c>
      <c r="G13" s="4" t="n">
        <v>95</v>
      </c>
      <c r="H13" s="4" t="n">
        <v>3</v>
      </c>
      <c r="I13" s="4" t="n">
        <v>0</v>
      </c>
      <c r="J13" s="13" t="n">
        <v>0.02061855670103093</v>
      </c>
      <c r="K13" s="5" t="n">
        <v>9172612.039999999</v>
      </c>
    </row>
    <row r="14">
      <c r="A14" s="4" t="inlineStr">
        <is>
          <t>E10</t>
        </is>
      </c>
      <c r="B14" s="4" t="inlineStr">
        <is>
          <t>Ordem em andamento sem movimentacao ha mais de 2 anos</t>
        </is>
      </c>
      <c r="C14" s="4" t="inlineStr">
        <is>
          <t>T09_ANDAMENTO_PARADO_2A</t>
        </is>
      </c>
      <c r="D14" s="4" t="n">
        <v>45</v>
      </c>
      <c r="E14" s="4" t="n">
        <v>45</v>
      </c>
      <c r="F14" s="4" t="n">
        <v>45</v>
      </c>
      <c r="G14" s="4" t="n">
        <v>0</v>
      </c>
      <c r="H14" s="4" t="n">
        <v>0</v>
      </c>
      <c r="I14" s="4" t="n">
        <v>0</v>
      </c>
      <c r="J14" s="13" t="n">
        <v>1</v>
      </c>
      <c r="K14" s="5" t="n">
        <v>0</v>
      </c>
    </row>
    <row r="15">
      <c r="A15" s="4" t="inlineStr">
        <is>
          <t>E11</t>
        </is>
      </c>
      <c r="B15" s="4" t="inlineStr">
        <is>
          <t>Data de aquisicao anterior a constituicao da companhia (21/07/1999) - erro cadastral</t>
        </is>
      </c>
      <c r="C15" s="4" t="inlineStr">
        <is>
          <t>T10_DATA_ANTERIOR_CONSTITUICAO</t>
        </is>
      </c>
      <c r="D15" s="4" t="n">
        <v>30</v>
      </c>
      <c r="E15" s="4" t="n">
        <v>30</v>
      </c>
      <c r="F15" s="4" t="n">
        <v>30</v>
      </c>
      <c r="G15" s="4" t="n">
        <v>0</v>
      </c>
      <c r="H15" s="4" t="n">
        <v>0</v>
      </c>
      <c r="I15" s="4" t="n">
        <v>0</v>
      </c>
      <c r="J15" s="13" t="n">
        <v>1</v>
      </c>
      <c r="K15" s="5" t="n">
        <v>0</v>
      </c>
    </row>
    <row r="18">
      <c r="A18" t="inlineStr">
        <is>
          <t>MUS: incorrecao mais provavel projetada = R$ 21,426,739.36; LSI = R$ 50,382,308.03.</t>
        </is>
      </c>
    </row>
    <row r="19">
      <c r="A19" t="inlineStr">
        <is>
          <t>Superavaliacao total efetivamente inserida na base (todos os tipos monetarios) = R$ 23,712,663.10.</t>
        </is>
      </c>
    </row>
    <row r="20">
      <c r="A20" t="inlineStr">
        <is>
          <t>O LSI cobre a superavaliacao real inserida - validacao didatica do metodo.</t>
        </is>
      </c>
    </row>
    <row r="21">
      <c r="A21" t="inlineStr">
        <is>
          <t>Os testes T01-T10 foram executados antes da leitura do log (as cegas); o log foi usado apenas nesta aba.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2026-10-24T22:26:09Z</dcterms:created>
  <dcterms:modified xmlns:dcterms="http://purl.org/dc/terms/" xmlns:xsi="http://www.w3.org/2001/XMLSchema-instance" xsi:type="dcterms:W3CDTF">2026-10-24T22:26:10Z</dcterms:modified>
</cp:coreProperties>
</file>