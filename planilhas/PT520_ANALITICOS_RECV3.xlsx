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ceita_item5" sheetId="1" state="visible" r:id="rId3"/>
    <sheet name="Custos_NE19" sheetId="2" state="visible" r:id="rId4"/>
    <sheet name="Royalties" sheetId="3" state="visible" r:id="rId5"/>
    <sheet name="DDA_boe" sheetId="4" state="visible" r:id="rId6"/>
    <sheet name="Balanco_indicadores" sheetId="5" state="visible" r:id="rId7"/>
    <sheet name="Item6_conclusao_globa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<sst xmlns="http://schemas.openxmlformats.org/spreadsheetml/2006/main" count="166" uniqueCount="142">
  <si>
    <t xml:space="preserve">Analitico substantivo da receita bruta (NBC TA 520 item 5) - modelo volume x preco x cambio</t>
  </si>
  <si>
    <t xml:space="preserve">PetroReconcavo S.A. - consolidado - R$ mil | Preparador: matricula 211059370 | 24/10/2026 | Revisao: ______ (nao preenchido) | REALIZADO COM EVIDENCIA PUBLICA</t>
  </si>
  <si>
    <t xml:space="preserve">Dado (item 5(b): fontes independentes / externas quando possivel)</t>
  </si>
  <si>
    <t xml:space="preserve">Valor</t>
  </si>
  <si>
    <t xml:space="preserve">Fonte</t>
  </si>
  <si>
    <t xml:space="preserve">Venda de petroleo 2024 (R$ mil)</t>
  </si>
  <si>
    <t xml:space="preserve">NE 18.1 consolidado (F01)</t>
  </si>
  <si>
    <t xml:space="preserve">Venda de petroleo 2025 registrada (R$ mil)</t>
  </si>
  <si>
    <t xml:space="preserve">Variacao da producao de petroleo 2025 x 2024</t>
  </si>
  <si>
    <t xml:space="preserve">RA 2025 (F01): "aumento de 2% na producao de petroleo"</t>
  </si>
  <si>
    <t xml:space="preserve">Preco medio de realizacao do petroleo 2024 (US$/bbl)</t>
  </si>
  <si>
    <t xml:space="preserve">RA 2024 (F07)</t>
  </si>
  <si>
    <t xml:space="preserve">Preco medio de realizacao do petroleo 2025 (US$/bbl)</t>
  </si>
  <si>
    <t xml:space="preserve">RA 2025 (F01)</t>
  </si>
  <si>
    <t xml:space="preserve">Dolar medio 2025 (R$)</t>
  </si>
  <si>
    <t xml:space="preserve">Variacao do dolar medio 2025 x 2024</t>
  </si>
  <si>
    <t xml:space="preserve">RA 2025 (F01): "aumento de 4% versus ano anterior"</t>
  </si>
  <si>
    <t xml:space="preserve">Venda de gas e subprodutos 2024 (R$ mil)</t>
  </si>
  <si>
    <t xml:space="preserve">NE 18.1</t>
  </si>
  <si>
    <t xml:space="preserve">Venda de gas e subprodutos 2025 registrada (R$ mil)</t>
  </si>
  <si>
    <t xml:space="preserve">Variacao do preco medio de realizacao do gas</t>
  </si>
  <si>
    <t xml:space="preserve">RA 2025: "precos medios de realizacao 4% maiores"</t>
  </si>
  <si>
    <t xml:space="preserve">Variacao do volume total de gas entregue</t>
  </si>
  <si>
    <t xml:space="preserve">RA 2025: "crescimento de 1% no volume total entregue"</t>
  </si>
  <si>
    <t xml:space="preserve">Materialidade para execucao (ME)</t>
  </si>
  <si>
    <t xml:space="preserve">PT 320</t>
  </si>
  <si>
    <t xml:space="preserve">% da ME como limite de diferenca aceitavel (risco significativo R03)</t>
  </si>
  <si>
    <t xml:space="preserve">Julgamento - A16 (maior seguranca desejada -&gt; limite menor)</t>
  </si>
  <si>
    <t xml:space="preserve">Expectativa (item 5(c)) e comparacao</t>
  </si>
  <si>
    <t xml:space="preserve">Formula / leitura</t>
  </si>
  <si>
    <t xml:space="preserve">Expectativa de venda de petroleo 2025</t>
  </si>
  <si>
    <t xml:space="preserve">Base 2024 x volume x preco US$ x cambio</t>
  </si>
  <si>
    <t xml:space="preserve">Diferenca registrado - esperado (petroleo)</t>
  </si>
  <si>
    <t xml:space="preserve">Expectativa de venda de gas 2025</t>
  </si>
  <si>
    <t xml:space="preserve">Base 2024 x preco x volume</t>
  </si>
  <si>
    <t xml:space="preserve">Diferenca registrado - esperado (gas)</t>
  </si>
  <si>
    <t xml:space="preserve">Limite de diferenca aceitavel (item 5(d))</t>
  </si>
  <si>
    <t xml:space="preserve">Sem investigacao adicional se |diferenca| &lt;= limite</t>
  </si>
  <si>
    <t xml:space="preserve">Petroleo: investigar? (item 7)</t>
  </si>
  <si>
    <t xml:space="preserve">Gas: investigar? (item 7)</t>
  </si>
  <si>
    <t xml:space="preserve">Adequacao (item 5(a)): relacao previsivel volume x preco para commodity; R03 e risco significativo -&gt; o analitico NAO basta sozinho (NBC TA 330 item 21): exige tambem teste de detalhes (corte, confirmacao - PT 330/505).</t>
  </si>
  <si>
    <t xml:space="preserve">Confiabilidade dos dados (item 5(b)): precos e volumes do RA (informacao da entidade, consistente com dados operacionais mensais publicados - CM 08/01/2026); Brent e cambio verificaveis em fontes externas.</t>
  </si>
  <si>
    <t xml:space="preserve">Gastos por natureza (NE 19) - variacoes e expectativas</t>
  </si>
  <si>
    <t xml:space="preserve">Natureza (consolidado)</t>
  </si>
  <si>
    <t xml:space="preserve">2025</t>
  </si>
  <si>
    <t xml:space="preserve">2024</t>
  </si>
  <si>
    <t xml:space="preserve">Var. %</t>
  </si>
  <si>
    <t xml:space="preserve">Var. R$</t>
  </si>
  <si>
    <t xml:space="preserve">Investigar? (|var| &gt; ME)</t>
  </si>
  <si>
    <t xml:space="preserve">Expectativa / explicacao a obter</t>
  </si>
  <si>
    <t xml:space="preserve">Pessoal</t>
  </si>
  <si>
    <t xml:space="preserve">Reajuste ~ inflacao + quadro: esperado +3% a +6%</t>
  </si>
  <si>
    <t xml:space="preserve">Servicos e materiais</t>
  </si>
  <si>
    <t xml:space="preserve">Crescimento acima da producao (+1%): ver JOA UPGN (custos da operacao) e possivel workover lancado no resultado</t>
  </si>
  <si>
    <t xml:space="preserve">Eletricidade</t>
  </si>
  <si>
    <t xml:space="preserve">Estavel - coerente</t>
  </si>
  <si>
    <t xml:space="preserve">Vendas</t>
  </si>
  <si>
    <t xml:space="preserve">Linha sem saldo em 2025</t>
  </si>
  <si>
    <t xml:space="preserve">Outras</t>
  </si>
  <si>
    <t xml:space="preserve">Queda de 86%: obter composicao de 2024 (itens nao recorrentes?)</t>
  </si>
  <si>
    <t xml:space="preserve">Compra/"Swap" de gas</t>
  </si>
  <si>
    <t xml:space="preserve">Coerente com "maior compra de gas de terceiros" (RA)</t>
  </si>
  <si>
    <t xml:space="preserve">Escoamento de gas</t>
  </si>
  <si>
    <t xml:space="preserve">Queda com nova infraestrutura propria?</t>
  </si>
  <si>
    <t xml:space="preserve">Processamento de gas</t>
  </si>
  <si>
    <t xml:space="preserve">Queda com volume de gas +1%: hipotese = compra de 50% da UPGN em 30/09/2025 (tarifa paga a si mesma eliminada)</t>
  </si>
  <si>
    <t xml:space="preserve">Transporte de gas</t>
  </si>
  <si>
    <t xml:space="preserve">Queda de 20%: verificar contratos</t>
  </si>
  <si>
    <t xml:space="preserve">Royalties (inclui proprietarios de terra)</t>
  </si>
  <si>
    <t xml:space="preserve">Ver aba Royalties</t>
  </si>
  <si>
    <t xml:space="preserve">Depreciacao, amortizacao e deplecao</t>
  </si>
  <si>
    <t xml:space="preserve">Ver aba DDA_boe</t>
  </si>
  <si>
    <t xml:space="preserve">Total</t>
  </si>
  <si>
    <t xml:space="preserve">NE 19: 2.436.030 / 2.316.334</t>
  </si>
  <si>
    <t xml:space="preserve">Razoabilidade dos royalties (NE 17.1: 7,5% a 10% da producao bruta)</t>
  </si>
  <si>
    <t xml:space="preserve">Item</t>
  </si>
  <si>
    <t xml:space="preserve">Fonte / leitura</t>
  </si>
  <si>
    <t xml:space="preserve">Royalties 2025 (sem proprietarios de terra)</t>
  </si>
  <si>
    <t xml:space="preserve">NE 17.1</t>
  </si>
  <si>
    <t xml:space="preserve">Venda bruta de petroleo + gas 2025</t>
  </si>
  <si>
    <t xml:space="preserve">Royalties / venda bruta</t>
  </si>
  <si>
    <t xml:space="preserve">Proxy da aliquota efetiva</t>
  </si>
  <si>
    <t xml:space="preserve">Aliquota minima divulgada</t>
  </si>
  <si>
    <t xml:space="preserve">Royalties esperados a 7,5% sobre a venda bruta</t>
  </si>
  <si>
    <t xml:space="preserve">Expectativa simples</t>
  </si>
  <si>
    <t xml:space="preserve">Diferenca registrada - esperada</t>
  </si>
  <si>
    <t xml:space="preserve">Investigar? (|dif| &gt; ME)</t>
  </si>
  <si>
    <t xml:space="preserve">Item 7 da NBC TA 520</t>
  </si>
  <si>
    <t xml:space="preserve">Explicacoes a corroborar (item 7(a)-(b)): (i) base de calculo = preco de referencia ANP x volume produzido, nao a receita de venda; (ii) parte do gas vendido e comprado de terceiros (sem royalty proprio);</t>
  </si>
  <si>
    <t xml:space="preserve">(iii) reducao de royalties sobre producao incremental de campos maduros concedida pela ANP; (iv) receita de subprodutos processados (GLP, C5+) com valor agregado fora da base. Sem corroboracao, a diferenca permanece aberta (PT 250 - L2).</t>
  </si>
  <si>
    <t xml:space="preserve">DD&amp;A por boe produzido (coerencia com o metodo de unidades produzidas)</t>
  </si>
  <si>
    <t xml:space="preserve">Producao media (mil boe/dia)</t>
  </si>
  <si>
    <t xml:space="preserve">RA 2025: 26,5 mil boe/dia, +0,7% (CM 08/01/2026)</t>
  </si>
  <si>
    <t xml:space="preserve">Producao anual (MMboe)</t>
  </si>
  <si>
    <t xml:space="preserve">2024 bissexto</t>
  </si>
  <si>
    <t xml:space="preserve">DD&amp;A (R$ mil)</t>
  </si>
  <si>
    <t xml:space="preserve">NE 19</t>
  </si>
  <si>
    <t xml:space="preserve">DD&amp;A por boe (R$)</t>
  </si>
  <si>
    <t xml:space="preserve">Variacao</t>
  </si>
  <si>
    <t xml:space="preserve">Esperado: proximo de zero +/- capex adicionado a base depreciavel</t>
  </si>
  <si>
    <t xml:space="preserve">Leitura</t>
  </si>
  <si>
    <t xml:space="preserve">Variacoes do balanco e indicadores (avaliacao de risco e item 6)</t>
  </si>
  <si>
    <t xml:space="preserve">Investigar?</t>
  </si>
  <si>
    <t xml:space="preserve">Contas a receber de clientes CP</t>
  </si>
  <si>
    <t xml:space="preserve">Queda de 30% com receita -3%: ver prazo medio</t>
  </si>
  <si>
    <t xml:space="preserve">Contas a receber de clientes LP</t>
  </si>
  <si>
    <t xml:space="preserve">Inclui creditos de gas em disputa (NE 5.1: 55.917)</t>
  </si>
  <si>
    <t xml:space="preserve">Imobilizado</t>
  </si>
  <si>
    <t xml:space="preserve">Capex 1,64 bi incluindo UPGN; conciliado (PT 530)</t>
  </si>
  <si>
    <t xml:space="preserve">Aplicacoes financeiras (CP + LP)</t>
  </si>
  <si>
    <t xml:space="preserve">3a e 4a emissoes de debentures</t>
  </si>
  <si>
    <t xml:space="preserve">Debentures (CP + LP)</t>
  </si>
  <si>
    <t xml:space="preserve">3a e 4a emissoes (R$ 1,25 bi)</t>
  </si>
  <si>
    <t xml:space="preserve">Juros sobre debentures (resultado)</t>
  </si>
  <si>
    <t xml:space="preserve">Crescimento de 231% contra divida media +73%: obter abertura (IPCA, custos de emissao, swaps)</t>
  </si>
  <si>
    <t xml:space="preserve">Valor a pagar por aquisicoes (CP)</t>
  </si>
  <si>
    <t xml:space="preserve">Pagamento das parcelas da UPGN; equivalencia em US$ divergente (PT 450 D-I4)</t>
  </si>
  <si>
    <t xml:space="preserve">Fornecedores LP</t>
  </si>
  <si>
    <t xml:space="preserve">Saldo IDENTICO nos dois anos: obter natureza (disputa?)</t>
  </si>
  <si>
    <t xml:space="preserve">Indicador</t>
  </si>
  <si>
    <t xml:space="preserve">Var.</t>
  </si>
  <si>
    <t xml:space="preserve">Prazo medio de recebimento (dias) = CR CP / receita bruta x 365</t>
  </si>
  <si>
    <t xml:space="preserve">Reducao de ~9 dias: corte de dezembro (producao -0,7% em dez.; Brent -8% no 4T) ou antecipacao?</t>
  </si>
  <si>
    <t xml:space="preserve">Taxa efetiva aparente das debentures = juros / saldo medio</t>
  </si>
  <si>
    <t xml:space="preserve">Comparar com IPCA + ~7% e CDI + spread das emissoes</t>
  </si>
  <si>
    <t xml:space="preserve">Margem bruta = resultado bruto / receita liquida</t>
  </si>
  <si>
    <t xml:space="preserve">Queda coerente com Brent -14%</t>
  </si>
  <si>
    <t xml:space="preserve">Procedimentos analiticos proximo ao final (item 6) - coerencia global com o entendimento</t>
  </si>
  <si>
    <t xml:space="preserve">Area</t>
  </si>
  <si>
    <t xml:space="preserve">Conclusao</t>
  </si>
  <si>
    <t xml:space="preserve">Receita</t>
  </si>
  <si>
    <t xml:space="preserve">Gas: diferenca de -0,9 mi, dentro do limite. Petroleo: diferenca de -13,2 mi (-0,6%) ACIMA do limite de 10,2 mi; os insumos do modelo sao percentuais arredondados do RA (precisao de +/-0,5 p.p. cada), logo a expectativa NAO e precisa o bastante (item 5(c)) -&gt; refazer desagregada por mes e por ativo (Bahia x Potiguar) com volumes e precos exatos e corroborar com teste de detalhes (PT 330 P03).</t>
  </si>
  <si>
    <t xml:space="preserve">Custos</t>
  </si>
  <si>
    <t xml:space="preserve">Servicos e materiais (+30%) e outras (-86%) exigem abertura; processamento de gas em queda coerente com a compra da UPGN (hipotese).</t>
  </si>
  <si>
    <t xml:space="preserve">Royalties</t>
  </si>
  <si>
    <t xml:space="preserve">Aliquota aparente abaixo da minima divulgada: diferenca acima da ME sem corroboracao -&gt; procedimento adicional (item 7).</t>
  </si>
  <si>
    <t xml:space="preserve">Imobilizado/DD&amp;A</t>
  </si>
  <si>
    <t xml:space="preserve">DD&amp;A por boe coerente; imobilizado conciliado com a NE 7.1; transferencias que nao zeram (PT 500 I4) pendentes.</t>
  </si>
  <si>
    <t xml:space="preserve">Financeiro</t>
  </si>
  <si>
    <t xml:space="preserve">Juros das debentures crescem mais que a divida: obter abertura; resultado de swaps +352 mi explica o lucro liquido.</t>
  </si>
  <si>
    <t xml:space="preserve">Conclusao (item 6)</t>
  </si>
  <si>
    <t xml:space="preserve">As DFs sao, em geral, consistentes com o entendimento da entidade, EXCETO pelos pontos acima marcados para investigacao, que alimentam o PT 330 e o PT 450.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</si>
</sst>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#,##0.00"/>
    <numFmt numFmtId="168" formatCode="0.00"/>
    <numFmt numFmtId="169" formatCode="0.000"/>
    <numFmt numFmtId="170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28.35" hidden="false" customHeight="false" outlineLevel="0" collapsed="false">
      <c r="A4" s="2" t="s">
        <v>2</v>
      </c>
      <c r="B4" s="2" t="s">
        <v>3</v>
      </c>
      <c r="C4" s="2"/>
      <c r="D4" s="2" t="s">
        <v>4</v>
      </c>
    </row>
    <row r="5" customFormat="false" ht="15" hidden="false" customHeight="false" outlineLevel="0" collapsed="false">
      <c r="A5" s="3" t="s">
        <v>5</v>
      </c>
      <c r="B5" s="4" t="n">
        <v>2440303</v>
      </c>
      <c r="C5" s="3"/>
      <c r="D5" s="3" t="s">
        <v>6</v>
      </c>
    </row>
    <row r="6" customFormat="false" ht="15" hidden="false" customHeight="false" outlineLevel="0" collapsed="false">
      <c r="A6" s="3" t="s">
        <v>7</v>
      </c>
      <c r="B6" s="4" t="n">
        <v>2113133</v>
      </c>
      <c r="C6" s="3"/>
      <c r="D6" s="3" t="s">
        <v>6</v>
      </c>
    </row>
    <row r="7" customFormat="false" ht="15" hidden="false" customHeight="false" outlineLevel="0" collapsed="false">
      <c r="A7" s="3" t="s">
        <v>8</v>
      </c>
      <c r="B7" s="5" t="n">
        <v>0.02</v>
      </c>
      <c r="C7" s="3"/>
      <c r="D7" s="3" t="s">
        <v>9</v>
      </c>
    </row>
    <row r="8" customFormat="false" ht="15" hidden="false" customHeight="false" outlineLevel="0" collapsed="false">
      <c r="A8" s="3" t="s">
        <v>10</v>
      </c>
      <c r="B8" s="6" t="n">
        <v>73.57</v>
      </c>
      <c r="C8" s="3"/>
      <c r="D8" s="3" t="s">
        <v>11</v>
      </c>
    </row>
    <row r="9" customFormat="false" ht="15" hidden="false" customHeight="false" outlineLevel="0" collapsed="false">
      <c r="A9" s="3" t="s">
        <v>12</v>
      </c>
      <c r="B9" s="6" t="n">
        <v>60.43</v>
      </c>
      <c r="C9" s="3"/>
      <c r="D9" s="3" t="s">
        <v>13</v>
      </c>
    </row>
    <row r="10" customFormat="false" ht="15" hidden="false" customHeight="false" outlineLevel="0" collapsed="false">
      <c r="A10" s="3" t="s">
        <v>14</v>
      </c>
      <c r="B10" s="6" t="n">
        <v>5.59</v>
      </c>
      <c r="C10" s="3"/>
      <c r="D10" s="3" t="s">
        <v>13</v>
      </c>
    </row>
    <row r="11" customFormat="false" ht="15" hidden="false" customHeight="false" outlineLevel="0" collapsed="false">
      <c r="A11" s="3" t="s">
        <v>15</v>
      </c>
      <c r="B11" s="5" t="n">
        <v>0.04</v>
      </c>
      <c r="C11" s="3"/>
      <c r="D11" s="3" t="s">
        <v>16</v>
      </c>
    </row>
    <row r="12" customFormat="false" ht="15" hidden="false" customHeight="false" outlineLevel="0" collapsed="false">
      <c r="A12" s="3" t="s">
        <v>17</v>
      </c>
      <c r="B12" s="4" t="n">
        <v>1480337</v>
      </c>
      <c r="C12" s="3"/>
      <c r="D12" s="3" t="s">
        <v>18</v>
      </c>
    </row>
    <row r="13" customFormat="false" ht="15" hidden="false" customHeight="false" outlineLevel="0" collapsed="false">
      <c r="A13" s="3" t="s">
        <v>19</v>
      </c>
      <c r="B13" s="4" t="n">
        <v>1554086</v>
      </c>
      <c r="C13" s="3"/>
      <c r="D13" s="3" t="s">
        <v>18</v>
      </c>
    </row>
    <row r="14" customFormat="false" ht="15" hidden="false" customHeight="false" outlineLevel="0" collapsed="false">
      <c r="A14" s="3" t="s">
        <v>20</v>
      </c>
      <c r="B14" s="5" t="n">
        <v>0.04</v>
      </c>
      <c r="C14" s="3"/>
      <c r="D14" s="3" t="s">
        <v>21</v>
      </c>
    </row>
    <row r="15" customFormat="false" ht="15" hidden="false" customHeight="false" outlineLevel="0" collapsed="false">
      <c r="A15" s="3" t="s">
        <v>22</v>
      </c>
      <c r="B15" s="5" t="n">
        <v>0.01</v>
      </c>
      <c r="C15" s="3"/>
      <c r="D15" s="3" t="s">
        <v>23</v>
      </c>
    </row>
    <row r="16" customFormat="false" ht="15" hidden="false" customHeight="false" outlineLevel="0" collapsed="false">
      <c r="A16" s="3" t="s">
        <v>24</v>
      </c>
      <c r="B16" s="4" t="n">
        <v>20475</v>
      </c>
      <c r="C16" s="3"/>
      <c r="D16" s="3" t="s">
        <v>25</v>
      </c>
    </row>
    <row r="17" customFormat="false" ht="15" hidden="false" customHeight="false" outlineLevel="0" collapsed="false">
      <c r="A17" s="3" t="s">
        <v>26</v>
      </c>
      <c r="B17" s="5" t="n">
        <v>0.5</v>
      </c>
      <c r="C17" s="3"/>
      <c r="D17" s="3" t="s">
        <v>27</v>
      </c>
    </row>
    <row r="19" customFormat="false" ht="15" hidden="false" customHeight="false" outlineLevel="0" collapsed="false">
      <c r="A19" s="2" t="s">
        <v>28</v>
      </c>
      <c r="B19" s="2" t="s">
        <v>3</v>
      </c>
      <c r="C19" s="2"/>
      <c r="D19" s="2" t="s">
        <v>29</v>
      </c>
    </row>
    <row r="20" customFormat="false" ht="15" hidden="false" customHeight="false" outlineLevel="0" collapsed="false">
      <c r="A20" s="3" t="s">
        <v>30</v>
      </c>
      <c r="B20" s="4" t="n">
        <f aca="false">B5*(1+B7)*(B9/B8)*(1+B11)</f>
        <v>2126322.3449182</v>
      </c>
      <c r="C20" s="3"/>
      <c r="D20" s="3" t="s">
        <v>31</v>
      </c>
    </row>
    <row r="21" customFormat="false" ht="15" hidden="false" customHeight="false" outlineLevel="0" collapsed="false">
      <c r="A21" s="3" t="s">
        <v>32</v>
      </c>
      <c r="B21" s="4" t="n">
        <f aca="false">B6-B20</f>
        <v>-13189.3449182007</v>
      </c>
      <c r="C21" s="3"/>
      <c r="D21" s="3"/>
    </row>
    <row r="22" customFormat="false" ht="15" hidden="false" customHeight="false" outlineLevel="0" collapsed="false">
      <c r="A22" s="3" t="s">
        <v>33</v>
      </c>
      <c r="B22" s="4" t="n">
        <f aca="false">B12*(1+B14)*(1+B15)</f>
        <v>1554945.9848</v>
      </c>
      <c r="C22" s="3"/>
      <c r="D22" s="3" t="s">
        <v>34</v>
      </c>
    </row>
    <row r="23" customFormat="false" ht="15" hidden="false" customHeight="false" outlineLevel="0" collapsed="false">
      <c r="A23" s="3" t="s">
        <v>35</v>
      </c>
      <c r="B23" s="4" t="n">
        <f aca="false">B13-B22</f>
        <v>-859.984799999977</v>
      </c>
      <c r="C23" s="3"/>
      <c r="D23" s="3"/>
    </row>
    <row r="24" customFormat="false" ht="15" hidden="false" customHeight="false" outlineLevel="0" collapsed="false">
      <c r="A24" s="3" t="s">
        <v>36</v>
      </c>
      <c r="B24" s="4" t="n">
        <f aca="false">B16*B17</f>
        <v>10237.5</v>
      </c>
      <c r="C24" s="3"/>
      <c r="D24" s="3" t="s">
        <v>37</v>
      </c>
    </row>
    <row r="25" customFormat="false" ht="15" hidden="false" customHeight="false" outlineLevel="0" collapsed="false">
      <c r="A25" s="3" t="s">
        <v>38</v>
      </c>
      <c r="B25" s="3" t="str">
        <f aca="false">IF(ABS(B21)&gt;B24,"INVESTIGAR","Dentro do limite")</f>
        <v>INVESTIGAR</v>
      </c>
      <c r="C25" s="3"/>
      <c r="D25" s="3"/>
    </row>
    <row r="26" customFormat="false" ht="15" hidden="false" customHeight="false" outlineLevel="0" collapsed="false">
      <c r="A26" s="3" t="s">
        <v>39</v>
      </c>
      <c r="B26" s="3" t="str">
        <f aca="false">IF(ABS(B23)&gt;B24,"INVESTIGAR","Dentro do limite")</f>
        <v>Dentro do limite</v>
      </c>
      <c r="C26" s="3"/>
      <c r="D26" s="3"/>
    </row>
    <row r="28" customFormat="false" ht="15" hidden="false" customHeight="false" outlineLevel="0" collapsed="false">
      <c r="A28" s="0" t="s">
        <v>40</v>
      </c>
    </row>
    <row r="29" customFormat="false" ht="15" hidden="false" customHeight="false" outlineLevel="0" collapsed="false">
      <c r="A29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62"/>
  </cols>
  <sheetData>
    <row r="1" customFormat="false" ht="16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0" t="s">
        <v>1</v>
      </c>
    </row>
    <row r="4" customFormat="false" ht="28.35" hidden="false" customHeight="false" outlineLevel="0" collapsed="false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</row>
    <row r="5" customFormat="false" ht="15" hidden="false" customHeight="false" outlineLevel="0" collapsed="false">
      <c r="A5" s="3" t="s">
        <v>50</v>
      </c>
      <c r="B5" s="4" t="n">
        <v>284002</v>
      </c>
      <c r="C5" s="4" t="n">
        <v>274271</v>
      </c>
      <c r="D5" s="5" t="n">
        <f aca="false">B5/C5-1</f>
        <v>0.0354795074944125</v>
      </c>
      <c r="E5" s="4" t="n">
        <f aca="false">B5-C5</f>
        <v>9731</v>
      </c>
      <c r="F5" s="3" t="str">
        <f aca="false">IF(ABS(E5)&gt;20475,"SIM","nao")</f>
        <v>nao</v>
      </c>
      <c r="G5" s="3" t="s">
        <v>51</v>
      </c>
    </row>
    <row r="6" customFormat="false" ht="15" hidden="false" customHeight="false" outlineLevel="0" collapsed="false">
      <c r="A6" s="3" t="s">
        <v>52</v>
      </c>
      <c r="B6" s="4" t="n">
        <v>720753</v>
      </c>
      <c r="C6" s="4" t="n">
        <v>553842</v>
      </c>
      <c r="D6" s="5" t="n">
        <f aca="false">B6/C6-1</f>
        <v>0.30136934360341</v>
      </c>
      <c r="E6" s="4" t="n">
        <f aca="false">B6-C6</f>
        <v>166911</v>
      </c>
      <c r="F6" s="3" t="str">
        <f aca="false">IF(ABS(E6)&gt;20475,"SIM","nao")</f>
        <v>SIM</v>
      </c>
      <c r="G6" s="3" t="s">
        <v>53</v>
      </c>
    </row>
    <row r="7" customFormat="false" ht="15" hidden="false" customHeight="false" outlineLevel="0" collapsed="false">
      <c r="A7" s="3" t="s">
        <v>54</v>
      </c>
      <c r="B7" s="4" t="n">
        <v>71792</v>
      </c>
      <c r="C7" s="4" t="n">
        <v>72093</v>
      </c>
      <c r="D7" s="5" t="n">
        <f aca="false">B7/C7-1</f>
        <v>-0.00417516263714923</v>
      </c>
      <c r="E7" s="4" t="n">
        <f aca="false">B7-C7</f>
        <v>-301</v>
      </c>
      <c r="F7" s="3" t="str">
        <f aca="false">IF(ABS(E7)&gt;20475,"SIM","nao")</f>
        <v>nao</v>
      </c>
      <c r="G7" s="3" t="s">
        <v>55</v>
      </c>
    </row>
    <row r="8" customFormat="false" ht="15" hidden="false" customHeight="false" outlineLevel="0" collapsed="false">
      <c r="A8" s="3" t="s">
        <v>56</v>
      </c>
      <c r="B8" s="4" t="n">
        <v>0</v>
      </c>
      <c r="C8" s="4" t="n">
        <v>3940</v>
      </c>
      <c r="D8" s="5" t="n">
        <f aca="false">B8/C8-1</f>
        <v>-1</v>
      </c>
      <c r="E8" s="4" t="n">
        <f aca="false">B8-C8</f>
        <v>-3940</v>
      </c>
      <c r="F8" s="3" t="str">
        <f aca="false">IF(ABS(E8)&gt;20475,"SIM","nao")</f>
        <v>nao</v>
      </c>
      <c r="G8" s="3" t="s">
        <v>57</v>
      </c>
    </row>
    <row r="9" customFormat="false" ht="15" hidden="false" customHeight="false" outlineLevel="0" collapsed="false">
      <c r="A9" s="3" t="s">
        <v>58</v>
      </c>
      <c r="B9" s="4" t="n">
        <v>10430</v>
      </c>
      <c r="C9" s="4" t="n">
        <v>73920</v>
      </c>
      <c r="D9" s="5" t="n">
        <f aca="false">B9/C9-1</f>
        <v>-0.858901515151515</v>
      </c>
      <c r="E9" s="4" t="n">
        <f aca="false">B9-C9</f>
        <v>-63490</v>
      </c>
      <c r="F9" s="3" t="str">
        <f aca="false">IF(ABS(E9)&gt;20475,"SIM","nao")</f>
        <v>SIM</v>
      </c>
      <c r="G9" s="3" t="s">
        <v>59</v>
      </c>
    </row>
    <row r="10" customFormat="false" ht="15" hidden="false" customHeight="false" outlineLevel="0" collapsed="false">
      <c r="A10" s="3" t="s">
        <v>60</v>
      </c>
      <c r="B10" s="4" t="n">
        <v>104707</v>
      </c>
      <c r="C10" s="4" t="n">
        <v>61951</v>
      </c>
      <c r="D10" s="5" t="n">
        <f aca="false">B10/C10-1</f>
        <v>0.690158350954787</v>
      </c>
      <c r="E10" s="4" t="n">
        <f aca="false">B10-C10</f>
        <v>42756</v>
      </c>
      <c r="F10" s="3" t="str">
        <f aca="false">IF(ABS(E10)&gt;20475,"SIM","nao")</f>
        <v>SIM</v>
      </c>
      <c r="G10" s="3" t="s">
        <v>61</v>
      </c>
    </row>
    <row r="11" customFormat="false" ht="15" hidden="false" customHeight="false" outlineLevel="0" collapsed="false">
      <c r="A11" s="3" t="s">
        <v>62</v>
      </c>
      <c r="B11" s="4" t="n">
        <v>11408</v>
      </c>
      <c r="C11" s="4" t="n">
        <v>18713</v>
      </c>
      <c r="D11" s="5" t="n">
        <f aca="false">B11/C11-1</f>
        <v>-0.390370330786085</v>
      </c>
      <c r="E11" s="4" t="n">
        <f aca="false">B11-C11</f>
        <v>-7305</v>
      </c>
      <c r="F11" s="3" t="str">
        <f aca="false">IF(ABS(E11)&gt;20475,"SIM","nao")</f>
        <v>nao</v>
      </c>
      <c r="G11" s="3" t="s">
        <v>63</v>
      </c>
    </row>
    <row r="12" customFormat="false" ht="15" hidden="false" customHeight="false" outlineLevel="0" collapsed="false">
      <c r="A12" s="3" t="s">
        <v>64</v>
      </c>
      <c r="B12" s="4" t="n">
        <v>189748</v>
      </c>
      <c r="C12" s="4" t="n">
        <v>219741</v>
      </c>
      <c r="D12" s="5" t="n">
        <f aca="false">B12/C12-1</f>
        <v>-0.13649250708789</v>
      </c>
      <c r="E12" s="4" t="n">
        <f aca="false">B12-C12</f>
        <v>-29993</v>
      </c>
      <c r="F12" s="3" t="str">
        <f aca="false">IF(ABS(E12)&gt;20475,"SIM","nao")</f>
        <v>SIM</v>
      </c>
      <c r="G12" s="3" t="s">
        <v>65</v>
      </c>
    </row>
    <row r="13" customFormat="false" ht="15" hidden="false" customHeight="false" outlineLevel="0" collapsed="false">
      <c r="A13" s="3" t="s">
        <v>66</v>
      </c>
      <c r="B13" s="4" t="n">
        <v>94419</v>
      </c>
      <c r="C13" s="4" t="n">
        <v>118405</v>
      </c>
      <c r="D13" s="5" t="n">
        <f aca="false">B13/C13-1</f>
        <v>-0.202575904733753</v>
      </c>
      <c r="E13" s="4" t="n">
        <f aca="false">B13-C13</f>
        <v>-23986</v>
      </c>
      <c r="F13" s="3" t="str">
        <f aca="false">IF(ABS(E13)&gt;20475,"SIM","nao")</f>
        <v>SIM</v>
      </c>
      <c r="G13" s="3" t="s">
        <v>67</v>
      </c>
    </row>
    <row r="14" customFormat="false" ht="15" hidden="false" customHeight="false" outlineLevel="0" collapsed="false">
      <c r="A14" s="3" t="s">
        <v>68</v>
      </c>
      <c r="B14" s="4" t="n">
        <v>227694</v>
      </c>
      <c r="C14" s="4" t="n">
        <v>224642</v>
      </c>
      <c r="D14" s="5" t="n">
        <f aca="false">B14/C14-1</f>
        <v>0.0135860613776586</v>
      </c>
      <c r="E14" s="4" t="n">
        <f aca="false">B14-C14</f>
        <v>3052</v>
      </c>
      <c r="F14" s="3" t="str">
        <f aca="false">IF(ABS(E14)&gt;20475,"SIM","nao")</f>
        <v>nao</v>
      </c>
      <c r="G14" s="3" t="s">
        <v>69</v>
      </c>
    </row>
    <row r="15" customFormat="false" ht="15" hidden="false" customHeight="false" outlineLevel="0" collapsed="false">
      <c r="A15" s="3" t="s">
        <v>70</v>
      </c>
      <c r="B15" s="4" t="n">
        <v>721077</v>
      </c>
      <c r="C15" s="4" t="n">
        <v>694816</v>
      </c>
      <c r="D15" s="5" t="n">
        <f aca="false">B15/C15-1</f>
        <v>0.0377956178326349</v>
      </c>
      <c r="E15" s="4" t="n">
        <f aca="false">B15-C15</f>
        <v>26261</v>
      </c>
      <c r="F15" s="3" t="str">
        <f aca="false">IF(ABS(E15)&gt;20475,"SIM","nao")</f>
        <v>SIM</v>
      </c>
      <c r="G15" s="3" t="s">
        <v>71</v>
      </c>
    </row>
    <row r="16" customFormat="false" ht="15" hidden="false" customHeight="false" outlineLevel="0" collapsed="false">
      <c r="A16" s="3" t="s">
        <v>72</v>
      </c>
      <c r="B16" s="4" t="n">
        <f aca="false">SUM(B5:B15)</f>
        <v>2436030</v>
      </c>
      <c r="C16" s="4" t="n">
        <f aca="false">SUM(C5:C15)</f>
        <v>2316334</v>
      </c>
      <c r="D16" s="5" t="n">
        <f aca="false">B16/C16-1</f>
        <v>0.0516747584761093</v>
      </c>
      <c r="E16" s="4" t="n">
        <f aca="false">B16-C16</f>
        <v>119696</v>
      </c>
      <c r="F16" s="3"/>
      <c r="G16" s="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74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75</v>
      </c>
      <c r="B4" s="2" t="s">
        <v>3</v>
      </c>
      <c r="C4" s="2" t="s">
        <v>76</v>
      </c>
    </row>
    <row r="5" customFormat="false" ht="15" hidden="false" customHeight="false" outlineLevel="0" collapsed="false">
      <c r="A5" s="3" t="s">
        <v>77</v>
      </c>
      <c r="B5" s="4" t="n">
        <v>198434</v>
      </c>
      <c r="C5" s="3" t="s">
        <v>78</v>
      </c>
    </row>
    <row r="6" customFormat="false" ht="15" hidden="false" customHeight="false" outlineLevel="0" collapsed="false">
      <c r="A6" s="3" t="s">
        <v>79</v>
      </c>
      <c r="B6" s="4" t="n">
        <f aca="false">Receita_item5!B6+Receita_item5!B13</f>
        <v>3667219</v>
      </c>
      <c r="C6" s="3" t="s">
        <v>18</v>
      </c>
    </row>
    <row r="7" customFormat="false" ht="15" hidden="false" customHeight="false" outlineLevel="0" collapsed="false">
      <c r="A7" s="3" t="s">
        <v>80</v>
      </c>
      <c r="B7" s="5" t="n">
        <f aca="false">B5/B6</f>
        <v>0.0541102126706913</v>
      </c>
      <c r="C7" s="3" t="s">
        <v>81</v>
      </c>
    </row>
    <row r="8" customFormat="false" ht="15" hidden="false" customHeight="false" outlineLevel="0" collapsed="false">
      <c r="A8" s="3" t="s">
        <v>82</v>
      </c>
      <c r="B8" s="5" t="n">
        <v>0.075</v>
      </c>
      <c r="C8" s="3" t="s">
        <v>78</v>
      </c>
    </row>
    <row r="9" customFormat="false" ht="15" hidden="false" customHeight="false" outlineLevel="0" collapsed="false">
      <c r="A9" s="3" t="s">
        <v>83</v>
      </c>
      <c r="B9" s="4" t="n">
        <f aca="false">B6*B8</f>
        <v>275041.425</v>
      </c>
      <c r="C9" s="3" t="s">
        <v>84</v>
      </c>
    </row>
    <row r="10" customFormat="false" ht="15" hidden="false" customHeight="false" outlineLevel="0" collapsed="false">
      <c r="A10" s="3" t="s">
        <v>85</v>
      </c>
      <c r="B10" s="4" t="n">
        <f aca="false">B5-B9</f>
        <v>-76607.425</v>
      </c>
      <c r="C10" s="3"/>
    </row>
    <row r="11" customFormat="false" ht="15" hidden="false" customHeight="false" outlineLevel="0" collapsed="false">
      <c r="A11" s="3" t="s">
        <v>86</v>
      </c>
      <c r="B11" s="4" t="str">
        <f aca="false">IF(ABS(B10)&gt;20475,"INVESTIGAR","Dentro do limite")</f>
        <v>INVESTIGAR</v>
      </c>
      <c r="C11" s="3" t="s">
        <v>87</v>
      </c>
    </row>
    <row r="13" customFormat="false" ht="15" hidden="false" customHeight="false" outlineLevel="0" collapsed="false">
      <c r="A13" s="0" t="s">
        <v>88</v>
      </c>
    </row>
    <row r="14" customFormat="false" ht="15" hidden="false" customHeight="false" outlineLevel="0" collapsed="false">
      <c r="A14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75</v>
      </c>
      <c r="B4" s="2" t="s">
        <v>44</v>
      </c>
      <c r="C4" s="2" t="s">
        <v>45</v>
      </c>
      <c r="D4" s="2" t="s">
        <v>4</v>
      </c>
    </row>
    <row r="5" customFormat="false" ht="15" hidden="false" customHeight="false" outlineLevel="0" collapsed="false">
      <c r="A5" s="3" t="s">
        <v>91</v>
      </c>
      <c r="B5" s="7" t="n">
        <v>26.5</v>
      </c>
      <c r="C5" s="7" t="n">
        <f aca="false">26.5/1.007</f>
        <v>26.3157894736842</v>
      </c>
      <c r="D5" s="3" t="s">
        <v>92</v>
      </c>
    </row>
    <row r="6" customFormat="false" ht="15" hidden="false" customHeight="false" outlineLevel="0" collapsed="false">
      <c r="A6" s="3" t="s">
        <v>93</v>
      </c>
      <c r="B6" s="8" t="n">
        <f aca="false">B5*365/1000</f>
        <v>9.6725</v>
      </c>
      <c r="C6" s="8" t="n">
        <f aca="false">C5*366/1000</f>
        <v>9.63157894736842</v>
      </c>
      <c r="D6" s="3" t="s">
        <v>94</v>
      </c>
    </row>
    <row r="7" customFormat="false" ht="15" hidden="false" customHeight="false" outlineLevel="0" collapsed="false">
      <c r="A7" s="3" t="s">
        <v>95</v>
      </c>
      <c r="B7" s="4" t="n">
        <v>721077</v>
      </c>
      <c r="C7" s="4" t="n">
        <v>694816</v>
      </c>
      <c r="D7" s="3" t="s">
        <v>96</v>
      </c>
    </row>
    <row r="8" customFormat="false" ht="15" hidden="false" customHeight="false" outlineLevel="0" collapsed="false">
      <c r="A8" s="3" t="s">
        <v>97</v>
      </c>
      <c r="B8" s="6" t="n">
        <f aca="false">B7/B6/1000</f>
        <v>74.5491858361334</v>
      </c>
      <c r="C8" s="6" t="n">
        <f aca="false">C7/C6/1000</f>
        <v>72.1393661202186</v>
      </c>
      <c r="D8" s="3"/>
    </row>
    <row r="9" customFormat="false" ht="15" hidden="false" customHeight="false" outlineLevel="0" collapsed="false">
      <c r="A9" s="3" t="s">
        <v>98</v>
      </c>
      <c r="B9" s="5" t="n">
        <f aca="false">B8/C8-1</f>
        <v>0.0334050580912908</v>
      </c>
      <c r="C9" s="3"/>
      <c r="D9" s="3" t="s">
        <v>99</v>
      </c>
    </row>
    <row r="10" customFormat="false" ht="15" hidden="false" customHeight="false" outlineLevel="0" collapsed="false">
      <c r="A10" s="3" t="s">
        <v>100</v>
      </c>
      <c r="B10" s="3" t="str">
        <f aca="false">IF(ABS(B9)&lt;=0.1,"Coerente","Investigar")</f>
        <v>Coerente</v>
      </c>
      <c r="C10" s="3"/>
      <c r="D1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6.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75</v>
      </c>
      <c r="B4" s="2" t="s">
        <v>44</v>
      </c>
      <c r="C4" s="2" t="s">
        <v>45</v>
      </c>
      <c r="D4" s="2" t="s">
        <v>46</v>
      </c>
      <c r="E4" s="2" t="s">
        <v>102</v>
      </c>
      <c r="F4" s="2" t="s">
        <v>100</v>
      </c>
    </row>
    <row r="5" customFormat="false" ht="15" hidden="false" customHeight="false" outlineLevel="0" collapsed="false">
      <c r="A5" s="3" t="s">
        <v>103</v>
      </c>
      <c r="B5" s="4" t="n">
        <v>253967</v>
      </c>
      <c r="C5" s="4" t="n">
        <v>361095</v>
      </c>
      <c r="D5" s="5" t="n">
        <f aca="false">B5/C5-1</f>
        <v>-0.296675390132791</v>
      </c>
      <c r="E5" s="3" t="str">
        <f aca="false">IF(ABS(B5-C5)&gt;20475,"SIM","nao")</f>
        <v>SIM</v>
      </c>
      <c r="F5" s="3" t="s">
        <v>104</v>
      </c>
    </row>
    <row r="6" customFormat="false" ht="15" hidden="false" customHeight="false" outlineLevel="0" collapsed="false">
      <c r="A6" s="3" t="s">
        <v>105</v>
      </c>
      <c r="B6" s="4" t="n">
        <v>65231</v>
      </c>
      <c r="C6" s="4" t="n">
        <v>58145</v>
      </c>
      <c r="D6" s="5" t="n">
        <f aca="false">B6/C6-1</f>
        <v>0.121867744432023</v>
      </c>
      <c r="E6" s="3" t="str">
        <f aca="false">IF(ABS(B6-C6)&gt;20475,"SIM","nao")</f>
        <v>nao</v>
      </c>
      <c r="F6" s="3" t="s">
        <v>106</v>
      </c>
    </row>
    <row r="7" customFormat="false" ht="15" hidden="false" customHeight="false" outlineLevel="0" collapsed="false">
      <c r="A7" s="3" t="s">
        <v>107</v>
      </c>
      <c r="B7" s="4" t="n">
        <v>6170841</v>
      </c>
      <c r="C7" s="4" t="n">
        <v>5540758</v>
      </c>
      <c r="D7" s="5" t="n">
        <f aca="false">B7/C7-1</f>
        <v>0.113717834274661</v>
      </c>
      <c r="E7" s="3" t="str">
        <f aca="false">IF(ABS(B7-C7)&gt;20475,"SIM","nao")</f>
        <v>SIM</v>
      </c>
      <c r="F7" s="3" t="s">
        <v>108</v>
      </c>
    </row>
    <row r="8" customFormat="false" ht="15" hidden="false" customHeight="false" outlineLevel="0" collapsed="false">
      <c r="A8" s="3" t="s">
        <v>109</v>
      </c>
      <c r="B8" s="4" t="n">
        <v>1400532</v>
      </c>
      <c r="C8" s="4" t="n">
        <v>777903</v>
      </c>
      <c r="D8" s="5" t="n">
        <f aca="false">B8/C8-1</f>
        <v>0.800394136544016</v>
      </c>
      <c r="E8" s="3" t="str">
        <f aca="false">IF(ABS(B8-C8)&gt;20475,"SIM","nao")</f>
        <v>SIM</v>
      </c>
      <c r="F8" s="3" t="s">
        <v>110</v>
      </c>
    </row>
    <row r="9" customFormat="false" ht="15" hidden="false" customHeight="false" outlineLevel="0" collapsed="false">
      <c r="A9" s="3" t="s">
        <v>111</v>
      </c>
      <c r="B9" s="4" t="n">
        <v>3105016</v>
      </c>
      <c r="C9" s="4" t="n">
        <v>1792321</v>
      </c>
      <c r="D9" s="5" t="n">
        <f aca="false">B9/C9-1</f>
        <v>0.732399497634631</v>
      </c>
      <c r="E9" s="3" t="str">
        <f aca="false">IF(ABS(B9-C9)&gt;20475,"SIM","nao")</f>
        <v>SIM</v>
      </c>
      <c r="F9" s="3" t="s">
        <v>112</v>
      </c>
    </row>
    <row r="10" customFormat="false" ht="15" hidden="false" customHeight="false" outlineLevel="0" collapsed="false">
      <c r="A10" s="3" t="s">
        <v>113</v>
      </c>
      <c r="B10" s="4" t="n">
        <v>281098</v>
      </c>
      <c r="C10" s="4" t="n">
        <v>84840</v>
      </c>
      <c r="D10" s="5" t="n">
        <f aca="false">B10/C10-1</f>
        <v>2.31327204148986</v>
      </c>
      <c r="E10" s="3" t="str">
        <f aca="false">IF(ABS(B10-C10)&gt;20475,"SIM","nao")</f>
        <v>SIM</v>
      </c>
      <c r="F10" s="3" t="s">
        <v>114</v>
      </c>
    </row>
    <row r="11" customFormat="false" ht="15" hidden="false" customHeight="false" outlineLevel="0" collapsed="false">
      <c r="A11" s="3" t="s">
        <v>115</v>
      </c>
      <c r="B11" s="4" t="n">
        <v>18515</v>
      </c>
      <c r="C11" s="4" t="n">
        <v>213077</v>
      </c>
      <c r="D11" s="5" t="n">
        <f aca="false">B11/C11-1</f>
        <v>-0.91310652956443</v>
      </c>
      <c r="E11" s="3" t="str">
        <f aca="false">IF(ABS(B11-C11)&gt;20475,"SIM","nao")</f>
        <v>SIM</v>
      </c>
      <c r="F11" s="3" t="s">
        <v>116</v>
      </c>
    </row>
    <row r="12" customFormat="false" ht="15" hidden="false" customHeight="false" outlineLevel="0" collapsed="false">
      <c r="A12" s="3" t="s">
        <v>117</v>
      </c>
      <c r="B12" s="4" t="n">
        <v>130476</v>
      </c>
      <c r="C12" s="4" t="n">
        <v>130476</v>
      </c>
      <c r="D12" s="5" t="n">
        <f aca="false">B12/C12-1</f>
        <v>0</v>
      </c>
      <c r="E12" s="3" t="str">
        <f aca="false">IF(ABS(B12-C12)&gt;20475,"SIM","nao")</f>
        <v>nao</v>
      </c>
      <c r="F12" s="3" t="s">
        <v>118</v>
      </c>
    </row>
    <row r="14" customFormat="false" ht="15" hidden="false" customHeight="false" outlineLevel="0" collapsed="false">
      <c r="A14" s="2" t="s">
        <v>119</v>
      </c>
      <c r="B14" s="2" t="s">
        <v>44</v>
      </c>
      <c r="C14" s="2" t="s">
        <v>45</v>
      </c>
      <c r="D14" s="2" t="s">
        <v>120</v>
      </c>
      <c r="E14" s="2"/>
      <c r="F14" s="2" t="s">
        <v>100</v>
      </c>
    </row>
    <row r="15" customFormat="false" ht="15" hidden="false" customHeight="false" outlineLevel="0" collapsed="false">
      <c r="A15" s="3" t="s">
        <v>121</v>
      </c>
      <c r="B15" s="9" t="n">
        <f aca="false">B5/3709684*365</f>
        <v>24.9881000645877</v>
      </c>
      <c r="C15" s="9" t="n">
        <f aca="false">C5/3836743*365</f>
        <v>34.3519685837701</v>
      </c>
      <c r="D15" s="9" t="n">
        <f aca="false">B15-C15</f>
        <v>-9.36386851918243</v>
      </c>
      <c r="E15" s="3"/>
      <c r="F15" s="3" t="s">
        <v>122</v>
      </c>
    </row>
    <row r="16" customFormat="false" ht="15" hidden="false" customHeight="false" outlineLevel="0" collapsed="false">
      <c r="A16" s="3" t="s">
        <v>123</v>
      </c>
      <c r="B16" s="5" t="n">
        <f aca="false">B10/((B9+C9)/2)</f>
        <v>0.114796265807315</v>
      </c>
      <c r="C16" s="3"/>
      <c r="D16" s="3"/>
      <c r="E16" s="3"/>
      <c r="F16" s="3" t="s">
        <v>124</v>
      </c>
    </row>
    <row r="17" customFormat="false" ht="15" hidden="false" customHeight="false" outlineLevel="0" collapsed="false">
      <c r="A17" s="3" t="s">
        <v>125</v>
      </c>
      <c r="B17" s="5" t="n">
        <f aca="false">1021436/3157609</f>
        <v>0.323484003244227</v>
      </c>
      <c r="C17" s="5" t="n">
        <f aca="false">1191749/3264554</f>
        <v>0.365057217616863</v>
      </c>
      <c r="D17" s="5" t="n">
        <f aca="false">B17-C17</f>
        <v>-0.041573214372636</v>
      </c>
      <c r="E17" s="3"/>
      <c r="F17" s="3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128</v>
      </c>
      <c r="B4" s="2" t="s">
        <v>129</v>
      </c>
    </row>
    <row r="5" customFormat="false" ht="15" hidden="false" customHeight="false" outlineLevel="0" collapsed="false">
      <c r="A5" s="3" t="s">
        <v>130</v>
      </c>
      <c r="B5" s="3" t="s">
        <v>131</v>
      </c>
    </row>
    <row r="6" customFormat="false" ht="15" hidden="false" customHeight="false" outlineLevel="0" collapsed="false">
      <c r="A6" s="3" t="s">
        <v>132</v>
      </c>
      <c r="B6" s="3" t="s">
        <v>133</v>
      </c>
    </row>
    <row r="7" customFormat="false" ht="15" hidden="false" customHeight="false" outlineLevel="0" collapsed="false">
      <c r="A7" s="3" t="s">
        <v>134</v>
      </c>
      <c r="B7" s="3" t="s">
        <v>135</v>
      </c>
    </row>
    <row r="8" customFormat="false" ht="15" hidden="false" customHeight="false" outlineLevel="0" collapsed="false">
      <c r="A8" s="3" t="s">
        <v>136</v>
      </c>
      <c r="B8" s="3" t="s">
        <v>137</v>
      </c>
    </row>
    <row r="9" customFormat="false" ht="15" hidden="false" customHeight="false" outlineLevel="0" collapsed="false">
      <c r="A9" s="3" t="s">
        <v>138</v>
      </c>
      <c r="B9" s="3" t="s">
        <v>139</v>
      </c>
    </row>
    <row r="10" customFormat="false" ht="15" hidden="false" customHeight="false" outlineLevel="0" collapsed="false">
      <c r="A10" s="3" t="s">
        <v>140</v>
      </c>
      <c r="B10" s="3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2026-10-24T23:08:08Z</dcterms:created>
  <dc:creator>openpyxl</dc:creator>
  <dc:description/>
  <dc:language>en-US</dc:language>
  <cp:lastModifiedBy/>
  <dcterms:modified xsi:type="dcterms:W3CDTF">2026-10-24T23:08:08Z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